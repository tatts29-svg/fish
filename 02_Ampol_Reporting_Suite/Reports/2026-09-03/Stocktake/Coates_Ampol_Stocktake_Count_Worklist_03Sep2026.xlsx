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Batteries'!$A$1:$K$47</definedName>
    <definedName name="_xlnm._FilterDatabase" localSheetId="4" hidden="1">'3 Milwaukee'!$A$1:$K$121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05:32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CHARGING STATION</t>
        </is>
      </c>
      <c r="B30" s="6" t="inlineStr">
        <is>
          <t>AMPMRB/686</t>
        </is>
      </c>
      <c r="C30" s="6" t="inlineStr">
        <is>
          <t>Motorola Radio Battery</t>
        </is>
      </c>
      <c r="D30" s="6" t="n">
        <v>1</v>
      </c>
      <c r="E30" s="7" t="n">
        <v>246</v>
      </c>
      <c r="F30" s="7">
        <f>IF(E30="","",D30*E30)</f>
        <v/>
      </c>
      <c r="G30" s="6" t="inlineStr">
        <is>
          <t>26/08/2026</t>
        </is>
      </c>
      <c r="H30" s="6" t="n">
        <v>7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>
        <is>
          <t>AMPMRB/291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26/08/2026</t>
        </is>
      </c>
      <c r="H31" s="6" t="n">
        <v>7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>
        <is>
          <t>AMPMRB/157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26/08/2026</t>
        </is>
      </c>
      <c r="H32" s="6" t="n">
        <v>7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CHARGING STATION</t>
        </is>
      </c>
      <c r="B33" s="6" t="inlineStr">
        <is>
          <t>AMPMRB/191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26/08/2026</t>
        </is>
      </c>
      <c r="H33" s="6" t="n">
        <v>7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CHARGING STATION</t>
        </is>
      </c>
      <c r="B34" s="6" t="inlineStr">
        <is>
          <t>AMP037/055</t>
        </is>
      </c>
      <c r="C34" s="6" t="inlineStr">
        <is>
          <t>Motorola Radio Battery</t>
        </is>
      </c>
      <c r="D34" s="6" t="n">
        <v>1</v>
      </c>
      <c r="E34" s="7" t="n">
        <v>246</v>
      </c>
      <c r="F34" s="7">
        <f>IF(E34="","",D34*E34)</f>
        <v/>
      </c>
      <c r="G34" s="6" t="inlineStr">
        <is>
          <t>26/08/2026</t>
        </is>
      </c>
      <c r="H34" s="6" t="n">
        <v>7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CHARGING STATION</t>
        </is>
      </c>
      <c r="B35" s="6" t="inlineStr">
        <is>
          <t>amp037/183</t>
        </is>
      </c>
      <c r="C35" s="6" t="inlineStr">
        <is>
          <t>Motorola Radio Battery</t>
        </is>
      </c>
      <c r="D35" s="6" t="n">
        <v>1</v>
      </c>
      <c r="E35" s="7" t="n">
        <v>246</v>
      </c>
      <c r="F35" s="7">
        <f>IF(E35="","",D35*E35)</f>
        <v/>
      </c>
      <c r="G35" s="6" t="inlineStr">
        <is>
          <t>26/08/2026</t>
        </is>
      </c>
      <c r="H35" s="6" t="n">
        <v>7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CHARGING STATION</t>
        </is>
      </c>
      <c r="B36" s="6" t="inlineStr">
        <is>
          <t>amp037/187</t>
        </is>
      </c>
      <c r="C36" s="6" t="inlineStr">
        <is>
          <t>Motorola Radio Battery</t>
        </is>
      </c>
      <c r="D36" s="6" t="n">
        <v>1</v>
      </c>
      <c r="E36" s="7" t="n">
        <v>246</v>
      </c>
      <c r="F36" s="7">
        <f>IF(E36="","",D36*E36)</f>
        <v/>
      </c>
      <c r="G36" s="6" t="inlineStr">
        <is>
          <t>26/08/2026</t>
        </is>
      </c>
      <c r="H36" s="6" t="n">
        <v>7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CHARGING STATION</t>
        </is>
      </c>
      <c r="B37" s="6" t="inlineStr">
        <is>
          <t>AMP037/254</t>
        </is>
      </c>
      <c r="C37" s="6" t="inlineStr">
        <is>
          <t>Motorola Radio Battery</t>
        </is>
      </c>
      <c r="D37" s="6" t="n">
        <v>1</v>
      </c>
      <c r="E37" s="7" t="n">
        <v>246</v>
      </c>
      <c r="F37" s="7">
        <f>IF(E37="","",D37*E37)</f>
        <v/>
      </c>
      <c r="G37" s="6" t="inlineStr">
        <is>
          <t>26/08/2026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CHARGING STATION</t>
        </is>
      </c>
      <c r="B38" s="6" t="inlineStr">
        <is>
          <t>AMP037/296</t>
        </is>
      </c>
      <c r="C38" s="6" t="inlineStr">
        <is>
          <t>Motorola Radio Battery</t>
        </is>
      </c>
      <c r="D38" s="6" t="n">
        <v>1</v>
      </c>
      <c r="E38" s="7" t="n">
        <v>246</v>
      </c>
      <c r="F38" s="7">
        <f>IF(E38="","",D38*E38)</f>
        <v/>
      </c>
      <c r="G38" s="6" t="inlineStr">
        <is>
          <t>26/08/2026</t>
        </is>
      </c>
      <c r="H38" s="6" t="n">
        <v>7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CHARGING STATION</t>
        </is>
      </c>
      <c r="B39" s="6" t="inlineStr">
        <is>
          <t>AMP037/317</t>
        </is>
      </c>
      <c r="C39" s="6" t="inlineStr">
        <is>
          <t>Motorola Radio Battery</t>
        </is>
      </c>
      <c r="D39" s="6" t="n">
        <v>1</v>
      </c>
      <c r="E39" s="7" t="n">
        <v>246</v>
      </c>
      <c r="F39" s="7">
        <f>IF(E39="","",D39*E39)</f>
        <v/>
      </c>
      <c r="G39" s="6" t="inlineStr">
        <is>
          <t>26/08/2026</t>
        </is>
      </c>
      <c r="H39" s="6" t="n">
        <v>7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CHARGING STATION</t>
        </is>
      </c>
      <c r="B40" s="6" t="inlineStr">
        <is>
          <t>AMPMRB/212</t>
        </is>
      </c>
      <c r="C40" s="6" t="inlineStr">
        <is>
          <t>Motorola Radio Battery</t>
        </is>
      </c>
      <c r="D40" s="6" t="n">
        <v>1</v>
      </c>
      <c r="E40" s="7" t="n">
        <v>246</v>
      </c>
      <c r="F40" s="7">
        <f>IF(E40="","",D40*E40)</f>
        <v/>
      </c>
      <c r="G40" s="6" t="inlineStr">
        <is>
          <t>27/08/2026</t>
        </is>
      </c>
      <c r="H40" s="6" t="n">
        <v>6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CHARGING STATION</t>
        </is>
      </c>
      <c r="B41" s="6" t="inlineStr">
        <is>
          <t>amp053/006</t>
        </is>
      </c>
      <c r="C41" s="6" t="inlineStr">
        <is>
          <t>Motorola Radio</t>
        </is>
      </c>
      <c r="D41" s="6" t="n">
        <v>1</v>
      </c>
      <c r="E41" s="7" t="n">
        <v>2695</v>
      </c>
      <c r="F41" s="7">
        <f>IF(E41="","",D41*E41)</f>
        <v/>
      </c>
      <c r="G41" s="6" t="inlineStr">
        <is>
          <t>27/08/2026</t>
        </is>
      </c>
      <c r="H41" s="6" t="n">
        <v>6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CHARGING STATION</t>
        </is>
      </c>
      <c r="B42" s="6" t="inlineStr">
        <is>
          <t>AMPMRB/645</t>
        </is>
      </c>
      <c r="C42" s="6" t="inlineStr">
        <is>
          <t>Motorola Radio Battery</t>
        </is>
      </c>
      <c r="D42" s="6" t="n">
        <v>1</v>
      </c>
      <c r="E42" s="7" t="n">
        <v>246</v>
      </c>
      <c r="F42" s="7">
        <f>IF(E42="","",D42*E42)</f>
        <v/>
      </c>
      <c r="G42" s="6" t="inlineStr">
        <is>
          <t>28/08/2026</t>
        </is>
      </c>
      <c r="H42" s="6" t="n">
        <v>5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CHARGING STATION</t>
        </is>
      </c>
      <c r="B43" s="6" t="inlineStr">
        <is>
          <t>AMPMRB/123</t>
        </is>
      </c>
      <c r="C43" s="6" t="inlineStr">
        <is>
          <t>Motorola Radio Battery</t>
        </is>
      </c>
      <c r="D43" s="6" t="n">
        <v>1</v>
      </c>
      <c r="E43" s="7" t="n">
        <v>246</v>
      </c>
      <c r="F43" s="7">
        <f>IF(E43="","",D43*E43)</f>
        <v/>
      </c>
      <c r="G43" s="6" t="inlineStr">
        <is>
          <t>28/08/2026</t>
        </is>
      </c>
      <c r="H43" s="6" t="n">
        <v>5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ON HIRE</t>
        </is>
      </c>
      <c r="B44" s="6" t="inlineStr">
        <is>
          <t>AMPMR/215</t>
        </is>
      </c>
      <c r="C44" s="6" t="inlineStr">
        <is>
          <t>Ampol Motorola Radio--Maintenance- 122TYT0625</t>
        </is>
      </c>
      <c r="D44" s="6" t="n">
        <v>1</v>
      </c>
      <c r="E44" s="7" t="n">
        <v>2695</v>
      </c>
      <c r="F44" s="7">
        <f>IF(E44="","",D44*E44)</f>
        <v/>
      </c>
      <c r="G44" s="6" t="inlineStr">
        <is>
          <t>13/08/2026</t>
        </is>
      </c>
      <c r="H44" s="6" t="n">
        <v>20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ON HIRE</t>
        </is>
      </c>
      <c r="B45" s="6" t="inlineStr">
        <is>
          <t>AMPMRB/402</t>
        </is>
      </c>
      <c r="C45" s="6" t="inlineStr">
        <is>
          <t>Motorola Radio Battery</t>
        </is>
      </c>
      <c r="D45" s="6" t="n">
        <v>1</v>
      </c>
      <c r="E45" s="7" t="n">
        <v>246</v>
      </c>
      <c r="F45" s="7">
        <f>IF(E45="","",D45*E45)</f>
        <v/>
      </c>
      <c r="G45" s="6" t="inlineStr">
        <is>
          <t>14/08/2026</t>
        </is>
      </c>
      <c r="H45" s="6" t="n">
        <v>19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Turnaround</t>
        </is>
      </c>
      <c r="B46" s="6" t="inlineStr">
        <is>
          <t>SATGASBAT/038</t>
        </is>
      </c>
      <c r="C46" s="6" t="inlineStr">
        <is>
          <t>Motorola Radio Battery</t>
        </is>
      </c>
      <c r="D46" s="6" t="n">
        <v>1</v>
      </c>
      <c r="E46" s="7" t="n">
        <v>246</v>
      </c>
      <c r="F46" s="7">
        <f>IF(E46="","",D46*E46)</f>
        <v/>
      </c>
      <c r="G46" s="6" t="inlineStr">
        <is>
          <t>25/08/2026</t>
        </is>
      </c>
      <c r="H46" s="6" t="n">
        <v>8</v>
      </c>
      <c r="I46" s="6" t="inlineStr">
        <is>
          <t>TARGET DUE</t>
        </is>
      </c>
      <c r="J46" s="6" t="inlineStr"/>
      <c r="K46" s="6" t="inlineStr"/>
    </row>
    <row r="47">
      <c r="A47" s="6" t="inlineStr">
        <is>
          <t>Turnaround</t>
        </is>
      </c>
      <c r="B47" s="6" t="inlineStr">
        <is>
          <t>SATGASBAT/024</t>
        </is>
      </c>
      <c r="C47" s="6" t="inlineStr">
        <is>
          <t>Motorola Radio Battery</t>
        </is>
      </c>
      <c r="D47" s="6" t="n">
        <v>1</v>
      </c>
      <c r="E47" s="7" t="n">
        <v>246</v>
      </c>
      <c r="F47" s="7">
        <f>IF(E47="","",D47*E47)</f>
        <v/>
      </c>
      <c r="G47" s="6" t="inlineStr">
        <is>
          <t>25/08/2026</t>
        </is>
      </c>
      <c r="H47" s="6" t="n">
        <v>8</v>
      </c>
      <c r="I47" s="6" t="inlineStr">
        <is>
          <t>TARGET DUE</t>
        </is>
      </c>
      <c r="J47" s="6" t="inlineStr"/>
      <c r="K47" s="6" t="inlineStr"/>
    </row>
  </sheetData>
  <autoFilter ref="A1:K4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H-B01</t>
        </is>
      </c>
      <c r="B4" s="6" t="inlineStr">
        <is>
          <t>WG0188/006</t>
        </is>
      </c>
      <c r="C4" s="6" t="inlineStr">
        <is>
          <t>Milwaukee M18 Cordless Drill</t>
        </is>
      </c>
      <c r="D4" s="6" t="n">
        <v>1</v>
      </c>
      <c r="E4" s="7" t="n">
        <v>250</v>
      </c>
      <c r="F4" s="7">
        <f>IF(E4="","",D4*E4)</f>
        <v/>
      </c>
      <c r="G4" s="6" t="inlineStr">
        <is>
          <t>27/08/2026</t>
        </is>
      </c>
      <c r="H4" s="6" t="n">
        <v>6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H-B01</t>
        </is>
      </c>
      <c r="B5" s="6" t="inlineStr">
        <is>
          <t>WG0562/001</t>
        </is>
      </c>
      <c r="C5" s="6" t="inlineStr">
        <is>
          <t>Milwaukee M18 Cordless Jigsaw</t>
        </is>
      </c>
      <c r="D5" s="6" t="n">
        <v>1</v>
      </c>
      <c r="E5" s="7" t="n">
        <v>350</v>
      </c>
      <c r="F5" s="7">
        <f>IF(E5="","",D5*E5)</f>
        <v/>
      </c>
      <c r="G5" s="6" t="inlineStr">
        <is>
          <t>27/08/2026</t>
        </is>
      </c>
      <c r="H5" s="6" t="n">
        <v>6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H-B01</t>
        </is>
      </c>
      <c r="B6" s="6" t="inlineStr">
        <is>
          <t>CTX038/004</t>
        </is>
      </c>
      <c r="C6" s="6" t="inlineStr">
        <is>
          <t>Milwaukee M18 Cordless Drill</t>
        </is>
      </c>
      <c r="D6" s="6" t="n">
        <v>1</v>
      </c>
      <c r="E6" s="7" t="n">
        <v>280</v>
      </c>
      <c r="F6" s="7">
        <f>IF(E6="","",D6*E6)</f>
        <v/>
      </c>
      <c r="G6" s="6" t="inlineStr">
        <is>
          <t>27/08/2026</t>
        </is>
      </c>
      <c r="H6" s="6" t="n">
        <v>6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H-B01</t>
        </is>
      </c>
      <c r="B7" s="6" t="inlineStr">
        <is>
          <t>WG0443/001</t>
        </is>
      </c>
      <c r="C7" s="6" t="inlineStr">
        <is>
          <t>Milwaukee M18 Cordless Impact Wrench - 1" Drive</t>
        </is>
      </c>
      <c r="D7" s="6" t="n">
        <v>1</v>
      </c>
      <c r="E7" s="7" t="n">
        <v>1150</v>
      </c>
      <c r="F7" s="7">
        <f>IF(E7="","",D7*E7)</f>
        <v/>
      </c>
      <c r="G7" s="6" t="inlineStr">
        <is>
          <t>27/08/2026</t>
        </is>
      </c>
      <c r="H7" s="6" t="n">
        <v>6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H-B01</t>
        </is>
      </c>
      <c r="B8" s="6" t="inlineStr">
        <is>
          <t>CTX038/002</t>
        </is>
      </c>
      <c r="C8" s="6" t="inlineStr">
        <is>
          <t>Milwaukee M18 Cordless Drill</t>
        </is>
      </c>
      <c r="D8" s="6" t="n">
        <v>1</v>
      </c>
      <c r="E8" s="7" t="n">
        <v>280</v>
      </c>
      <c r="F8" s="7">
        <f>IF(E8="","",D8*E8)</f>
        <v/>
      </c>
      <c r="G8" s="6" t="inlineStr">
        <is>
          <t>27/08/2026</t>
        </is>
      </c>
      <c r="H8" s="6" t="n">
        <v>6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H-B01</t>
        </is>
      </c>
      <c r="B9" s="6" t="inlineStr">
        <is>
          <t>CTX102/002</t>
        </is>
      </c>
      <c r="C9" s="6" t="inlineStr">
        <is>
          <t>Milwaukee M18 Cordless Impact Wrench - 1" Drive</t>
        </is>
      </c>
      <c r="D9" s="6" t="n">
        <v>1</v>
      </c>
      <c r="E9" s="7" t="n">
        <v>1150</v>
      </c>
      <c r="F9" s="7">
        <f>IF(E9="","",D9*E9)</f>
        <v/>
      </c>
      <c r="G9" s="6" t="inlineStr">
        <is>
          <t>27/08/2026</t>
        </is>
      </c>
      <c r="H9" s="6" t="n">
        <v>6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H-B01</t>
        </is>
      </c>
      <c r="B10" s="6" t="inlineStr">
        <is>
          <t>CTX037/003</t>
        </is>
      </c>
      <c r="C10" s="6" t="inlineStr">
        <is>
          <t>Milwaukee M18 Cordless Jigsaw</t>
        </is>
      </c>
      <c r="D10" s="6" t="n">
        <v>1</v>
      </c>
      <c r="E10" s="7" t="n">
        <v>350</v>
      </c>
      <c r="F10" s="7">
        <f>IF(E10="","",D10*E10)</f>
        <v/>
      </c>
      <c r="G10" s="6" t="inlineStr">
        <is>
          <t>27/08/2026</t>
        </is>
      </c>
      <c r="H10" s="6" t="n">
        <v>6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H-B01</t>
        </is>
      </c>
      <c r="B11" s="6" t="inlineStr">
        <is>
          <t>AMP0105/003</t>
        </is>
      </c>
      <c r="C11" s="6" t="inlineStr">
        <is>
          <t>Milwaukee M18 Cordless Die Grinder</t>
        </is>
      </c>
      <c r="D11" s="6" t="n">
        <v>1</v>
      </c>
      <c r="E11" s="7" t="n">
        <v>280</v>
      </c>
      <c r="F11" s="7">
        <f>IF(E11="","",D11*E11)</f>
        <v/>
      </c>
      <c r="G11" s="6" t="inlineStr">
        <is>
          <t>27/08/2026</t>
        </is>
      </c>
      <c r="H11" s="6" t="n">
        <v>6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H-B01</t>
        </is>
      </c>
      <c r="B12" s="6" t="inlineStr">
        <is>
          <t>AMP0105/001</t>
        </is>
      </c>
      <c r="C12" s="6" t="inlineStr">
        <is>
          <t>Milwaukee M18 Cordless Die Grinder</t>
        </is>
      </c>
      <c r="D12" s="6" t="n">
        <v>1</v>
      </c>
      <c r="E12" s="7" t="n">
        <v>280</v>
      </c>
      <c r="F12" s="7">
        <f>IF(E12="","",D12*E12)</f>
        <v/>
      </c>
      <c r="G12" s="6" t="inlineStr">
        <is>
          <t>27/08/2026</t>
        </is>
      </c>
      <c r="H12" s="6" t="n">
        <v>6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H-B01</t>
        </is>
      </c>
      <c r="B13" s="6" t="inlineStr">
        <is>
          <t>AMP093/003</t>
        </is>
      </c>
      <c r="C13" s="6" t="inlineStr">
        <is>
          <t>Milwaukee M18 Cordless Impact Wrench - 1" Drive</t>
        </is>
      </c>
      <c r="D13" s="6" t="n">
        <v>1</v>
      </c>
      <c r="E13" s="7" t="n">
        <v>1150</v>
      </c>
      <c r="F13" s="7">
        <f>IF(E13="","",D13*E13)</f>
        <v/>
      </c>
      <c r="G13" s="6" t="inlineStr">
        <is>
          <t>27/08/2026</t>
        </is>
      </c>
      <c r="H13" s="6" t="n">
        <v>6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H-B01</t>
        </is>
      </c>
      <c r="B14" s="6" t="inlineStr">
        <is>
          <t>AMP093/008</t>
        </is>
      </c>
      <c r="C14" s="6" t="inlineStr">
        <is>
          <t>Milwaukee M18 Cordless Impact Wrench - 1" Drive</t>
        </is>
      </c>
      <c r="D14" s="6" t="n">
        <v>1</v>
      </c>
      <c r="E14" s="7" t="n">
        <v>1150</v>
      </c>
      <c r="F14" s="7">
        <f>IF(E14="","",D14*E14)</f>
        <v/>
      </c>
      <c r="G14" s="6" t="inlineStr">
        <is>
          <t>27/08/2026</t>
        </is>
      </c>
      <c r="H14" s="6" t="n">
        <v>6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H-B01</t>
        </is>
      </c>
      <c r="B15" s="6" t="inlineStr">
        <is>
          <t>AMP093/009</t>
        </is>
      </c>
      <c r="C15" s="6" t="inlineStr">
        <is>
          <t>Milwaukee M18 Cordless Impact Wrench - 1" Drive</t>
        </is>
      </c>
      <c r="D15" s="6" t="n">
        <v>1</v>
      </c>
      <c r="E15" s="7" t="n">
        <v>1150</v>
      </c>
      <c r="F15" s="7">
        <f>IF(E15="","",D15*E15)</f>
        <v/>
      </c>
      <c r="G15" s="6" t="inlineStr">
        <is>
          <t>27/08/2026</t>
        </is>
      </c>
      <c r="H15" s="6" t="n">
        <v>6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H-B01</t>
        </is>
      </c>
      <c r="B16" s="6" t="inlineStr">
        <is>
          <t>AMP093/011</t>
        </is>
      </c>
      <c r="C16" s="6" t="inlineStr">
        <is>
          <t>Milwaukee M18 Cordless Impact Wrench - 1" Drive</t>
        </is>
      </c>
      <c r="D16" s="6" t="n">
        <v>1</v>
      </c>
      <c r="E16" s="7" t="n">
        <v>1150</v>
      </c>
      <c r="F16" s="7">
        <f>IF(E16="","",D16*E16)</f>
        <v/>
      </c>
      <c r="G16" s="6" t="inlineStr">
        <is>
          <t>27/08/2026</t>
        </is>
      </c>
      <c r="H16" s="6" t="n">
        <v>6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H-B01</t>
        </is>
      </c>
      <c r="B17" s="6" t="inlineStr">
        <is>
          <t>AMP093/012</t>
        </is>
      </c>
      <c r="C17" s="6" t="inlineStr">
        <is>
          <t>Milwaukee M18 Cordless Impact Wrench - 1" Drive</t>
        </is>
      </c>
      <c r="D17" s="6" t="n">
        <v>1</v>
      </c>
      <c r="E17" s="7" t="n">
        <v>1150</v>
      </c>
      <c r="F17" s="7">
        <f>IF(E17="","",D17*E17)</f>
        <v/>
      </c>
      <c r="G17" s="6" t="inlineStr">
        <is>
          <t>27/08/2026</t>
        </is>
      </c>
      <c r="H17" s="6" t="n">
        <v>6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H-B01</t>
        </is>
      </c>
      <c r="B18" s="6" t="inlineStr">
        <is>
          <t>AMP107/001</t>
        </is>
      </c>
      <c r="C18" s="6" t="inlineStr">
        <is>
          <t>Milwaukee M18 Cordless Jigsaw</t>
        </is>
      </c>
      <c r="D18" s="6" t="n">
        <v>1</v>
      </c>
      <c r="E18" s="7" t="n">
        <v>299</v>
      </c>
      <c r="F18" s="7">
        <f>IF(E18="","",D18*E18)</f>
        <v/>
      </c>
      <c r="G18" s="6" t="inlineStr">
        <is>
          <t>27/08/2026</t>
        </is>
      </c>
      <c r="H18" s="6" t="n">
        <v>6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H-B01</t>
        </is>
      </c>
      <c r="B19" s="6" t="inlineStr">
        <is>
          <t>AMP107/005</t>
        </is>
      </c>
      <c r="C19" s="6" t="inlineStr">
        <is>
          <t>Milwaukee M18 Cordless Jigsaw</t>
        </is>
      </c>
      <c r="D19" s="6" t="n">
        <v>1</v>
      </c>
      <c r="E19" s="7" t="n">
        <v>299</v>
      </c>
      <c r="F19" s="7">
        <f>IF(E19="","",D19*E19)</f>
        <v/>
      </c>
      <c r="G19" s="6" t="inlineStr">
        <is>
          <t>27/08/2026</t>
        </is>
      </c>
      <c r="H19" s="6" t="n">
        <v>6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H-B01</t>
        </is>
      </c>
      <c r="B20" s="6" t="inlineStr">
        <is>
          <t>AMP107/006</t>
        </is>
      </c>
      <c r="C20" s="6" t="inlineStr">
        <is>
          <t>Milwaukee M18 Cordless Jigsaw</t>
        </is>
      </c>
      <c r="D20" s="6" t="n">
        <v>1</v>
      </c>
      <c r="E20" s="7" t="n">
        <v>299</v>
      </c>
      <c r="F20" s="7">
        <f>IF(E20="","",D20*E20)</f>
        <v/>
      </c>
      <c r="G20" s="6" t="inlineStr">
        <is>
          <t>27/08/2026</t>
        </is>
      </c>
      <c r="H20" s="6" t="n">
        <v>6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H-B01</t>
        </is>
      </c>
      <c r="B21" s="6" t="inlineStr">
        <is>
          <t>AMP107/007</t>
        </is>
      </c>
      <c r="C21" s="6" t="inlineStr">
        <is>
          <t>Milwaukee M18 Cordless Jigsaw</t>
        </is>
      </c>
      <c r="D21" s="6" t="n">
        <v>1</v>
      </c>
      <c r="E21" s="7" t="n">
        <v>299</v>
      </c>
      <c r="F21" s="7">
        <f>IF(E21="","",D21*E21)</f>
        <v/>
      </c>
      <c r="G21" s="6" t="inlineStr">
        <is>
          <t>27/08/2026</t>
        </is>
      </c>
      <c r="H21" s="6" t="n">
        <v>6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H-B01</t>
        </is>
      </c>
      <c r="B22" s="6" t="inlineStr">
        <is>
          <t>AMP510/001</t>
        </is>
      </c>
      <c r="C22" s="6" t="inlineStr">
        <is>
          <t>Milwaukee M18 Cordless Hydraulic Crimping Tool 6t</t>
        </is>
      </c>
      <c r="D22" s="6" t="n">
        <v>1</v>
      </c>
      <c r="E22" s="7" t="n"/>
      <c r="F22" s="7">
        <f>IF(E22="","",D22*E22)</f>
        <v/>
      </c>
      <c r="G22" s="6" t="inlineStr">
        <is>
          <t>27/08/2026</t>
        </is>
      </c>
      <c r="H22" s="6" t="n">
        <v>6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H-B01</t>
        </is>
      </c>
      <c r="B23" s="6" t="inlineStr">
        <is>
          <t>AMP107/002</t>
        </is>
      </c>
      <c r="C23" s="6" t="inlineStr">
        <is>
          <t>Milwaukee M18 Cordless Jigsaw</t>
        </is>
      </c>
      <c r="D23" s="6" t="n">
        <v>1</v>
      </c>
      <c r="E23" s="7" t="n">
        <v>299</v>
      </c>
      <c r="F23" s="7">
        <f>IF(E23="","",D23*E23)</f>
        <v/>
      </c>
      <c r="G23" s="6" t="inlineStr">
        <is>
          <t>28/08/2026</t>
        </is>
      </c>
      <c r="H23" s="6" t="n">
        <v>5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H-B02</t>
        </is>
      </c>
      <c r="B24" s="6" t="inlineStr">
        <is>
          <t>AMP104/005</t>
        </is>
      </c>
      <c r="C24" s="6" t="inlineStr">
        <is>
          <t>Milwaukee M18 Cordless Die Grinder</t>
        </is>
      </c>
      <c r="D24" s="6" t="n">
        <v>1</v>
      </c>
      <c r="E24" s="7" t="n">
        <v>399</v>
      </c>
      <c r="F24" s="7">
        <f>IF(E24="","",D24*E24)</f>
        <v/>
      </c>
      <c r="G24" s="6" t="inlineStr">
        <is>
          <t>03/08/2026</t>
        </is>
      </c>
      <c r="H24" s="6" t="n">
        <v>30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H-B02</t>
        </is>
      </c>
      <c r="B25" s="6" t="inlineStr">
        <is>
          <t>AMP098/010</t>
        </is>
      </c>
      <c r="C25" s="6" t="inlineStr">
        <is>
          <t>Milwaukee M18 Cordless Reciprocating Saw</t>
        </is>
      </c>
      <c r="D25" s="6" t="n">
        <v>1</v>
      </c>
      <c r="E25" s="7" t="n">
        <v>299</v>
      </c>
      <c r="F25" s="7">
        <f>IF(E25="","",D25*E25)</f>
        <v/>
      </c>
      <c r="G25" s="6" t="inlineStr">
        <is>
          <t>03/08/2026</t>
        </is>
      </c>
      <c r="H25" s="6" t="n">
        <v>30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H-B02</t>
        </is>
      </c>
      <c r="B26" s="6" t="inlineStr">
        <is>
          <t>AMP099/001</t>
        </is>
      </c>
      <c r="C26" s="6" t="inlineStr">
        <is>
          <t>Milwaukee M18 Cordless Circular Saw</t>
        </is>
      </c>
      <c r="D26" s="6" t="n">
        <v>1</v>
      </c>
      <c r="E26" s="7" t="n">
        <v>310</v>
      </c>
      <c r="F26" s="7">
        <f>IF(E26="","",D26*E26)</f>
        <v/>
      </c>
      <c r="G26" s="6" t="inlineStr">
        <is>
          <t>27/08/2026</t>
        </is>
      </c>
      <c r="H26" s="6" t="n">
        <v>6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H-B02</t>
        </is>
      </c>
      <c r="B27" s="6" t="inlineStr">
        <is>
          <t>AMP099/002</t>
        </is>
      </c>
      <c r="C27" s="6" t="inlineStr">
        <is>
          <t>Milwaukee M18 Cordless Circular Saw</t>
        </is>
      </c>
      <c r="D27" s="6" t="n">
        <v>1</v>
      </c>
      <c r="E27" s="7" t="n">
        <v>310</v>
      </c>
      <c r="F27" s="7">
        <f>IF(E27="","",D27*E27)</f>
        <v/>
      </c>
      <c r="G27" s="6" t="inlineStr">
        <is>
          <t>27/08/2026</t>
        </is>
      </c>
      <c r="H27" s="6" t="n">
        <v>6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H-B02</t>
        </is>
      </c>
      <c r="B28" s="6" t="inlineStr">
        <is>
          <t>AMP099/004</t>
        </is>
      </c>
      <c r="C28" s="6" t="inlineStr">
        <is>
          <t>Milwaukee M18 Cordless Circular Saw</t>
        </is>
      </c>
      <c r="D28" s="6" t="n">
        <v>1</v>
      </c>
      <c r="E28" s="7" t="n">
        <v>310</v>
      </c>
      <c r="F28" s="7">
        <f>IF(E28="","",D28*E28)</f>
        <v/>
      </c>
      <c r="G28" s="6" t="inlineStr">
        <is>
          <t>27/08/2026</t>
        </is>
      </c>
      <c r="H28" s="6" t="n">
        <v>6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H-B02</t>
        </is>
      </c>
      <c r="B29" s="6" t="inlineStr">
        <is>
          <t>AMP099/003</t>
        </is>
      </c>
      <c r="C29" s="6" t="inlineStr">
        <is>
          <t>Milwaukee M18 Cordless Circular Saw</t>
        </is>
      </c>
      <c r="D29" s="6" t="n">
        <v>1</v>
      </c>
      <c r="E29" s="7" t="n">
        <v>310</v>
      </c>
      <c r="F29" s="7">
        <f>IF(E29="","",D29*E29)</f>
        <v/>
      </c>
      <c r="G29" s="6" t="inlineStr">
        <is>
          <t>27/08/2026</t>
        </is>
      </c>
      <c r="H29" s="6" t="n">
        <v>6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H-B02</t>
        </is>
      </c>
      <c r="B30" s="6" t="inlineStr">
        <is>
          <t>AMP104/001</t>
        </is>
      </c>
      <c r="C30" s="6" t="inlineStr">
        <is>
          <t>Milwaukee M18 Cordless Die Grinder</t>
        </is>
      </c>
      <c r="D30" s="6" t="n">
        <v>1</v>
      </c>
      <c r="E30" s="7" t="n">
        <v>399</v>
      </c>
      <c r="F30" s="7">
        <f>IF(E30="","",D30*E30)</f>
        <v/>
      </c>
      <c r="G30" s="6" t="inlineStr">
        <is>
          <t>27/08/2026</t>
        </is>
      </c>
      <c r="H30" s="6" t="n">
        <v>6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H-B02</t>
        </is>
      </c>
      <c r="B31" s="6" t="inlineStr">
        <is>
          <t>CTX102/001</t>
        </is>
      </c>
      <c r="C31" s="6" t="inlineStr">
        <is>
          <t>Milwaukee M18 Cordless Impact Wrench - 1" Drive</t>
        </is>
      </c>
      <c r="D31" s="6" t="n">
        <v>1</v>
      </c>
      <c r="E31" s="7" t="n">
        <v>1150</v>
      </c>
      <c r="F31" s="7">
        <f>IF(E31="","",D31*E31)</f>
        <v/>
      </c>
      <c r="G31" s="6" t="inlineStr">
        <is>
          <t>27/08/2026</t>
        </is>
      </c>
      <c r="H31" s="6" t="n">
        <v>6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H-B02</t>
        </is>
      </c>
      <c r="B32" s="6" t="inlineStr">
        <is>
          <t>CTX102/003</t>
        </is>
      </c>
      <c r="C32" s="6" t="inlineStr">
        <is>
          <t>Milwaukee M18 Cordless Impact Wrench - 1" Drive</t>
        </is>
      </c>
      <c r="D32" s="6" t="n">
        <v>1</v>
      </c>
      <c r="E32" s="7" t="n">
        <v>1150</v>
      </c>
      <c r="F32" s="7">
        <f>IF(E32="","",D32*E32)</f>
        <v/>
      </c>
      <c r="G32" s="6" t="inlineStr">
        <is>
          <t>27/08/2026</t>
        </is>
      </c>
      <c r="H32" s="6" t="n">
        <v>6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H-B02</t>
        </is>
      </c>
      <c r="B33" s="6" t="inlineStr">
        <is>
          <t>CTX086/003</t>
        </is>
      </c>
      <c r="C33" s="6" t="inlineStr">
        <is>
          <t>Milwaukee M18 Cordless Die Grinder</t>
        </is>
      </c>
      <c r="D33" s="6" t="n">
        <v>1</v>
      </c>
      <c r="E33" s="7" t="n">
        <v>280</v>
      </c>
      <c r="F33" s="7">
        <f>IF(E33="","",D33*E33)</f>
        <v/>
      </c>
      <c r="G33" s="6" t="inlineStr">
        <is>
          <t>27/08/2026</t>
        </is>
      </c>
      <c r="H33" s="6" t="n">
        <v>6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H-B02</t>
        </is>
      </c>
      <c r="B34" s="6" t="inlineStr">
        <is>
          <t>CTX086/050</t>
        </is>
      </c>
      <c r="C34" s="6" t="inlineStr">
        <is>
          <t>Milwaukee M18 Cordless Die Grinder</t>
        </is>
      </c>
      <c r="D34" s="6" t="n">
        <v>1</v>
      </c>
      <c r="E34" s="7" t="n">
        <v>280</v>
      </c>
      <c r="F34" s="7">
        <f>IF(E34="","",D34*E34)</f>
        <v/>
      </c>
      <c r="G34" s="6" t="inlineStr">
        <is>
          <t>27/08/2026</t>
        </is>
      </c>
      <c r="H34" s="6" t="n">
        <v>6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H-B02</t>
        </is>
      </c>
      <c r="B35" s="6" t="inlineStr">
        <is>
          <t>CTX086/067</t>
        </is>
      </c>
      <c r="C35" s="6" t="inlineStr">
        <is>
          <t>Milwaukee M18 Cordless Die Grinder</t>
        </is>
      </c>
      <c r="D35" s="6" t="n">
        <v>1</v>
      </c>
      <c r="E35" s="7" t="n">
        <v>280</v>
      </c>
      <c r="F35" s="7">
        <f>IF(E35="","",D35*E35)</f>
        <v/>
      </c>
      <c r="G35" s="6" t="inlineStr">
        <is>
          <t>27/08/2026</t>
        </is>
      </c>
      <c r="H35" s="6" t="n">
        <v>6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H-B02</t>
        </is>
      </c>
      <c r="B36" s="6" t="inlineStr">
        <is>
          <t>CTX086/001</t>
        </is>
      </c>
      <c r="C36" s="6" t="inlineStr">
        <is>
          <t>Milwaukee M18 Cordless Die Grinder</t>
        </is>
      </c>
      <c r="D36" s="6" t="n">
        <v>1</v>
      </c>
      <c r="E36" s="7" t="n">
        <v>280</v>
      </c>
      <c r="F36" s="7">
        <f>IF(E36="","",D36*E36)</f>
        <v/>
      </c>
      <c r="G36" s="6" t="inlineStr">
        <is>
          <t>27/08/2026</t>
        </is>
      </c>
      <c r="H36" s="6" t="n">
        <v>6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H-B02</t>
        </is>
      </c>
      <c r="B37" s="6" t="inlineStr">
        <is>
          <t>amp045/001</t>
        </is>
      </c>
      <c r="C37" s="6" t="inlineStr">
        <is>
          <t>Milwaukee M18 Cordless Die Grinder</t>
        </is>
      </c>
      <c r="D37" s="6" t="n">
        <v>1</v>
      </c>
      <c r="E37" s="7" t="n">
        <v>399</v>
      </c>
      <c r="F37" s="7">
        <f>IF(E37="","",D37*E37)</f>
        <v/>
      </c>
      <c r="G37" s="6" t="inlineStr">
        <is>
          <t>27/08/2026</t>
        </is>
      </c>
      <c r="H37" s="6" t="n">
        <v>6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H-B02</t>
        </is>
      </c>
      <c r="B38" s="6" t="inlineStr">
        <is>
          <t>AMP087/001</t>
        </is>
      </c>
      <c r="C38" s="6" t="inlineStr">
        <is>
          <t>Milwaukee M18 Cordless Circular Saw</t>
        </is>
      </c>
      <c r="D38" s="6" t="n">
        <v>1</v>
      </c>
      <c r="E38" s="7" t="n">
        <v>516</v>
      </c>
      <c r="F38" s="7">
        <f>IF(E38="","",D38*E38)</f>
        <v/>
      </c>
      <c r="G38" s="6" t="inlineStr">
        <is>
          <t>27/08/2026</t>
        </is>
      </c>
      <c r="H38" s="6" t="n">
        <v>6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H-B02</t>
        </is>
      </c>
      <c r="B39" s="6" t="inlineStr">
        <is>
          <t>AMP093/002</t>
        </is>
      </c>
      <c r="C39" s="6" t="inlineStr">
        <is>
          <t>Milwaukee M18 Cordless Impact Wrench - 1" Drive</t>
        </is>
      </c>
      <c r="D39" s="6" t="n">
        <v>1</v>
      </c>
      <c r="E39" s="7" t="n">
        <v>1150</v>
      </c>
      <c r="F39" s="7">
        <f>IF(E39="","",D39*E39)</f>
        <v/>
      </c>
      <c r="G39" s="6" t="inlineStr">
        <is>
          <t>27/08/2026</t>
        </is>
      </c>
      <c r="H39" s="6" t="n">
        <v>6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H-B02</t>
        </is>
      </c>
      <c r="B40" s="6" t="inlineStr">
        <is>
          <t>AMP093/006</t>
        </is>
      </c>
      <c r="C40" s="6" t="inlineStr">
        <is>
          <t>Milwaukee M18 Cordless Impact Wrench - 1" Drive</t>
        </is>
      </c>
      <c r="D40" s="6" t="n">
        <v>1</v>
      </c>
      <c r="E40" s="7" t="n">
        <v>1150</v>
      </c>
      <c r="F40" s="7">
        <f>IF(E40="","",D40*E40)</f>
        <v/>
      </c>
      <c r="G40" s="6" t="inlineStr">
        <is>
          <t>27/08/2026</t>
        </is>
      </c>
      <c r="H40" s="6" t="n">
        <v>6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H-B02</t>
        </is>
      </c>
      <c r="B41" s="6" t="inlineStr">
        <is>
          <t>AMP099/006</t>
        </is>
      </c>
      <c r="C41" s="6" t="inlineStr">
        <is>
          <t>Milwaukee M18 Cordless Circular Saw</t>
        </is>
      </c>
      <c r="D41" s="6" t="n">
        <v>1</v>
      </c>
      <c r="E41" s="7" t="n">
        <v>310</v>
      </c>
      <c r="F41" s="7">
        <f>IF(E41="","",D41*E41)</f>
        <v/>
      </c>
      <c r="G41" s="6" t="inlineStr">
        <is>
          <t>27/08/2026</t>
        </is>
      </c>
      <c r="H41" s="6" t="n">
        <v>6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H-B02</t>
        </is>
      </c>
      <c r="B42" s="6" t="inlineStr">
        <is>
          <t>AMP099/007</t>
        </is>
      </c>
      <c r="C42" s="6" t="inlineStr">
        <is>
          <t>Milwaukee M18 Cordless Circular Saw</t>
        </is>
      </c>
      <c r="D42" s="6" t="n">
        <v>1</v>
      </c>
      <c r="E42" s="7" t="n">
        <v>310</v>
      </c>
      <c r="F42" s="7">
        <f>IF(E42="","",D42*E42)</f>
        <v/>
      </c>
      <c r="G42" s="6" t="inlineStr">
        <is>
          <t>27/08/2026</t>
        </is>
      </c>
      <c r="H42" s="6" t="n">
        <v>6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H-B02</t>
        </is>
      </c>
      <c r="B43" s="6" t="inlineStr">
        <is>
          <t>AMP357/001</t>
        </is>
      </c>
      <c r="C43" s="6" t="inlineStr">
        <is>
          <t>Milwaukee M18 Fuel Sds Max Rotary Hammer - 44mm</t>
        </is>
      </c>
      <c r="D43" s="6" t="n">
        <v>1</v>
      </c>
      <c r="E43" s="7" t="n"/>
      <c r="F43" s="7">
        <f>IF(E43="","",D43*E43)</f>
        <v/>
      </c>
      <c r="G43" s="6" t="inlineStr">
        <is>
          <t>27/08/2026</t>
        </is>
      </c>
      <c r="H43" s="6" t="n">
        <v>6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H-B02</t>
        </is>
      </c>
      <c r="B44" s="6" t="inlineStr">
        <is>
          <t>CTX042/003</t>
        </is>
      </c>
      <c r="C44" s="6" t="inlineStr">
        <is>
          <t>Milwaukee M18 Cordless Circular Saw</t>
        </is>
      </c>
      <c r="D44" s="6" t="n">
        <v>1</v>
      </c>
      <c r="E44" s="7" t="n">
        <v>320</v>
      </c>
      <c r="F44" s="7">
        <f>IF(E44="","",D44*E44)</f>
        <v/>
      </c>
      <c r="G44" s="6" t="inlineStr">
        <is>
          <t>28/08/2026</t>
        </is>
      </c>
      <c r="H44" s="6" t="n">
        <v>5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H-B03</t>
        </is>
      </c>
      <c r="B45" s="6" t="inlineStr">
        <is>
          <t>AMP096/013</t>
        </is>
      </c>
      <c r="C45" s="6" t="inlineStr">
        <is>
          <t>Milwaukee M18 Cordless Angle Grinder - 5"</t>
        </is>
      </c>
      <c r="D45" s="6" t="n">
        <v>1</v>
      </c>
      <c r="E45" s="7" t="n">
        <v>329</v>
      </c>
      <c r="F45" s="7">
        <f>IF(E45="","",D45*E45)</f>
        <v/>
      </c>
      <c r="G45" s="6" t="inlineStr">
        <is>
          <t>27/08/2026</t>
        </is>
      </c>
      <c r="H45" s="6" t="n">
        <v>6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H-B03</t>
        </is>
      </c>
      <c r="B46" s="6" t="inlineStr">
        <is>
          <t>CTX027/002</t>
        </is>
      </c>
      <c r="C46" s="6" t="inlineStr">
        <is>
          <t>Milwaukee M18 Compact Vacuum</t>
        </is>
      </c>
      <c r="D46" s="6" t="n">
        <v>1</v>
      </c>
      <c r="E46" s="7" t="n">
        <v>145</v>
      </c>
      <c r="F46" s="7">
        <f>IF(E46="","",D46*E46)</f>
        <v/>
      </c>
      <c r="G46" s="6" t="inlineStr">
        <is>
          <t>27/08/2026</t>
        </is>
      </c>
      <c r="H46" s="6" t="n">
        <v>6</v>
      </c>
      <c r="I46" s="6" t="inlineStr">
        <is>
          <t>TARGET DUE</t>
        </is>
      </c>
      <c r="J46" s="6" t="inlineStr"/>
      <c r="K46" s="6" t="inlineStr"/>
    </row>
    <row r="47">
      <c r="A47" s="6" t="inlineStr">
        <is>
          <t>H-B03</t>
        </is>
      </c>
      <c r="B47" s="6" t="inlineStr">
        <is>
          <t>CTX027/003</t>
        </is>
      </c>
      <c r="C47" s="6" t="inlineStr">
        <is>
          <t>Milwaukee M18 Compact Vacuum</t>
        </is>
      </c>
      <c r="D47" s="6" t="n">
        <v>1</v>
      </c>
      <c r="E47" s="7" t="n">
        <v>145</v>
      </c>
      <c r="F47" s="7">
        <f>IF(E47="","",D47*E47)</f>
        <v/>
      </c>
      <c r="G47" s="6" t="inlineStr">
        <is>
          <t>27/08/2026</t>
        </is>
      </c>
      <c r="H47" s="6" t="n">
        <v>6</v>
      </c>
      <c r="I47" s="6" t="inlineStr">
        <is>
          <t>TARGET DUE</t>
        </is>
      </c>
      <c r="J47" s="6" t="inlineStr"/>
      <c r="K47" s="6" t="inlineStr"/>
    </row>
    <row r="48">
      <c r="A48" s="6" t="inlineStr">
        <is>
          <t>H-B03</t>
        </is>
      </c>
      <c r="B48" s="6" t="inlineStr">
        <is>
          <t>CTX027/001</t>
        </is>
      </c>
      <c r="C48" s="6" t="inlineStr">
        <is>
          <t>Milwaukee M18 Compact Vacuum</t>
        </is>
      </c>
      <c r="D48" s="6" t="n">
        <v>1</v>
      </c>
      <c r="E48" s="7" t="n">
        <v>145</v>
      </c>
      <c r="F48" s="7">
        <f>IF(E48="","",D48*E48)</f>
        <v/>
      </c>
      <c r="G48" s="6" t="inlineStr">
        <is>
          <t>27/08/2026</t>
        </is>
      </c>
      <c r="H48" s="6" t="n">
        <v>6</v>
      </c>
      <c r="I48" s="6" t="inlineStr">
        <is>
          <t>TARGET DUE</t>
        </is>
      </c>
      <c r="J48" s="6" t="inlineStr"/>
      <c r="K48" s="6" t="inlineStr"/>
    </row>
    <row r="49">
      <c r="A49" s="6" t="inlineStr">
        <is>
          <t>H-B03</t>
        </is>
      </c>
      <c r="B49" s="6" t="inlineStr">
        <is>
          <t>CTX027/007</t>
        </is>
      </c>
      <c r="C49" s="6" t="inlineStr">
        <is>
          <t>Milwaukee M18 Compact Vacuum</t>
        </is>
      </c>
      <c r="D49" s="6" t="n">
        <v>1</v>
      </c>
      <c r="E49" s="7" t="n">
        <v>145</v>
      </c>
      <c r="F49" s="7">
        <f>IF(E49="","",D49*E49)</f>
        <v/>
      </c>
      <c r="G49" s="6" t="inlineStr">
        <is>
          <t>27/08/2026</t>
        </is>
      </c>
      <c r="H49" s="6" t="n">
        <v>6</v>
      </c>
      <c r="I49" s="6" t="inlineStr">
        <is>
          <t>TARGET DUE</t>
        </is>
      </c>
      <c r="J49" s="6" t="inlineStr"/>
      <c r="K49" s="6" t="inlineStr"/>
    </row>
    <row r="50">
      <c r="A50" s="6" t="inlineStr">
        <is>
          <t>H-B03</t>
        </is>
      </c>
      <c r="B50" s="6" t="inlineStr">
        <is>
          <t>CTX027/005</t>
        </is>
      </c>
      <c r="C50" s="6" t="inlineStr">
        <is>
          <t>Milwaukee M18 Compact Vacuum</t>
        </is>
      </c>
      <c r="D50" s="6" t="n">
        <v>1</v>
      </c>
      <c r="E50" s="7" t="n">
        <v>145</v>
      </c>
      <c r="F50" s="7">
        <f>IF(E50="","",D50*E50)</f>
        <v/>
      </c>
      <c r="G50" s="6" t="inlineStr">
        <is>
          <t>27/08/2026</t>
        </is>
      </c>
      <c r="H50" s="6" t="n">
        <v>6</v>
      </c>
      <c r="I50" s="6" t="inlineStr">
        <is>
          <t>TARGET DUE</t>
        </is>
      </c>
      <c r="J50" s="6" t="inlineStr"/>
      <c r="K50" s="6" t="inlineStr"/>
    </row>
    <row r="51">
      <c r="A51" s="6" t="inlineStr">
        <is>
          <t>H-B03</t>
        </is>
      </c>
      <c r="B51" s="6" t="inlineStr">
        <is>
          <t>AMP096/002</t>
        </is>
      </c>
      <c r="C51" s="6" t="inlineStr">
        <is>
          <t>Milwaukee M18 Cordless Angle Grinder - 5"</t>
        </is>
      </c>
      <c r="D51" s="6" t="n">
        <v>1</v>
      </c>
      <c r="E51" s="7" t="n">
        <v>329</v>
      </c>
      <c r="F51" s="7">
        <f>IF(E51="","",D51*E51)</f>
        <v/>
      </c>
      <c r="G51" s="6" t="inlineStr">
        <is>
          <t>27/08/2026</t>
        </is>
      </c>
      <c r="H51" s="6" t="n">
        <v>6</v>
      </c>
      <c r="I51" s="6" t="inlineStr">
        <is>
          <t>TARGET DUE</t>
        </is>
      </c>
      <c r="J51" s="6" t="inlineStr"/>
      <c r="K51" s="6" t="inlineStr"/>
    </row>
    <row r="52">
      <c r="A52" s="6" t="inlineStr">
        <is>
          <t>H-B03</t>
        </is>
      </c>
      <c r="B52" s="6" t="inlineStr">
        <is>
          <t>AMP096/005</t>
        </is>
      </c>
      <c r="C52" s="6" t="inlineStr">
        <is>
          <t>Milwaukee M18 Cordless Angle Grinder - 5"</t>
        </is>
      </c>
      <c r="D52" s="6" t="n">
        <v>1</v>
      </c>
      <c r="E52" s="7" t="n">
        <v>329</v>
      </c>
      <c r="F52" s="7">
        <f>IF(E52="","",D52*E52)</f>
        <v/>
      </c>
      <c r="G52" s="6" t="inlineStr">
        <is>
          <t>27/08/2026</t>
        </is>
      </c>
      <c r="H52" s="6" t="n">
        <v>6</v>
      </c>
      <c r="I52" s="6" t="inlineStr">
        <is>
          <t>TARGET DUE</t>
        </is>
      </c>
      <c r="J52" s="6" t="inlineStr"/>
      <c r="K52" s="6" t="inlineStr"/>
    </row>
    <row r="53">
      <c r="A53" s="6" t="inlineStr">
        <is>
          <t>H-B03</t>
        </is>
      </c>
      <c r="B53" s="6" t="inlineStr">
        <is>
          <t>AMP108/001</t>
        </is>
      </c>
      <c r="C53" s="6" t="inlineStr">
        <is>
          <t>Milwaukee M18 Compact Vacuum</t>
        </is>
      </c>
      <c r="D53" s="6" t="n">
        <v>1</v>
      </c>
      <c r="E53" s="7" t="n">
        <v>319</v>
      </c>
      <c r="F53" s="7">
        <f>IF(E53="","",D53*E53)</f>
        <v/>
      </c>
      <c r="G53" s="6" t="inlineStr">
        <is>
          <t>27/08/2026</t>
        </is>
      </c>
      <c r="H53" s="6" t="n">
        <v>6</v>
      </c>
      <c r="I53" s="6" t="inlineStr">
        <is>
          <t>TARGET DUE</t>
        </is>
      </c>
      <c r="J53" s="6" t="inlineStr"/>
      <c r="K53" s="6" t="inlineStr"/>
    </row>
    <row r="54">
      <c r="A54" s="6" t="inlineStr">
        <is>
          <t>H-B03</t>
        </is>
      </c>
      <c r="B54" s="6" t="inlineStr">
        <is>
          <t>AMP108/004</t>
        </is>
      </c>
      <c r="C54" s="6" t="inlineStr">
        <is>
          <t>Milwaukee M18 Compact Vacuum</t>
        </is>
      </c>
      <c r="D54" s="6" t="n">
        <v>1</v>
      </c>
      <c r="E54" s="7" t="n">
        <v>319</v>
      </c>
      <c r="F54" s="7">
        <f>IF(E54="","",D54*E54)</f>
        <v/>
      </c>
      <c r="G54" s="6" t="inlineStr">
        <is>
          <t>27/08/2026</t>
        </is>
      </c>
      <c r="H54" s="6" t="n">
        <v>6</v>
      </c>
      <c r="I54" s="6" t="inlineStr">
        <is>
          <t>TARGET DUE</t>
        </is>
      </c>
      <c r="J54" s="6" t="inlineStr"/>
      <c r="K54" s="6" t="inlineStr"/>
    </row>
    <row r="55">
      <c r="A55" s="6" t="inlineStr">
        <is>
          <t>H-B03</t>
        </is>
      </c>
      <c r="B55" s="6" t="inlineStr">
        <is>
          <t>AMP108/002</t>
        </is>
      </c>
      <c r="C55" s="6" t="inlineStr">
        <is>
          <t>Milwaukee M18 Compact Vacuum</t>
        </is>
      </c>
      <c r="D55" s="6" t="n">
        <v>1</v>
      </c>
      <c r="E55" s="7" t="n">
        <v>319</v>
      </c>
      <c r="F55" s="7">
        <f>IF(E55="","",D55*E55)</f>
        <v/>
      </c>
      <c r="G55" s="6" t="inlineStr">
        <is>
          <t>27/08/2026</t>
        </is>
      </c>
      <c r="H55" s="6" t="n">
        <v>6</v>
      </c>
      <c r="I55" s="6" t="inlineStr">
        <is>
          <t>TARGET DUE</t>
        </is>
      </c>
      <c r="J55" s="6" t="inlineStr"/>
      <c r="K55" s="6" t="inlineStr"/>
    </row>
    <row r="56">
      <c r="A56" s="6" t="inlineStr">
        <is>
          <t>H-B03</t>
        </is>
      </c>
      <c r="B56" s="6" t="inlineStr">
        <is>
          <t>AMP353/001</t>
        </is>
      </c>
      <c r="C56" s="6" t="inlineStr">
        <is>
          <t>Milwaukee M18 Brushless Blower</t>
        </is>
      </c>
      <c r="D56" s="6" t="n">
        <v>1</v>
      </c>
      <c r="E56" s="7" t="n">
        <v>318</v>
      </c>
      <c r="F56" s="7">
        <f>IF(E56="","",D56*E56)</f>
        <v/>
      </c>
      <c r="G56" s="6" t="inlineStr">
        <is>
          <t>27/08/2026</t>
        </is>
      </c>
      <c r="H56" s="6" t="n">
        <v>6</v>
      </c>
      <c r="I56" s="6" t="inlineStr">
        <is>
          <t>TARGET DUE</t>
        </is>
      </c>
      <c r="J56" s="6" t="inlineStr"/>
      <c r="K56" s="6" t="inlineStr"/>
    </row>
    <row r="57">
      <c r="A57" s="6" t="inlineStr">
        <is>
          <t>H-B03</t>
        </is>
      </c>
      <c r="B57" s="6" t="inlineStr">
        <is>
          <t>AMP371/001</t>
        </is>
      </c>
      <c r="C57" s="6" t="inlineStr">
        <is>
          <t>Milwaukee Drop Saw</t>
        </is>
      </c>
      <c r="D57" s="6" t="n">
        <v>1</v>
      </c>
      <c r="E57" s="7" t="n">
        <v>728</v>
      </c>
      <c r="F57" s="7">
        <f>IF(E57="","",D57*E57)</f>
        <v/>
      </c>
      <c r="G57" s="6" t="inlineStr">
        <is>
          <t>27/08/2026</t>
        </is>
      </c>
      <c r="H57" s="6" t="n">
        <v>6</v>
      </c>
      <c r="I57" s="6" t="inlineStr">
        <is>
          <t>TARGET DUE</t>
        </is>
      </c>
      <c r="J57" s="6" t="inlineStr"/>
      <c r="K57" s="6" t="inlineStr"/>
    </row>
    <row r="58">
      <c r="A58" s="6" t="inlineStr">
        <is>
          <t>H-B03</t>
        </is>
      </c>
      <c r="B58" s="6" t="inlineStr">
        <is>
          <t>AMP096/023</t>
        </is>
      </c>
      <c r="C58" s="6" t="inlineStr">
        <is>
          <t>Milwaukee M18 Cordless Angle Grinder - 5"</t>
        </is>
      </c>
      <c r="D58" s="6" t="n">
        <v>1</v>
      </c>
      <c r="E58" s="7" t="n">
        <v>329</v>
      </c>
      <c r="F58" s="7">
        <f>IF(E58="","",D58*E58)</f>
        <v/>
      </c>
      <c r="G58" s="6" t="inlineStr">
        <is>
          <t>27/08/2026</t>
        </is>
      </c>
      <c r="H58" s="6" t="n">
        <v>6</v>
      </c>
      <c r="I58" s="6" t="inlineStr">
        <is>
          <t>TARGET DUE</t>
        </is>
      </c>
      <c r="J58" s="6" t="inlineStr"/>
      <c r="K58" s="6" t="inlineStr"/>
    </row>
    <row r="59">
      <c r="A59" s="6" t="inlineStr">
        <is>
          <t>H-B03</t>
        </is>
      </c>
      <c r="B59" s="6" t="inlineStr">
        <is>
          <t>AMP490/001</t>
        </is>
      </c>
      <c r="C59" s="6" t="inlineStr">
        <is>
          <t>Milwaukee M18 Battery Band Saw</t>
        </is>
      </c>
      <c r="D59" s="6" t="n">
        <v>1</v>
      </c>
      <c r="E59" s="7" t="n"/>
      <c r="F59" s="7">
        <f>IF(E59="","",D59*E59)</f>
        <v/>
      </c>
      <c r="G59" s="6" t="inlineStr">
        <is>
          <t>27/08/2026</t>
        </is>
      </c>
      <c r="H59" s="6" t="n">
        <v>6</v>
      </c>
      <c r="I59" s="6" t="inlineStr">
        <is>
          <t>TARGET DUE</t>
        </is>
      </c>
      <c r="J59" s="6" t="inlineStr"/>
      <c r="K59" s="6" t="inlineStr"/>
    </row>
    <row r="60">
      <c r="A60" s="6" t="inlineStr">
        <is>
          <t>H-B04</t>
        </is>
      </c>
      <c r="B60" s="6" t="inlineStr">
        <is>
          <t>AMP304/002</t>
        </is>
      </c>
      <c r="C60" s="6" t="inlineStr">
        <is>
          <t>Milwaukee M12 Battery Operated Light</t>
        </is>
      </c>
      <c r="D60" s="6" t="n">
        <v>1</v>
      </c>
      <c r="E60" s="7" t="n">
        <v>210</v>
      </c>
      <c r="F60" s="7">
        <f>IF(E60="","",D60*E60)</f>
        <v/>
      </c>
      <c r="G60" s="6" t="inlineStr">
        <is>
          <t>30/07/2026</t>
        </is>
      </c>
      <c r="H60" s="6" t="n">
        <v>34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H-B04</t>
        </is>
      </c>
      <c r="B61" s="6" t="inlineStr">
        <is>
          <t>CTX092/005</t>
        </is>
      </c>
      <c r="C61" s="6" t="inlineStr">
        <is>
          <t>Milwaukee M18 Battery Operated Light</t>
        </is>
      </c>
      <c r="D61" s="6" t="n">
        <v>1</v>
      </c>
      <c r="E61" s="7" t="n">
        <v>330</v>
      </c>
      <c r="F61" s="7">
        <f>IF(E61="","",D61*E61)</f>
        <v/>
      </c>
      <c r="G61" s="6" t="inlineStr">
        <is>
          <t>27/08/2026</t>
        </is>
      </c>
      <c r="H61" s="6" t="n">
        <v>6</v>
      </c>
      <c r="I61" s="6" t="inlineStr">
        <is>
          <t>TARGET DUE</t>
        </is>
      </c>
      <c r="J61" s="6" t="inlineStr"/>
      <c r="K61" s="6" t="inlineStr"/>
    </row>
    <row r="62">
      <c r="A62" s="6" t="inlineStr">
        <is>
          <t>H-B04</t>
        </is>
      </c>
      <c r="B62" s="6" t="inlineStr">
        <is>
          <t>CTX092/006</t>
        </is>
      </c>
      <c r="C62" s="6" t="inlineStr">
        <is>
          <t>Milwaukee M18 Battery Operated Light</t>
        </is>
      </c>
      <c r="D62" s="6" t="n">
        <v>1</v>
      </c>
      <c r="E62" s="7" t="n">
        <v>330</v>
      </c>
      <c r="F62" s="7">
        <f>IF(E62="","",D62*E62)</f>
        <v/>
      </c>
      <c r="G62" s="6" t="inlineStr">
        <is>
          <t>27/08/2026</t>
        </is>
      </c>
      <c r="H62" s="6" t="n">
        <v>6</v>
      </c>
      <c r="I62" s="6" t="inlineStr">
        <is>
          <t>TARGET DUE</t>
        </is>
      </c>
      <c r="J62" s="6" t="inlineStr"/>
      <c r="K62" s="6" t="inlineStr"/>
    </row>
    <row r="63">
      <c r="A63" s="6" t="inlineStr">
        <is>
          <t>H-B04</t>
        </is>
      </c>
      <c r="B63" s="6" t="inlineStr">
        <is>
          <t>CTX092/009</t>
        </is>
      </c>
      <c r="C63" s="6" t="inlineStr">
        <is>
          <t>Milwaukee M18 Battery Operated Light</t>
        </is>
      </c>
      <c r="D63" s="6" t="n">
        <v>1</v>
      </c>
      <c r="E63" s="7" t="n">
        <v>330</v>
      </c>
      <c r="F63" s="7">
        <f>IF(E63="","",D63*E63)</f>
        <v/>
      </c>
      <c r="G63" s="6" t="inlineStr">
        <is>
          <t>27/08/2026</t>
        </is>
      </c>
      <c r="H63" s="6" t="n">
        <v>6</v>
      </c>
      <c r="I63" s="6" t="inlineStr">
        <is>
          <t>TARGET DUE</t>
        </is>
      </c>
      <c r="J63" s="6" t="inlineStr"/>
      <c r="K63" s="6" t="inlineStr"/>
    </row>
    <row r="64">
      <c r="A64" s="6" t="inlineStr">
        <is>
          <t>H-B04</t>
        </is>
      </c>
      <c r="B64" s="6" t="inlineStr">
        <is>
          <t>CTX093/012</t>
        </is>
      </c>
      <c r="C64" s="6" t="inlineStr">
        <is>
          <t>Milwaukee Led Magnetic Light - 1500lm</t>
        </is>
      </c>
      <c r="D64" s="6" t="n">
        <v>1</v>
      </c>
      <c r="E64" s="7" t="n">
        <v>140</v>
      </c>
      <c r="F64" s="7">
        <f>IF(E64="","",D64*E64)</f>
        <v/>
      </c>
      <c r="G64" s="6" t="inlineStr">
        <is>
          <t>27/08/2026</t>
        </is>
      </c>
      <c r="H64" s="6" t="n">
        <v>6</v>
      </c>
      <c r="I64" s="6" t="inlineStr">
        <is>
          <t>TARGET DUE</t>
        </is>
      </c>
      <c r="J64" s="6" t="inlineStr"/>
      <c r="K64" s="6" t="inlineStr"/>
    </row>
    <row r="65">
      <c r="A65" s="6" t="inlineStr">
        <is>
          <t>H-B04</t>
        </is>
      </c>
      <c r="B65" s="6" t="inlineStr">
        <is>
          <t>CTX093/052</t>
        </is>
      </c>
      <c r="C65" s="6" t="inlineStr">
        <is>
          <t>Milwaukee Led Magnetic Light - 1500lm</t>
        </is>
      </c>
      <c r="D65" s="6" t="n">
        <v>1</v>
      </c>
      <c r="E65" s="7" t="n">
        <v>140</v>
      </c>
      <c r="F65" s="7">
        <f>IF(E65="","",D65*E65)</f>
        <v/>
      </c>
      <c r="G65" s="6" t="inlineStr">
        <is>
          <t>27/08/2026</t>
        </is>
      </c>
      <c r="H65" s="6" t="n">
        <v>6</v>
      </c>
      <c r="I65" s="6" t="inlineStr">
        <is>
          <t>TARGET DUE</t>
        </is>
      </c>
      <c r="J65" s="6" t="inlineStr"/>
      <c r="K65" s="6" t="inlineStr"/>
    </row>
    <row r="66">
      <c r="A66" s="6" t="inlineStr">
        <is>
          <t>H-B04</t>
        </is>
      </c>
      <c r="B66" s="6" t="inlineStr">
        <is>
          <t>CTX093/054</t>
        </is>
      </c>
      <c r="C66" s="6" t="inlineStr">
        <is>
          <t>Milwaukee Led Magnetic Light - 1500lm</t>
        </is>
      </c>
      <c r="D66" s="6" t="n">
        <v>1</v>
      </c>
      <c r="E66" s="7" t="n">
        <v>140</v>
      </c>
      <c r="F66" s="7">
        <f>IF(E66="","",D66*E66)</f>
        <v/>
      </c>
      <c r="G66" s="6" t="inlineStr">
        <is>
          <t>27/08/2026</t>
        </is>
      </c>
      <c r="H66" s="6" t="n">
        <v>6</v>
      </c>
      <c r="I66" s="6" t="inlineStr">
        <is>
          <t>TARGET DUE</t>
        </is>
      </c>
      <c r="J66" s="6" t="inlineStr"/>
      <c r="K66" s="6" t="inlineStr"/>
    </row>
    <row r="67">
      <c r="A67" s="6" t="inlineStr">
        <is>
          <t>H-B04</t>
        </is>
      </c>
      <c r="B67" s="6" t="inlineStr">
        <is>
          <t>CTX093/059</t>
        </is>
      </c>
      <c r="C67" s="6" t="inlineStr">
        <is>
          <t>Milwaukee Led Magnetic Light - 1500lm</t>
        </is>
      </c>
      <c r="D67" s="6" t="n">
        <v>1</v>
      </c>
      <c r="E67" s="7" t="n">
        <v>140</v>
      </c>
      <c r="F67" s="7">
        <f>IF(E67="","",D67*E67)</f>
        <v/>
      </c>
      <c r="G67" s="6" t="inlineStr">
        <is>
          <t>27/08/2026</t>
        </is>
      </c>
      <c r="H67" s="6" t="n">
        <v>6</v>
      </c>
      <c r="I67" s="6" t="inlineStr">
        <is>
          <t>TARGET DUE</t>
        </is>
      </c>
      <c r="J67" s="6" t="inlineStr"/>
      <c r="K67" s="6" t="inlineStr"/>
    </row>
    <row r="68">
      <c r="A68" s="6" t="inlineStr">
        <is>
          <t>H-B04</t>
        </is>
      </c>
      <c r="B68" s="6" t="inlineStr">
        <is>
          <t>CTX093/802</t>
        </is>
      </c>
      <c r="C68" s="6" t="inlineStr">
        <is>
          <t>Milwaukee Led Magnetic Light - 1500lm</t>
        </is>
      </c>
      <c r="D68" s="6" t="n">
        <v>1</v>
      </c>
      <c r="E68" s="7" t="n">
        <v>140</v>
      </c>
      <c r="F68" s="7">
        <f>IF(E68="","",D68*E68)</f>
        <v/>
      </c>
      <c r="G68" s="6" t="inlineStr">
        <is>
          <t>27/08/2026</t>
        </is>
      </c>
      <c r="H68" s="6" t="n">
        <v>6</v>
      </c>
      <c r="I68" s="6" t="inlineStr">
        <is>
          <t>TARGET DUE</t>
        </is>
      </c>
      <c r="J68" s="6" t="inlineStr"/>
      <c r="K68" s="6" t="inlineStr"/>
    </row>
    <row r="69">
      <c r="A69" s="6" t="inlineStr">
        <is>
          <t>H-B04</t>
        </is>
      </c>
      <c r="B69" s="6" t="inlineStr">
        <is>
          <t>CTX093/006</t>
        </is>
      </c>
      <c r="C69" s="6" t="inlineStr">
        <is>
          <t>Milwaukee Led Magnetic Light - 1500lm</t>
        </is>
      </c>
      <c r="D69" s="6" t="n">
        <v>1</v>
      </c>
      <c r="E69" s="7" t="n">
        <v>140</v>
      </c>
      <c r="F69" s="7">
        <f>IF(E69="","",D69*E69)</f>
        <v/>
      </c>
      <c r="G69" s="6" t="inlineStr">
        <is>
          <t>27/08/2026</t>
        </is>
      </c>
      <c r="H69" s="6" t="n">
        <v>6</v>
      </c>
      <c r="I69" s="6" t="inlineStr">
        <is>
          <t>TARGET DUE</t>
        </is>
      </c>
      <c r="J69" s="6" t="inlineStr"/>
      <c r="K69" s="6" t="inlineStr"/>
    </row>
    <row r="70">
      <c r="A70" s="6" t="inlineStr">
        <is>
          <t>H-B04</t>
        </is>
      </c>
      <c r="B70" s="6" t="inlineStr">
        <is>
          <t>CTX093/058</t>
        </is>
      </c>
      <c r="C70" s="6" t="inlineStr">
        <is>
          <t>Milwaukee Led Magnetic Light - 1500lm</t>
        </is>
      </c>
      <c r="D70" s="6" t="n">
        <v>1</v>
      </c>
      <c r="E70" s="7" t="n">
        <v>140</v>
      </c>
      <c r="F70" s="7">
        <f>IF(E70="","",D70*E70)</f>
        <v/>
      </c>
      <c r="G70" s="6" t="inlineStr">
        <is>
          <t>27/08/2026</t>
        </is>
      </c>
      <c r="H70" s="6" t="n">
        <v>6</v>
      </c>
      <c r="I70" s="6" t="inlineStr">
        <is>
          <t>TARGET DUE</t>
        </is>
      </c>
      <c r="J70" s="6" t="inlineStr"/>
      <c r="K70" s="6" t="inlineStr"/>
    </row>
    <row r="71">
      <c r="A71" s="6" t="inlineStr">
        <is>
          <t>H-B04</t>
        </is>
      </c>
      <c r="B71" s="6" t="inlineStr">
        <is>
          <t>CTX093/007</t>
        </is>
      </c>
      <c r="C71" s="6" t="inlineStr">
        <is>
          <t>Milwaukee Led Magnetic Light - 1500lm</t>
        </is>
      </c>
      <c r="D71" s="6" t="n">
        <v>1</v>
      </c>
      <c r="E71" s="7" t="n">
        <v>140</v>
      </c>
      <c r="F71" s="7">
        <f>IF(E71="","",D71*E71)</f>
        <v/>
      </c>
      <c r="G71" s="6" t="inlineStr">
        <is>
          <t>27/08/2026</t>
        </is>
      </c>
      <c r="H71" s="6" t="n">
        <v>6</v>
      </c>
      <c r="I71" s="6" t="inlineStr">
        <is>
          <t>TARGET DUE</t>
        </is>
      </c>
      <c r="J71" s="6" t="inlineStr"/>
      <c r="K71" s="6" t="inlineStr"/>
    </row>
    <row r="72">
      <c r="A72" s="6" t="inlineStr">
        <is>
          <t>H-B04</t>
        </is>
      </c>
      <c r="B72" s="6" t="inlineStr">
        <is>
          <t>CTX093/009</t>
        </is>
      </c>
      <c r="C72" s="6" t="inlineStr">
        <is>
          <t>Milwaukee Led Magnetic Light - 1500lm</t>
        </is>
      </c>
      <c r="D72" s="6" t="n">
        <v>1</v>
      </c>
      <c r="E72" s="7" t="n">
        <v>140</v>
      </c>
      <c r="F72" s="7">
        <f>IF(E72="","",D72*E72)</f>
        <v/>
      </c>
      <c r="G72" s="6" t="inlineStr">
        <is>
          <t>27/08/2026</t>
        </is>
      </c>
      <c r="H72" s="6" t="n">
        <v>6</v>
      </c>
      <c r="I72" s="6" t="inlineStr">
        <is>
          <t>TARGET DUE</t>
        </is>
      </c>
      <c r="J72" s="6" t="inlineStr"/>
      <c r="K72" s="6" t="inlineStr"/>
    </row>
    <row r="73">
      <c r="A73" s="6" t="inlineStr">
        <is>
          <t>H-B04</t>
        </is>
      </c>
      <c r="B73" s="6" t="inlineStr">
        <is>
          <t>WG0189/004</t>
        </is>
      </c>
      <c r="C73" s="6" t="inlineStr">
        <is>
          <t>Milwaukee M18 Battery Operated Light</t>
        </is>
      </c>
      <c r="D73" s="6" t="n">
        <v>1</v>
      </c>
      <c r="E73" s="7" t="n">
        <v>140</v>
      </c>
      <c r="F73" s="7">
        <f>IF(E73="","",D73*E73)</f>
        <v/>
      </c>
      <c r="G73" s="6" t="inlineStr">
        <is>
          <t>27/08/2026</t>
        </is>
      </c>
      <c r="H73" s="6" t="n">
        <v>6</v>
      </c>
      <c r="I73" s="6" t="inlineStr">
        <is>
          <t>TARGET DUE</t>
        </is>
      </c>
      <c r="J73" s="6" t="inlineStr"/>
      <c r="K73" s="6" t="inlineStr"/>
    </row>
    <row r="74">
      <c r="A74" s="6" t="inlineStr">
        <is>
          <t>H-B04</t>
        </is>
      </c>
      <c r="B74" s="6" t="inlineStr">
        <is>
          <t>CTX093/011</t>
        </is>
      </c>
      <c r="C74" s="6" t="inlineStr">
        <is>
          <t>Milwaukee Led Magnetic Light - 1500lm</t>
        </is>
      </c>
      <c r="D74" s="6" t="n">
        <v>1</v>
      </c>
      <c r="E74" s="7" t="n">
        <v>140</v>
      </c>
      <c r="F74" s="7">
        <f>IF(E74="","",D74*E74)</f>
        <v/>
      </c>
      <c r="G74" s="6" t="inlineStr">
        <is>
          <t>27/08/2026</t>
        </is>
      </c>
      <c r="H74" s="6" t="n">
        <v>6</v>
      </c>
      <c r="I74" s="6" t="inlineStr">
        <is>
          <t>TARGET DUE</t>
        </is>
      </c>
      <c r="J74" s="6" t="inlineStr"/>
      <c r="K74" s="6" t="inlineStr"/>
    </row>
    <row r="75">
      <c r="A75" s="6" t="inlineStr">
        <is>
          <t>H-B04</t>
        </is>
      </c>
      <c r="B75" s="6" t="inlineStr">
        <is>
          <t>CTX093/051</t>
        </is>
      </c>
      <c r="C75" s="6" t="inlineStr">
        <is>
          <t>Milwaukee Led Magnetic Light - 1500lm</t>
        </is>
      </c>
      <c r="D75" s="6" t="n">
        <v>1</v>
      </c>
      <c r="E75" s="7" t="n">
        <v>140</v>
      </c>
      <c r="F75" s="7">
        <f>IF(E75="","",D75*E75)</f>
        <v/>
      </c>
      <c r="G75" s="6" t="inlineStr">
        <is>
          <t>27/08/2026</t>
        </is>
      </c>
      <c r="H75" s="6" t="n">
        <v>6</v>
      </c>
      <c r="I75" s="6" t="inlineStr">
        <is>
          <t>TARGET DUE</t>
        </is>
      </c>
      <c r="J75" s="6" t="inlineStr"/>
      <c r="K75" s="6" t="inlineStr"/>
    </row>
    <row r="76">
      <c r="A76" s="6" t="inlineStr">
        <is>
          <t>H-B04</t>
        </is>
      </c>
      <c r="B76" s="6" t="inlineStr">
        <is>
          <t>CTX093/055</t>
        </is>
      </c>
      <c r="C76" s="6" t="inlineStr">
        <is>
          <t>Milwaukee Led Magnetic Light - 1500lm</t>
        </is>
      </c>
      <c r="D76" s="6" t="n">
        <v>1</v>
      </c>
      <c r="E76" s="7" t="n">
        <v>140</v>
      </c>
      <c r="F76" s="7">
        <f>IF(E76="","",D76*E76)</f>
        <v/>
      </c>
      <c r="G76" s="6" t="inlineStr">
        <is>
          <t>27/08/2026</t>
        </is>
      </c>
      <c r="H76" s="6" t="n">
        <v>6</v>
      </c>
      <c r="I76" s="6" t="inlineStr">
        <is>
          <t>TARGET DUE</t>
        </is>
      </c>
      <c r="J76" s="6" t="inlineStr"/>
      <c r="K76" s="6" t="inlineStr"/>
    </row>
    <row r="77">
      <c r="A77" s="6" t="inlineStr">
        <is>
          <t>H-B04</t>
        </is>
      </c>
      <c r="B77" s="6" t="inlineStr">
        <is>
          <t>AMP092/006</t>
        </is>
      </c>
      <c r="C77" s="6" t="inlineStr">
        <is>
          <t>Milwaukee Telescopic LED Light - 2500lm</t>
        </is>
      </c>
      <c r="D77" s="6" t="n">
        <v>1</v>
      </c>
      <c r="E77" s="7" t="n">
        <v>420</v>
      </c>
      <c r="F77" s="7">
        <f>IF(E77="","",D77*E77)</f>
        <v/>
      </c>
      <c r="G77" s="6" t="inlineStr">
        <is>
          <t>27/08/2026</t>
        </is>
      </c>
      <c r="H77" s="6" t="n">
        <v>6</v>
      </c>
      <c r="I77" s="6" t="inlineStr">
        <is>
          <t>TARGET DUE</t>
        </is>
      </c>
      <c r="J77" s="6" t="inlineStr"/>
      <c r="K77" s="6" t="inlineStr"/>
    </row>
    <row r="78">
      <c r="A78" s="6" t="inlineStr">
        <is>
          <t>H-B04</t>
        </is>
      </c>
      <c r="B78" s="6" t="inlineStr">
        <is>
          <t>AMP092/004</t>
        </is>
      </c>
      <c r="C78" s="6" t="inlineStr">
        <is>
          <t>Milwaukee Telescopic LED Light - 2500lm</t>
        </is>
      </c>
      <c r="D78" s="6" t="n">
        <v>1</v>
      </c>
      <c r="E78" s="7" t="n">
        <v>420</v>
      </c>
      <c r="F78" s="7">
        <f>IF(E78="","",D78*E78)</f>
        <v/>
      </c>
      <c r="G78" s="6" t="inlineStr">
        <is>
          <t>27/08/2026</t>
        </is>
      </c>
      <c r="H78" s="6" t="n">
        <v>6</v>
      </c>
      <c r="I78" s="6" t="inlineStr">
        <is>
          <t>TARGET DUE</t>
        </is>
      </c>
      <c r="J78" s="6" t="inlineStr"/>
      <c r="K78" s="6" t="inlineStr"/>
    </row>
    <row r="79">
      <c r="A79" s="6" t="inlineStr">
        <is>
          <t>H-B04</t>
        </is>
      </c>
      <c r="B79" s="6" t="inlineStr">
        <is>
          <t>AMP092/003</t>
        </is>
      </c>
      <c r="C79" s="6" t="inlineStr">
        <is>
          <t>Milwaukee Telescopic LED Light - 2500lm</t>
        </is>
      </c>
      <c r="D79" s="6" t="n">
        <v>1</v>
      </c>
      <c r="E79" s="7" t="n">
        <v>420</v>
      </c>
      <c r="F79" s="7">
        <f>IF(E79="","",D79*E79)</f>
        <v/>
      </c>
      <c r="G79" s="6" t="inlineStr">
        <is>
          <t>27/08/2026</t>
        </is>
      </c>
      <c r="H79" s="6" t="n">
        <v>6</v>
      </c>
      <c r="I79" s="6" t="inlineStr">
        <is>
          <t>TARGET DUE</t>
        </is>
      </c>
      <c r="J79" s="6" t="inlineStr"/>
      <c r="K79" s="6" t="inlineStr"/>
    </row>
    <row r="80">
      <c r="A80" s="6" t="inlineStr">
        <is>
          <t>H-B04</t>
        </is>
      </c>
      <c r="B80" s="6" t="inlineStr">
        <is>
          <t>AMP092/005</t>
        </is>
      </c>
      <c r="C80" s="6" t="inlineStr">
        <is>
          <t>Milwaukee Telescopic LED Light - 2500lm</t>
        </is>
      </c>
      <c r="D80" s="6" t="n">
        <v>1</v>
      </c>
      <c r="E80" s="7" t="n">
        <v>420</v>
      </c>
      <c r="F80" s="7">
        <f>IF(E80="","",D80*E80)</f>
        <v/>
      </c>
      <c r="G80" s="6" t="inlineStr">
        <is>
          <t>27/08/2026</t>
        </is>
      </c>
      <c r="H80" s="6" t="n">
        <v>6</v>
      </c>
      <c r="I80" s="6" t="inlineStr">
        <is>
          <t>TARGET DUE</t>
        </is>
      </c>
      <c r="J80" s="6" t="inlineStr"/>
      <c r="K80" s="6" t="inlineStr"/>
    </row>
    <row r="81">
      <c r="A81" s="6" t="inlineStr">
        <is>
          <t>H-B04</t>
        </is>
      </c>
      <c r="B81" s="6" t="inlineStr">
        <is>
          <t>AMP097/013</t>
        </is>
      </c>
      <c r="C81" s="6" t="inlineStr">
        <is>
          <t>Milwaukee Led Magnetic Light - 1500lm</t>
        </is>
      </c>
      <c r="D81" s="6" t="n">
        <v>1</v>
      </c>
      <c r="E81" s="7" t="n">
        <v>210</v>
      </c>
      <c r="F81" s="7">
        <f>IF(E81="","",D81*E81)</f>
        <v/>
      </c>
      <c r="G81" s="6" t="inlineStr">
        <is>
          <t>27/08/2026</t>
        </is>
      </c>
      <c r="H81" s="6" t="n">
        <v>6</v>
      </c>
      <c r="I81" s="6" t="inlineStr">
        <is>
          <t>TARGET DUE</t>
        </is>
      </c>
      <c r="J81" s="6" t="inlineStr"/>
      <c r="K81" s="6" t="inlineStr"/>
    </row>
    <row r="82">
      <c r="A82" s="6" t="inlineStr">
        <is>
          <t>H-B04</t>
        </is>
      </c>
      <c r="B82" s="6" t="inlineStr">
        <is>
          <t>AMP300/001</t>
        </is>
      </c>
      <c r="C82" s="6" t="inlineStr">
        <is>
          <t>Milwaukee M18 Battery Operated Light</t>
        </is>
      </c>
      <c r="D82" s="6" t="n">
        <v>1</v>
      </c>
      <c r="E82" s="7" t="n">
        <v>210</v>
      </c>
      <c r="F82" s="7">
        <f>IF(E82="","",D82*E82)</f>
        <v/>
      </c>
      <c r="G82" s="6" t="inlineStr">
        <is>
          <t>27/08/2026</t>
        </is>
      </c>
      <c r="H82" s="6" t="n">
        <v>6</v>
      </c>
      <c r="I82" s="6" t="inlineStr">
        <is>
          <t>TARGET DUE</t>
        </is>
      </c>
      <c r="J82" s="6" t="inlineStr"/>
      <c r="K82" s="6" t="inlineStr"/>
    </row>
    <row r="83">
      <c r="A83" s="6" t="inlineStr">
        <is>
          <t>H-B04</t>
        </is>
      </c>
      <c r="B83" s="6" t="inlineStr">
        <is>
          <t>AMP304/001</t>
        </is>
      </c>
      <c r="C83" s="6" t="inlineStr">
        <is>
          <t>Milwaukee M12 Battery Operated Light</t>
        </is>
      </c>
      <c r="D83" s="6" t="n">
        <v>1</v>
      </c>
      <c r="E83" s="7" t="n">
        <v>210</v>
      </c>
      <c r="F83" s="7">
        <f>IF(E83="","",D83*E83)</f>
        <v/>
      </c>
      <c r="G83" s="6" t="inlineStr">
        <is>
          <t>27/08/2026</t>
        </is>
      </c>
      <c r="H83" s="6" t="n">
        <v>6</v>
      </c>
      <c r="I83" s="6" t="inlineStr">
        <is>
          <t>TARGET DUE</t>
        </is>
      </c>
      <c r="J83" s="6" t="inlineStr"/>
      <c r="K83" s="6" t="inlineStr"/>
    </row>
    <row r="84">
      <c r="A84" s="6" t="inlineStr">
        <is>
          <t>H-B04</t>
        </is>
      </c>
      <c r="B84" s="6" t="inlineStr">
        <is>
          <t>AMP509/001</t>
        </is>
      </c>
      <c r="C84" s="6" t="inlineStr">
        <is>
          <t>Milwaukee M18 Pivoting Area Light</t>
        </is>
      </c>
      <c r="D84" s="6" t="n">
        <v>1</v>
      </c>
      <c r="E84" s="7" t="n"/>
      <c r="F84" s="7">
        <f>IF(E84="","",D84*E84)</f>
        <v/>
      </c>
      <c r="G84" s="6" t="inlineStr">
        <is>
          <t>27/08/2026</t>
        </is>
      </c>
      <c r="H84" s="6" t="n">
        <v>6</v>
      </c>
      <c r="I84" s="6" t="inlineStr">
        <is>
          <t>TARGET DUE</t>
        </is>
      </c>
      <c r="J84" s="6" t="inlineStr"/>
      <c r="K84" s="6" t="inlineStr"/>
    </row>
    <row r="85">
      <c r="A85" s="6" t="inlineStr">
        <is>
          <t>H-B05</t>
        </is>
      </c>
      <c r="B85" s="6" t="inlineStr">
        <is>
          <t>AMP336/001</t>
        </is>
      </c>
      <c r="C85" s="6" t="inlineStr">
        <is>
          <t>Milwaukee M18 Stick Water Pump</t>
        </is>
      </c>
      <c r="D85" s="6" t="n">
        <v>1</v>
      </c>
      <c r="E85" s="7" t="n"/>
      <c r="F85" s="7">
        <f>IF(E85="","",D85*E85)</f>
        <v/>
      </c>
      <c r="G85" s="6" t="inlineStr">
        <is>
          <t>27/08/2026</t>
        </is>
      </c>
      <c r="H85" s="6" t="n">
        <v>6</v>
      </c>
      <c r="I85" s="6" t="inlineStr">
        <is>
          <t>TARGET DUE</t>
        </is>
      </c>
      <c r="J85" s="6" t="inlineStr"/>
      <c r="K85" s="6" t="inlineStr"/>
    </row>
    <row r="86">
      <c r="A86" s="6" t="inlineStr">
        <is>
          <t>H-B05</t>
        </is>
      </c>
      <c r="B86" s="6" t="inlineStr">
        <is>
          <t>AMP336/002</t>
        </is>
      </c>
      <c r="C86" s="6" t="inlineStr">
        <is>
          <t>Milwaukee M18 Stick Water Pump</t>
        </is>
      </c>
      <c r="D86" s="6" t="n">
        <v>1</v>
      </c>
      <c r="E86" s="7" t="n">
        <v>699</v>
      </c>
      <c r="F86" s="7">
        <f>IF(E86="","",D86*E86)</f>
        <v/>
      </c>
      <c r="G86" s="6" t="inlineStr">
        <is>
          <t>27/08/2026</t>
        </is>
      </c>
      <c r="H86" s="6" t="n">
        <v>6</v>
      </c>
      <c r="I86" s="6" t="inlineStr">
        <is>
          <t>TARGET DUE</t>
        </is>
      </c>
      <c r="J86" s="6" t="inlineStr"/>
      <c r="K86" s="6" t="inlineStr"/>
    </row>
    <row r="87">
      <c r="A87" s="6" t="inlineStr">
        <is>
          <t>H-B05</t>
        </is>
      </c>
      <c r="B87" s="6" t="inlineStr">
        <is>
          <t>AMP352/001</t>
        </is>
      </c>
      <c r="C87" s="6" t="inlineStr">
        <is>
          <t>Milwaukee M18 Fuel Needle Concrete Vibrator - 1200mm</t>
        </is>
      </c>
      <c r="D87" s="6" t="n">
        <v>1</v>
      </c>
      <c r="E87" s="7" t="n"/>
      <c r="F87" s="7">
        <f>IF(E87="","",D87*E87)</f>
        <v/>
      </c>
      <c r="G87" s="6" t="inlineStr">
        <is>
          <t>27/08/2026</t>
        </is>
      </c>
      <c r="H87" s="6" t="n">
        <v>6</v>
      </c>
      <c r="I87" s="6" t="inlineStr">
        <is>
          <t>TARGET DUE</t>
        </is>
      </c>
      <c r="J87" s="6" t="inlineStr"/>
      <c r="K87" s="6" t="inlineStr"/>
    </row>
    <row r="88">
      <c r="A88" s="6" t="inlineStr">
        <is>
          <t>I-B01</t>
        </is>
      </c>
      <c r="B88" s="6" t="inlineStr">
        <is>
          <t>AMP089/048</t>
        </is>
      </c>
      <c r="C88" s="6" t="inlineStr">
        <is>
          <t>Milwaukee M18 RedLithium Battery - 6Ah</t>
        </is>
      </c>
      <c r="D88" s="6" t="n">
        <v>1</v>
      </c>
      <c r="E88" s="7" t="n">
        <v>165</v>
      </c>
      <c r="F88" s="7">
        <f>IF(E88="","",D88*E88)</f>
        <v/>
      </c>
      <c r="G88" s="6" t="inlineStr">
        <is>
          <t>06/08/2026</t>
        </is>
      </c>
      <c r="H88" s="6" t="n">
        <v>27</v>
      </c>
      <c r="I88" s="6" t="inlineStr">
        <is>
          <t>TARGET DUE</t>
        </is>
      </c>
      <c r="J88" s="6" t="inlineStr"/>
      <c r="K88" s="6" t="inlineStr"/>
    </row>
    <row r="89">
      <c r="A89" s="6" t="inlineStr">
        <is>
          <t>I-B01</t>
        </is>
      </c>
      <c r="B89" s="6" t="inlineStr">
        <is>
          <t>AMP089/062</t>
        </is>
      </c>
      <c r="C89" s="6" t="inlineStr">
        <is>
          <t>Milwaukee M18 Redlithium Battery - 6ah</t>
        </is>
      </c>
      <c r="D89" s="6" t="n">
        <v>1</v>
      </c>
      <c r="E89" s="7" t="n"/>
      <c r="F89" s="7">
        <f>IF(E89="","",D89*E89)</f>
        <v/>
      </c>
      <c r="G89" s="6" t="inlineStr">
        <is>
          <t>06/08/2026</t>
        </is>
      </c>
      <c r="H89" s="6" t="n">
        <v>27</v>
      </c>
      <c r="I89" s="6" t="inlineStr">
        <is>
          <t>TARGET DUE</t>
        </is>
      </c>
      <c r="J89" s="6" t="inlineStr"/>
      <c r="K89" s="6" t="inlineStr"/>
    </row>
    <row r="90">
      <c r="A90" s="6" t="inlineStr">
        <is>
          <t>I-B01</t>
        </is>
      </c>
      <c r="B90" s="6" t="inlineStr">
        <is>
          <t>AMP488/001</t>
        </is>
      </c>
      <c r="C90" s="6" t="inlineStr">
        <is>
          <t>M12 Redlithium-ion 2.5Ah battery</t>
        </is>
      </c>
      <c r="D90" s="6" t="n">
        <v>1</v>
      </c>
      <c r="E90" s="7" t="n"/>
      <c r="F90" s="7">
        <f>IF(E90="","",D90*E90)</f>
        <v/>
      </c>
      <c r="G90" s="6" t="inlineStr">
        <is>
          <t>14/08/2026</t>
        </is>
      </c>
      <c r="H90" s="6" t="n">
        <v>19</v>
      </c>
      <c r="I90" s="6" t="inlineStr">
        <is>
          <t>TARGET DUE</t>
        </is>
      </c>
      <c r="J90" s="6" t="inlineStr"/>
      <c r="K90" s="6" t="inlineStr"/>
    </row>
    <row r="91">
      <c r="A91" s="6" t="inlineStr">
        <is>
          <t>I-B01</t>
        </is>
      </c>
      <c r="B91" s="6" t="inlineStr">
        <is>
          <t>SD0052/014</t>
        </is>
      </c>
      <c r="C91" s="6" t="inlineStr">
        <is>
          <t>Milwaukee M12 RedLithium Battery - 6.0Ah</t>
        </is>
      </c>
      <c r="D91" s="6" t="n">
        <v>1</v>
      </c>
      <c r="E91" s="7" t="n">
        <v>165</v>
      </c>
      <c r="F91" s="7">
        <f>IF(E91="","",D91*E91)</f>
        <v/>
      </c>
      <c r="G91" s="6" t="inlineStr">
        <is>
          <t>18/08/2026</t>
        </is>
      </c>
      <c r="H91" s="6" t="n">
        <v>15</v>
      </c>
      <c r="I91" s="6" t="inlineStr">
        <is>
          <t>TARGET DUE</t>
        </is>
      </c>
      <c r="J91" s="6" t="inlineStr"/>
      <c r="K91" s="6" t="inlineStr"/>
    </row>
    <row r="92">
      <c r="A92" s="6" t="inlineStr">
        <is>
          <t>I-B01</t>
        </is>
      </c>
      <c r="B92" s="6" t="inlineStr">
        <is>
          <t>AMP144/033</t>
        </is>
      </c>
      <c r="C92" s="6" t="inlineStr">
        <is>
          <t>Milwaukee M18 Redlithium Battery - 5ah</t>
        </is>
      </c>
      <c r="D92" s="6" t="n">
        <v>1</v>
      </c>
      <c r="E92" s="7" t="n"/>
      <c r="F92" s="7">
        <f>IF(E92="","",D92*E92)</f>
        <v/>
      </c>
      <c r="G92" s="6" t="inlineStr">
        <is>
          <t>25/08/2026</t>
        </is>
      </c>
      <c r="H92" s="6" t="n">
        <v>8</v>
      </c>
      <c r="I92" s="6" t="inlineStr">
        <is>
          <t>TARGET DUE</t>
        </is>
      </c>
      <c r="J92" s="6" t="inlineStr"/>
      <c r="K92" s="6" t="inlineStr"/>
    </row>
    <row r="93">
      <c r="A93" s="6" t="inlineStr">
        <is>
          <t>I-B01</t>
        </is>
      </c>
      <c r="B93" s="6" t="inlineStr">
        <is>
          <t>AMP347/003</t>
        </is>
      </c>
      <c r="C93" s="6" t="inlineStr">
        <is>
          <t>Milwaukee M12 RedLithium Battery - 3.0Ah</t>
        </is>
      </c>
      <c r="D93" s="6" t="n">
        <v>1</v>
      </c>
      <c r="E93" s="7" t="n">
        <v>118</v>
      </c>
      <c r="F93" s="7">
        <f>IF(E93="","",D93*E93)</f>
        <v/>
      </c>
      <c r="G93" s="6" t="inlineStr">
        <is>
          <t>26/08/2026</t>
        </is>
      </c>
      <c r="H93" s="6" t="n">
        <v>7</v>
      </c>
      <c r="I93" s="6" t="inlineStr">
        <is>
          <t>TARGET DUE</t>
        </is>
      </c>
      <c r="J93" s="6" t="inlineStr"/>
      <c r="K93" s="6" t="inlineStr"/>
    </row>
    <row r="94">
      <c r="A94" s="6" t="inlineStr">
        <is>
          <t>I-B01</t>
        </is>
      </c>
      <c r="B94" s="6" t="inlineStr">
        <is>
          <t>AMP090/012</t>
        </is>
      </c>
      <c r="C94" s="6" t="inlineStr">
        <is>
          <t>Milwaukee M18 RedLithium Battery - 12Ah</t>
        </is>
      </c>
      <c r="D94" s="6" t="n">
        <v>1</v>
      </c>
      <c r="E94" s="7" t="n">
        <v>409</v>
      </c>
      <c r="F94" s="7">
        <f>IF(E94="","",D94*E94)</f>
        <v/>
      </c>
      <c r="G94" s="6" t="inlineStr">
        <is>
          <t>27/08/2026</t>
        </is>
      </c>
      <c r="H94" s="6" t="n">
        <v>6</v>
      </c>
      <c r="I94" s="6" t="inlineStr">
        <is>
          <t>TARGET DUE</t>
        </is>
      </c>
      <c r="J94" s="6" t="inlineStr"/>
      <c r="K94" s="6" t="inlineStr"/>
    </row>
    <row r="95">
      <c r="A95" s="6" t="inlineStr">
        <is>
          <t>I-B01</t>
        </is>
      </c>
      <c r="B95" s="6" t="inlineStr">
        <is>
          <t>CTX030/002</t>
        </is>
      </c>
      <c r="C95" s="6" t="inlineStr">
        <is>
          <t>Milwaukee M18 Cordless Jigsaw</t>
        </is>
      </c>
      <c r="D95" s="6" t="n">
        <v>1</v>
      </c>
      <c r="E95" s="7" t="n">
        <v>350</v>
      </c>
      <c r="F95" s="7">
        <f>IF(E95="","",D95*E95)</f>
        <v/>
      </c>
      <c r="G95" s="6" t="inlineStr">
        <is>
          <t>27/08/2026</t>
        </is>
      </c>
      <c r="H95" s="6" t="n">
        <v>6</v>
      </c>
      <c r="I95" s="6" t="inlineStr">
        <is>
          <t>TARGET DUE</t>
        </is>
      </c>
      <c r="J95" s="6" t="inlineStr"/>
      <c r="K95" s="6" t="inlineStr"/>
    </row>
    <row r="96">
      <c r="A96" s="6" t="inlineStr">
        <is>
          <t>I-B01</t>
        </is>
      </c>
      <c r="B96" s="6" t="inlineStr">
        <is>
          <t>CTX030/003</t>
        </is>
      </c>
      <c r="C96" s="6" t="inlineStr">
        <is>
          <t>Milwaukee M18 Cordless Jigsaw</t>
        </is>
      </c>
      <c r="D96" s="6" t="n">
        <v>1</v>
      </c>
      <c r="E96" s="7" t="n">
        <v>350</v>
      </c>
      <c r="F96" s="7">
        <f>IF(E96="","",D96*E96)</f>
        <v/>
      </c>
      <c r="G96" s="6" t="inlineStr">
        <is>
          <t>27/08/2026</t>
        </is>
      </c>
      <c r="H96" s="6" t="n">
        <v>6</v>
      </c>
      <c r="I96" s="6" t="inlineStr">
        <is>
          <t>TARGET DUE</t>
        </is>
      </c>
      <c r="J96" s="6" t="inlineStr"/>
      <c r="K96" s="6" t="inlineStr"/>
    </row>
    <row r="97">
      <c r="A97" s="6" t="inlineStr">
        <is>
          <t>I-B01</t>
        </is>
      </c>
      <c r="B97" s="6" t="inlineStr">
        <is>
          <t>CTX030/001</t>
        </is>
      </c>
      <c r="C97" s="6" t="inlineStr">
        <is>
          <t>Milwaukee M18 Cordless Jigsaw</t>
        </is>
      </c>
      <c r="D97" s="6" t="n">
        <v>1</v>
      </c>
      <c r="E97" s="7" t="n">
        <v>350</v>
      </c>
      <c r="F97" s="7">
        <f>IF(E97="","",D97*E97)</f>
        <v/>
      </c>
      <c r="G97" s="6" t="inlineStr">
        <is>
          <t>27/08/2026</t>
        </is>
      </c>
      <c r="H97" s="6" t="n">
        <v>6</v>
      </c>
      <c r="I97" s="6" t="inlineStr">
        <is>
          <t>TARGET DUE</t>
        </is>
      </c>
      <c r="J97" s="6" t="inlineStr"/>
      <c r="K97" s="6" t="inlineStr"/>
    </row>
    <row r="98">
      <c r="A98" s="6" t="inlineStr">
        <is>
          <t>I-B01</t>
        </is>
      </c>
      <c r="B98" s="6" t="inlineStr">
        <is>
          <t>CTX105/001</t>
        </is>
      </c>
      <c r="C98" s="6" t="inlineStr">
        <is>
          <t>Milwaukee M18 Cordless Impact Wrench - 1/2" Drive</t>
        </is>
      </c>
      <c r="D98" s="6" t="n">
        <v>1</v>
      </c>
      <c r="E98" s="7" t="n">
        <v>250</v>
      </c>
      <c r="F98" s="7">
        <f>IF(E98="","",D98*E98)</f>
        <v/>
      </c>
      <c r="G98" s="6" t="inlineStr">
        <is>
          <t>27/08/2026</t>
        </is>
      </c>
      <c r="H98" s="6" t="n">
        <v>6</v>
      </c>
      <c r="I98" s="6" t="inlineStr">
        <is>
          <t>TARGET DUE</t>
        </is>
      </c>
      <c r="J98" s="6" t="inlineStr"/>
      <c r="K98" s="6" t="inlineStr"/>
    </row>
    <row r="99">
      <c r="A99" s="6" t="inlineStr">
        <is>
          <t>I-B01</t>
        </is>
      </c>
      <c r="B99" s="6" t="inlineStr">
        <is>
          <t>CTX026/001</t>
        </is>
      </c>
      <c r="C99" s="6" t="inlineStr">
        <is>
          <t>Milwaukee M18 Compact Inflator</t>
        </is>
      </c>
      <c r="D99" s="6" t="n">
        <v>1</v>
      </c>
      <c r="E99" s="7" t="n">
        <v>160</v>
      </c>
      <c r="F99" s="7">
        <f>IF(E99="","",D99*E99)</f>
        <v/>
      </c>
      <c r="G99" s="6" t="inlineStr">
        <is>
          <t>27/08/2026</t>
        </is>
      </c>
      <c r="H99" s="6" t="n">
        <v>6</v>
      </c>
      <c r="I99" s="6" t="inlineStr">
        <is>
          <t>TARGET DUE</t>
        </is>
      </c>
      <c r="J99" s="6" t="inlineStr"/>
      <c r="K99" s="6" t="inlineStr"/>
    </row>
    <row r="100">
      <c r="A100" s="6" t="inlineStr">
        <is>
          <t>I-B01</t>
        </is>
      </c>
      <c r="B100" s="6" t="inlineStr">
        <is>
          <t>CTX041/003</t>
        </is>
      </c>
      <c r="C100" s="6" t="inlineStr">
        <is>
          <t>Milwaukee M18 Fuel Sds Plus Rotary Hammer</t>
        </is>
      </c>
      <c r="D100" s="6" t="n">
        <v>1</v>
      </c>
      <c r="E100" s="7" t="n">
        <v>350</v>
      </c>
      <c r="F100" s="7">
        <f>IF(E100="","",D100*E100)</f>
        <v/>
      </c>
      <c r="G100" s="6" t="inlineStr">
        <is>
          <t>27/08/2026</t>
        </is>
      </c>
      <c r="H100" s="6" t="n">
        <v>6</v>
      </c>
      <c r="I100" s="6" t="inlineStr">
        <is>
          <t>TARGET DUE</t>
        </is>
      </c>
      <c r="J100" s="6" t="inlineStr"/>
      <c r="K100" s="6" t="inlineStr"/>
    </row>
    <row r="101">
      <c r="A101" s="6" t="inlineStr">
        <is>
          <t>I-B01</t>
        </is>
      </c>
      <c r="B101" s="6" t="inlineStr">
        <is>
          <t>CTX048/001</t>
        </is>
      </c>
      <c r="C101" s="6" t="inlineStr">
        <is>
          <t>Milwaukee M18 Cordless Torch</t>
        </is>
      </c>
      <c r="D101" s="6" t="n">
        <v>1</v>
      </c>
      <c r="E101" s="7" t="n">
        <v>70</v>
      </c>
      <c r="F101" s="7">
        <f>IF(E101="","",D101*E101)</f>
        <v/>
      </c>
      <c r="G101" s="6" t="inlineStr">
        <is>
          <t>27/08/2026</t>
        </is>
      </c>
      <c r="H101" s="6" t="n">
        <v>6</v>
      </c>
      <c r="I101" s="6" t="inlineStr">
        <is>
          <t>TARGET DUE</t>
        </is>
      </c>
      <c r="J101" s="6" t="inlineStr"/>
      <c r="K101" s="6" t="inlineStr"/>
    </row>
    <row r="102">
      <c r="A102" s="6" t="inlineStr">
        <is>
          <t>I-B01</t>
        </is>
      </c>
      <c r="B102" s="6" t="inlineStr">
        <is>
          <t>CTX048/002</t>
        </is>
      </c>
      <c r="C102" s="6" t="inlineStr">
        <is>
          <t>Milwaukee M18 Cordless Torch</t>
        </is>
      </c>
      <c r="D102" s="6" t="n">
        <v>1</v>
      </c>
      <c r="E102" s="7" t="n">
        <v>70</v>
      </c>
      <c r="F102" s="7">
        <f>IF(E102="","",D102*E102)</f>
        <v/>
      </c>
      <c r="G102" s="6" t="inlineStr">
        <is>
          <t>27/08/2026</t>
        </is>
      </c>
      <c r="H102" s="6" t="n">
        <v>6</v>
      </c>
      <c r="I102" s="6" t="inlineStr">
        <is>
          <t>TARGET DUE</t>
        </is>
      </c>
      <c r="J102" s="6" t="inlineStr"/>
      <c r="K102" s="6" t="inlineStr"/>
    </row>
    <row r="103">
      <c r="A103" s="6" t="inlineStr">
        <is>
          <t>I-B01</t>
        </is>
      </c>
      <c r="B103" s="6" t="inlineStr">
        <is>
          <t>CTX091/002</t>
        </is>
      </c>
      <c r="C103" s="6" t="inlineStr">
        <is>
          <t>Milwaukee M18 Cordless Impact Driver</t>
        </is>
      </c>
      <c r="D103" s="6" t="n">
        <v>1</v>
      </c>
      <c r="E103" s="7" t="n">
        <v>230</v>
      </c>
      <c r="F103" s="7">
        <f>IF(E103="","",D103*E103)</f>
        <v/>
      </c>
      <c r="G103" s="6" t="inlineStr">
        <is>
          <t>27/08/2026</t>
        </is>
      </c>
      <c r="H103" s="6" t="n">
        <v>6</v>
      </c>
      <c r="I103" s="6" t="inlineStr">
        <is>
          <t>TARGET DUE</t>
        </is>
      </c>
      <c r="J103" s="6" t="inlineStr"/>
      <c r="K103" s="6" t="inlineStr"/>
    </row>
    <row r="104">
      <c r="A104" s="6" t="inlineStr">
        <is>
          <t>I-B01</t>
        </is>
      </c>
      <c r="B104" s="6" t="inlineStr">
        <is>
          <t>CTX039/008</t>
        </is>
      </c>
      <c r="C104" s="6" t="inlineStr">
        <is>
          <t>Milwaukee Hard Hat Head Lamp Rechargeable</t>
        </is>
      </c>
      <c r="D104" s="6" t="n">
        <v>1</v>
      </c>
      <c r="E104" s="7" t="n">
        <v>95</v>
      </c>
      <c r="F104" s="7">
        <f>IF(E104="","",D104*E104)</f>
        <v/>
      </c>
      <c r="G104" s="6" t="inlineStr">
        <is>
          <t>27/08/2026</t>
        </is>
      </c>
      <c r="H104" s="6" t="n">
        <v>6</v>
      </c>
      <c r="I104" s="6" t="inlineStr">
        <is>
          <t>TARGET DUE</t>
        </is>
      </c>
      <c r="J104" s="6" t="inlineStr"/>
      <c r="K104" s="6" t="inlineStr"/>
    </row>
    <row r="105">
      <c r="A105" s="6" t="inlineStr">
        <is>
          <t>I-B01</t>
        </is>
      </c>
      <c r="B105" s="6" t="inlineStr">
        <is>
          <t>AMP346/001</t>
        </is>
      </c>
      <c r="C105" s="6" t="inlineStr">
        <is>
          <t>Milwaukee M12 Battery Nibbler</t>
        </is>
      </c>
      <c r="D105" s="6" t="n">
        <v>1</v>
      </c>
      <c r="E105" s="7" t="n">
        <v>579</v>
      </c>
      <c r="F105" s="7">
        <f>IF(E105="","",D105*E105)</f>
        <v/>
      </c>
      <c r="G105" s="6" t="inlineStr">
        <is>
          <t>27/08/2026</t>
        </is>
      </c>
      <c r="H105" s="6" t="n">
        <v>6</v>
      </c>
      <c r="I105" s="6" t="inlineStr">
        <is>
          <t>TARGET DUE</t>
        </is>
      </c>
      <c r="J105" s="6" t="inlineStr"/>
      <c r="K105" s="6" t="inlineStr"/>
    </row>
    <row r="106">
      <c r="A106" s="6" t="inlineStr">
        <is>
          <t>I-B01</t>
        </is>
      </c>
      <c r="B106" s="6" t="inlineStr">
        <is>
          <t>AMP361/002</t>
        </is>
      </c>
      <c r="C106" s="6" t="inlineStr">
        <is>
          <t>Milwaukee M18 Planer</t>
        </is>
      </c>
      <c r="D106" s="6" t="n">
        <v>1</v>
      </c>
      <c r="E106" s="7" t="n">
        <v>343</v>
      </c>
      <c r="F106" s="7">
        <f>IF(E106="","",D106*E106)</f>
        <v/>
      </c>
      <c r="G106" s="6" t="inlineStr">
        <is>
          <t>27/08/2026</t>
        </is>
      </c>
      <c r="H106" s="6" t="n">
        <v>6</v>
      </c>
      <c r="I106" s="6" t="inlineStr">
        <is>
          <t>TARGET DUE</t>
        </is>
      </c>
      <c r="J106" s="6" t="inlineStr"/>
      <c r="K106" s="6" t="inlineStr"/>
    </row>
    <row r="107">
      <c r="A107" s="6" t="inlineStr">
        <is>
          <t>I-B01</t>
        </is>
      </c>
      <c r="B107" s="6" t="inlineStr">
        <is>
          <t>AMP354/001</t>
        </is>
      </c>
      <c r="C107" s="6" t="inlineStr">
        <is>
          <t>Milwaukee M18 Cordless Sausage Caulk Gun - 600ml</t>
        </is>
      </c>
      <c r="D107" s="6" t="n">
        <v>1</v>
      </c>
      <c r="E107" s="7" t="n">
        <v>392</v>
      </c>
      <c r="F107" s="7">
        <f>IF(E107="","",D107*E107)</f>
        <v/>
      </c>
      <c r="G107" s="6" t="inlineStr">
        <is>
          <t>27/08/2026</t>
        </is>
      </c>
      <c r="H107" s="6" t="n">
        <v>6</v>
      </c>
      <c r="I107" s="6" t="inlineStr">
        <is>
          <t>TARGET DUE</t>
        </is>
      </c>
      <c r="J107" s="6" t="inlineStr"/>
      <c r="K107" s="6" t="inlineStr"/>
    </row>
    <row r="108">
      <c r="A108" s="6" t="inlineStr">
        <is>
          <t>I-B01</t>
        </is>
      </c>
      <c r="B108" s="6" t="inlineStr">
        <is>
          <t>AMP359/001</t>
        </is>
      </c>
      <c r="C108" s="6" t="inlineStr">
        <is>
          <t>Milwaukee M18 Fuel 1/4" Hex Impact Driver</t>
        </is>
      </c>
      <c r="D108" s="6" t="n">
        <v>1</v>
      </c>
      <c r="E108" s="7" t="n">
        <v>439</v>
      </c>
      <c r="F108" s="7">
        <f>IF(E108="","",D108*E108)</f>
        <v/>
      </c>
      <c r="G108" s="6" t="inlineStr">
        <is>
          <t>27/08/2026</t>
        </is>
      </c>
      <c r="H108" s="6" t="n">
        <v>6</v>
      </c>
      <c r="I108" s="6" t="inlineStr">
        <is>
          <t>TARGET DUE</t>
        </is>
      </c>
      <c r="J108" s="6" t="inlineStr"/>
      <c r="K108" s="6" t="inlineStr"/>
    </row>
    <row r="109">
      <c r="A109" s="6" t="inlineStr">
        <is>
          <t>I-B01</t>
        </is>
      </c>
      <c r="B109" s="6" t="inlineStr">
        <is>
          <t>AMP358/001</t>
        </is>
      </c>
      <c r="C109" s="6" t="inlineStr">
        <is>
          <t>Milwaukee M18 Fuel Sds Plus Rotary Hammer</t>
        </is>
      </c>
      <c r="D109" s="6" t="n">
        <v>1</v>
      </c>
      <c r="E109" s="7" t="n">
        <v>729</v>
      </c>
      <c r="F109" s="7">
        <f>IF(E109="","",D109*E109)</f>
        <v/>
      </c>
      <c r="G109" s="6" t="inlineStr">
        <is>
          <t>27/08/2026</t>
        </is>
      </c>
      <c r="H109" s="6" t="n">
        <v>6</v>
      </c>
      <c r="I109" s="6" t="inlineStr">
        <is>
          <t>TARGET DUE</t>
        </is>
      </c>
      <c r="J109" s="6" t="inlineStr"/>
      <c r="K109" s="6" t="inlineStr"/>
    </row>
    <row r="110">
      <c r="A110" s="6" t="inlineStr">
        <is>
          <t>I-B01</t>
        </is>
      </c>
      <c r="B110" s="6" t="inlineStr">
        <is>
          <t>AMP358/002</t>
        </is>
      </c>
      <c r="C110" s="6" t="inlineStr">
        <is>
          <t>Milwaukee M18 Fuel Sds Plus Rotary Hammer</t>
        </is>
      </c>
      <c r="D110" s="6" t="n">
        <v>1</v>
      </c>
      <c r="E110" s="7" t="n">
        <v>729</v>
      </c>
      <c r="F110" s="7">
        <f>IF(E110="","",D110*E110)</f>
        <v/>
      </c>
      <c r="G110" s="6" t="inlineStr">
        <is>
          <t>27/08/2026</t>
        </is>
      </c>
      <c r="H110" s="6" t="n">
        <v>6</v>
      </c>
      <c r="I110" s="6" t="inlineStr">
        <is>
          <t>TARGET DUE</t>
        </is>
      </c>
      <c r="J110" s="6" t="inlineStr"/>
      <c r="K110" s="6" t="inlineStr"/>
    </row>
    <row r="111">
      <c r="A111" s="6" t="inlineStr">
        <is>
          <t>I-B01</t>
        </is>
      </c>
      <c r="B111" s="6" t="inlineStr">
        <is>
          <t>AMP356/001</t>
        </is>
      </c>
      <c r="C111" s="6" t="inlineStr">
        <is>
          <t>Milwaukee M18 Fuel Mud Mixer</t>
        </is>
      </c>
      <c r="D111" s="6" t="n">
        <v>1</v>
      </c>
      <c r="E111" s="7" t="n"/>
      <c r="F111" s="7">
        <f>IF(E111="","",D111*E111)</f>
        <v/>
      </c>
      <c r="G111" s="6" t="inlineStr">
        <is>
          <t>27/08/2026</t>
        </is>
      </c>
      <c r="H111" s="6" t="n">
        <v>6</v>
      </c>
      <c r="I111" s="6" t="inlineStr">
        <is>
          <t>TARGET DUE</t>
        </is>
      </c>
      <c r="J111" s="6" t="inlineStr"/>
      <c r="K111" s="6" t="inlineStr"/>
    </row>
    <row r="112">
      <c r="A112" s="6" t="inlineStr">
        <is>
          <t>I-B01</t>
        </is>
      </c>
      <c r="B112" s="6" t="inlineStr">
        <is>
          <t>AMP360/001</t>
        </is>
      </c>
      <c r="C112" s="6" t="inlineStr">
        <is>
          <t>Milwaukee M18 Fuel Multi-tool</t>
        </is>
      </c>
      <c r="D112" s="6" t="n">
        <v>1</v>
      </c>
      <c r="E112" s="7" t="n">
        <v>382</v>
      </c>
      <c r="F112" s="7">
        <f>IF(E112="","",D112*E112)</f>
        <v/>
      </c>
      <c r="G112" s="6" t="inlineStr">
        <is>
          <t>27/08/2026</t>
        </is>
      </c>
      <c r="H112" s="6" t="n">
        <v>6</v>
      </c>
      <c r="I112" s="6" t="inlineStr">
        <is>
          <t>TARGET DUE</t>
        </is>
      </c>
      <c r="J112" s="6" t="inlineStr"/>
      <c r="K112" s="6" t="inlineStr"/>
    </row>
    <row r="113">
      <c r="A113" s="6" t="inlineStr">
        <is>
          <t>I-B01</t>
        </is>
      </c>
      <c r="B113" s="6" t="inlineStr">
        <is>
          <t>AMP445/001</t>
        </is>
      </c>
      <c r="C113" s="6" t="inlineStr">
        <is>
          <t>Milwaukee M12 Green 360° Single Plane Laser</t>
        </is>
      </c>
      <c r="D113" s="6" t="n">
        <v>1</v>
      </c>
      <c r="E113" s="7" t="n"/>
      <c r="F113" s="7">
        <f>IF(E113="","",D113*E113)</f>
        <v/>
      </c>
      <c r="G113" s="6" t="inlineStr">
        <is>
          <t>27/08/2026</t>
        </is>
      </c>
      <c r="H113" s="6" t="n">
        <v>6</v>
      </c>
      <c r="I113" s="6" t="inlineStr">
        <is>
          <t>TARGET DUE</t>
        </is>
      </c>
      <c r="J113" s="6" t="inlineStr"/>
      <c r="K113" s="6" t="inlineStr"/>
    </row>
    <row r="114">
      <c r="A114" s="6" t="inlineStr">
        <is>
          <t>I-B01</t>
        </is>
      </c>
      <c r="B114" s="6" t="inlineStr">
        <is>
          <t>AMP346/002</t>
        </is>
      </c>
      <c r="C114" s="6" t="inlineStr">
        <is>
          <t>Milwaukee M12 Battery Nibbler</t>
        </is>
      </c>
      <c r="D114" s="6" t="n">
        <v>1</v>
      </c>
      <c r="E114" s="7" t="n">
        <v>579</v>
      </c>
      <c r="F114" s="7">
        <f>IF(E114="","",D114*E114)</f>
        <v/>
      </c>
      <c r="G114" s="6" t="inlineStr">
        <is>
          <t>27/08/2026</t>
        </is>
      </c>
      <c r="H114" s="6" t="n">
        <v>6</v>
      </c>
      <c r="I114" s="6" t="inlineStr">
        <is>
          <t>TARGET DUE</t>
        </is>
      </c>
      <c r="J114" s="6" t="inlineStr"/>
      <c r="K114" s="6" t="inlineStr"/>
    </row>
    <row r="115">
      <c r="A115" s="6" t="inlineStr">
        <is>
          <t>I-B01</t>
        </is>
      </c>
      <c r="B115" s="6" t="inlineStr">
        <is>
          <t>AMP183/005</t>
        </is>
      </c>
      <c r="C115" s="6" t="inlineStr">
        <is>
          <t>Milwaukee M18 Cordless Impact Driver</t>
        </is>
      </c>
      <c r="D115" s="6" t="n">
        <v>1</v>
      </c>
      <c r="E115" s="7" t="n">
        <v>280</v>
      </c>
      <c r="F115" s="7">
        <f>IF(E115="","",D115*E115)</f>
        <v/>
      </c>
      <c r="G115" s="6" t="inlineStr">
        <is>
          <t>27/08/2026</t>
        </is>
      </c>
      <c r="H115" s="6" t="n">
        <v>6</v>
      </c>
      <c r="I115" s="6" t="inlineStr">
        <is>
          <t>TARGET DUE</t>
        </is>
      </c>
      <c r="J115" s="6" t="inlineStr"/>
      <c r="K115" s="6" t="inlineStr"/>
    </row>
    <row r="116">
      <c r="A116" s="6" t="inlineStr">
        <is>
          <t>I-B01</t>
        </is>
      </c>
      <c r="B116" s="6" t="inlineStr">
        <is>
          <t>AMP098/014</t>
        </is>
      </c>
      <c r="C116" s="6" t="inlineStr">
        <is>
          <t>Milwaukee M18 Cordless Reciprocating Saw</t>
        </is>
      </c>
      <c r="D116" s="6" t="n">
        <v>1</v>
      </c>
      <c r="E116" s="7" t="n"/>
      <c r="F116" s="7">
        <f>IF(E116="","",D116*E116)</f>
        <v/>
      </c>
      <c r="G116" s="6" t="inlineStr">
        <is>
          <t>27/08/2026</t>
        </is>
      </c>
      <c r="H116" s="6" t="n">
        <v>6</v>
      </c>
      <c r="I116" s="6" t="inlineStr">
        <is>
          <t>TARGET DUE</t>
        </is>
      </c>
      <c r="J116" s="6" t="inlineStr"/>
      <c r="K116" s="6" t="inlineStr"/>
    </row>
    <row r="117">
      <c r="A117" s="6" t="inlineStr">
        <is>
          <t>I-B01</t>
        </is>
      </c>
      <c r="B117" s="6" t="inlineStr">
        <is>
          <t>AMP346/003</t>
        </is>
      </c>
      <c r="C117" s="6" t="inlineStr">
        <is>
          <t>Milwaukee M12 Battery Nibbler</t>
        </is>
      </c>
      <c r="D117" s="6" t="n">
        <v>1</v>
      </c>
      <c r="E117" s="7" t="n">
        <v>579</v>
      </c>
      <c r="F117" s="7">
        <f>IF(E117="","",D117*E117)</f>
        <v/>
      </c>
      <c r="G117" s="6" t="inlineStr">
        <is>
          <t>27/08/2026</t>
        </is>
      </c>
      <c r="H117" s="6" t="n">
        <v>6</v>
      </c>
      <c r="I117" s="6" t="inlineStr">
        <is>
          <t>TARGET DUE</t>
        </is>
      </c>
      <c r="J117" s="6" t="inlineStr"/>
      <c r="K117" s="6" t="inlineStr"/>
    </row>
    <row r="118">
      <c r="A118" s="6" t="inlineStr">
        <is>
          <t>I-B01</t>
        </is>
      </c>
      <c r="B118" s="6" t="inlineStr">
        <is>
          <t>CTX123/016</t>
        </is>
      </c>
      <c r="C118" s="6" t="inlineStr">
        <is>
          <t>Milwaukee M12 RedLithium Battery - 6.0Ah</t>
        </is>
      </c>
      <c r="D118" s="6" t="n">
        <v>1</v>
      </c>
      <c r="E118" s="7" t="n">
        <v>130</v>
      </c>
      <c r="F118" s="7">
        <f>IF(E118="","",D118*E118)</f>
        <v/>
      </c>
      <c r="G118" s="6" t="inlineStr">
        <is>
          <t>28/08/2026</t>
        </is>
      </c>
      <c r="H118" s="6" t="n">
        <v>5</v>
      </c>
      <c r="I118" s="6" t="inlineStr">
        <is>
          <t>TARGET DUE</t>
        </is>
      </c>
      <c r="J118" s="6" t="inlineStr"/>
      <c r="K118" s="6" t="inlineStr"/>
    </row>
    <row r="119">
      <c r="A119" s="6" t="inlineStr">
        <is>
          <t>I-B01</t>
        </is>
      </c>
      <c r="B119" s="6" t="inlineStr">
        <is>
          <t>AMP347/001</t>
        </is>
      </c>
      <c r="C119" s="6" t="inlineStr">
        <is>
          <t>Milwaukee M12 RedLithium Battery - 3.0Ah</t>
        </is>
      </c>
      <c r="D119" s="6" t="n">
        <v>1</v>
      </c>
      <c r="E119" s="7" t="n">
        <v>118</v>
      </c>
      <c r="F119" s="7">
        <f>IF(E119="","",D119*E119)</f>
        <v/>
      </c>
      <c r="G119" s="6" t="inlineStr">
        <is>
          <t>28/08/2026</t>
        </is>
      </c>
      <c r="H119" s="6" t="n">
        <v>5</v>
      </c>
      <c r="I119" s="6" t="inlineStr">
        <is>
          <t>TARGET DUE</t>
        </is>
      </c>
      <c r="J119" s="6" t="inlineStr"/>
      <c r="K119" s="6" t="inlineStr"/>
    </row>
    <row r="120">
      <c r="A120" s="6" t="inlineStr">
        <is>
          <t>I-B01</t>
        </is>
      </c>
      <c r="B120" s="6" t="inlineStr">
        <is>
          <t>AMP347/002</t>
        </is>
      </c>
      <c r="C120" s="6" t="inlineStr">
        <is>
          <t>Milwaukee M12 RedLithium Battery - 3.0Ah</t>
        </is>
      </c>
      <c r="D120" s="6" t="n">
        <v>1</v>
      </c>
      <c r="E120" s="7" t="n">
        <v>118</v>
      </c>
      <c r="F120" s="7">
        <f>IF(E120="","",D120*E120)</f>
        <v/>
      </c>
      <c r="G120" s="6" t="inlineStr">
        <is>
          <t>28/08/2026</t>
        </is>
      </c>
      <c r="H120" s="6" t="n">
        <v>5</v>
      </c>
      <c r="I120" s="6" t="inlineStr">
        <is>
          <t>TARGET DUE</t>
        </is>
      </c>
      <c r="J120" s="6" t="inlineStr"/>
      <c r="K120" s="6" t="inlineStr"/>
    </row>
    <row r="121">
      <c r="A121" s="6" t="inlineStr">
        <is>
          <t>I-B01</t>
        </is>
      </c>
      <c r="B121" s="6" t="inlineStr">
        <is>
          <t>AMP347/004</t>
        </is>
      </c>
      <c r="C121" s="6" t="inlineStr">
        <is>
          <t>Milwaukee M12 RedLithium Battery - 3.0Ah</t>
        </is>
      </c>
      <c r="D121" s="6" t="n">
        <v>1</v>
      </c>
      <c r="E121" s="7" t="n">
        <v>118</v>
      </c>
      <c r="F121" s="7">
        <f>IF(E121="","",D121*E121)</f>
        <v/>
      </c>
      <c r="G121" s="6" t="inlineStr">
        <is>
          <t>28/08/2026</t>
        </is>
      </c>
      <c r="H121" s="6" t="n">
        <v>5</v>
      </c>
      <c r="I121" s="6" t="inlineStr">
        <is>
          <t>TARGET DUE</t>
        </is>
      </c>
      <c r="J121" s="6" t="inlineStr"/>
      <c r="K121" s="6" t="inlineStr"/>
    </row>
  </sheetData>
  <autoFilter ref="A1:K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Tools &amp; Batteries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Tools &amp; Batteries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Tools &amp; Batteries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Tools &amp; Batteries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Tools &amp; Batteries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Tools &amp; Batteries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Tools &amp; Batteries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Tools &amp; Batteries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Tools &amp; Batteries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Tools &amp; Batteries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Tools &amp; Batteries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Tools &amp; Batteries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Tools &amp; Batteries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Tools &amp; Batteries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Tools &amp; Batteries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Tools &amp; Batteries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Tools &amp; Batteries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Tools &amp; Batteries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Tools &amp; Batteries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Tools &amp; Batteries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Tools &amp; Batteries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Tools &amp; Batteries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Tools &amp; Batteries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Tools &amp; Batteries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Tools &amp; Batteries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Tools &amp; Batteries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Tools &amp; Batteries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Tools &amp; Batteries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Tools &amp; Batteries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Tools &amp; Batteries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Tools &amp; Batteries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Tools &amp; Batteries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Tools &amp; Batteries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Tools &amp; Batteries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Tools &amp; Batteries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Tools &amp; Batteries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Tools &amp; Batteries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Tools &amp; Batteries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Tools &amp; Batteries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Tools &amp; Batteries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Tools &amp; Batteries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Tools &amp; Batteries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Tools &amp; Batteries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Tools &amp; Batteries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Tools &amp; Batteries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Tools &amp; Batteries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Tools &amp; Batteries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Tools &amp; Batteries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Tools &amp; Batteries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Tools &amp; Batteries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Tools &amp; Batteries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Tools &amp; Batteries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Tools &amp; Batteries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Tools &amp; Batteries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Tools &amp; Batteries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Tools &amp; Batteries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Tools &amp; Batteries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Tools &amp; Batteries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Tools &amp; Batteries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Tools &amp; Batteries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Tools &amp; Batteries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Tools &amp; Batteries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Tools &amp; Batteries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Tools &amp; Batteries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Tools &amp; Batteries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Tools &amp; Batteries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Tools &amp; Batteries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Tools &amp; Batteries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Tools &amp; Batteries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Tools &amp; Batteries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Tools &amp; Batteries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Tools &amp; Batteries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Tools &amp; Batteries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Tools &amp; Batteries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Tools &amp; Batteries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Tools &amp; Batteries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Tools &amp; Batteries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Tools &amp; Batteries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Tools &amp; Batteries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Tools &amp; Batteries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Tools &amp; Batteries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Tools &amp; Batteries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Tools &amp; Batteries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Tools &amp; Batteries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Tools &amp; Batteries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Tools &amp; Batteries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Tools &amp; Batteries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Tools &amp; Batteries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Tools &amp; Batteries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Tools &amp; Batteries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Tools &amp; Batteries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Tools &amp; Batteries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2026-09-03T05:33:09Z</dcterms:created>
  <dcterms:modified xsi:type="dcterms:W3CDTF">2026-09-03T05:33:10Z</dcterms:modified>
  <cp:lastModifiedBy>Fisher, Andrew (North)</cp:lastModifiedBy>
</cp:coreProperties>
</file>