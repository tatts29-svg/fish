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Hire agreements" sheetId="2" state="visible" r:id="rId4"/>
    <sheet name="Service notes" sheetId="3" state="visible" r:id="rId5"/>
    <sheet name="Collections" sheetId="4" state="visible" r:id="rId6"/>
  </sheets>
  <definedNames>
    <definedName function="false" hidden="true" localSheetId="1" name="_xlnm._FilterDatabase" vbProcedure="false">'Hire agreements'!$A$4:$V$171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<sst xmlns="http://schemas.openxmlformats.org/spreadsheetml/2006/main" count="1170" uniqueCount="666">
  <si>
    <t xml:space="preserve">What Advanced used — GC500 2026 build (9 Sep – Fri 23 Oct 2026)</t>
  </si>
  <si>
    <t xml:space="preserve">From the signed papers on the GC500 Delivery Control record, read 24 Oct 2026 (record 10804). No money in this workbook.</t>
  </si>
  <si>
    <t xml:space="preserve">The gear (as written on the hire agreements)</t>
  </si>
  <si>
    <t xml:space="preserve">Mesh panels</t>
  </si>
  <si>
    <t xml:space="preserve">Hoarding panels</t>
  </si>
  <si>
    <t xml:space="preserve">Feet / bases / blocks — written on the dockets</t>
  </si>
  <si>
    <t xml:space="preserve">One item: feet, bases and blocks are the same thing.</t>
  </si>
  <si>
    <t xml:space="preserve">Clamps</t>
  </si>
  <si>
    <t xml:space="preserve">Braces</t>
  </si>
  <si>
    <t xml:space="preserve">Gate wheels</t>
  </si>
  <si>
    <t xml:space="preserve">Crowd-control barriers</t>
  </si>
  <si>
    <t xml:space="preserve">Flat-feet barriers</t>
  </si>
  <si>
    <t xml:space="preserve">The feet, checked against the gear</t>
  </si>
  <si>
    <t xml:space="preserve">Panels (mesh + hoarding) × 1 foot — shared at each join</t>
  </si>
  <si>
    <t xml:space="preserve">A straight run of N panels takes N + 1 feet; a closed compound takes N.</t>
  </si>
  <si>
    <t xml:space="preserve">Braces × 2 feet</t>
  </si>
  <si>
    <t xml:space="preserve">Every bracing-only docket shows exactly two feet a brace (36519, 36531, 36566, 36581, 36763 …).</t>
  </si>
  <si>
    <t xml:space="preserve">Dropped at the iEDM compound (36600, 36620)</t>
  </si>
  <si>
    <t xml:space="preserve">Bases only, no fence put in.</t>
  </si>
  <si>
    <t xml:space="preserve">Under flat-feet barriers, Club 500 (36591)</t>
  </si>
  <si>
    <t xml:space="preserve">Feet worked out from the gear</t>
  </si>
  <si>
    <t xml:space="preserve">Plus one more at the open end of each straight run.</t>
  </si>
  <si>
    <t xml:space="preserve">Feet written on the dockets</t>
  </si>
  <si>
    <t xml:space="preserve">Dockets with the feet box left blank</t>
  </si>
  <si>
    <t xml:space="preserve">230 panels and 4 braces on them: about 240 feet not written.</t>
  </si>
  <si>
    <t xml:space="preserve">Feet used, about</t>
  </si>
  <si>
    <t xml:space="preserve">Written + the blank papers. The gear says the same.</t>
  </si>
  <si>
    <t xml:space="preserve">If braces actually took three feet each (not what the dockets show), add one more per brace: 1,426 more, about 9,900 in all.</t>
  </si>
  <si>
    <t xml:space="preserve">The 216 "fence blocks" on the page were the 216 feet on docket 36566 (108 braces at the rear of the pit building), put on the card's Fence Blocks line. They are inside the feet above, not extra concrete blocks.</t>
  </si>
  <si>
    <t xml:space="preserve">Metres (hire agreements, plus the reviewed service and collection papers)</t>
  </si>
  <si>
    <t xml:space="preserve">Temporary fence put in (clean line)</t>
  </si>
  <si>
    <t xml:space="preserve">Programme was 12,617 m.</t>
  </si>
  <si>
    <t xml:space="preserve">Braced for scrim</t>
  </si>
  <si>
    <t xml:space="preserve">Scrim on fence already standing (service notes)</t>
  </si>
  <si>
    <t xml:space="preserve">Crowd control — event</t>
  </si>
  <si>
    <t xml:space="preserve">Crowd control — demarcation</t>
  </si>
  <si>
    <t xml:space="preserve">Flat feet</t>
  </si>
  <si>
    <t xml:space="preserve">Relocated</t>
  </si>
  <si>
    <t xml:space="preserve">Hire agreements 137.5 m + reviewed service notes 475 m (incl. 24492).</t>
  </si>
  <si>
    <t xml:space="preserve">Taken down and stacked</t>
  </si>
  <si>
    <t xml:space="preserve">Reviewed collection forms and service notes.</t>
  </si>
  <si>
    <t xml:space="preserve">Vehicle gates (docket wheels, two to a gate)</t>
  </si>
  <si>
    <t xml:space="preserve">As the page counts them: 278 wheels on the papers, programme gates only.</t>
  </si>
  <si>
    <t xml:space="preserve">Pedestrian gates</t>
  </si>
  <si>
    <t xml:space="preserve">The papers and the hours</t>
  </si>
  <si>
    <t xml:space="preserve">Signed hire agreements</t>
  </si>
  <si>
    <t xml:space="preserve">Plus the Week 6 workbook row with no docket number (shown in the sheet).</t>
  </si>
  <si>
    <t xml:space="preserve">Service notes</t>
  </si>
  <si>
    <t xml:space="preserve">Collection forms</t>
  </si>
  <si>
    <t xml:space="preserve">Hours on service notes</t>
  </si>
  <si>
    <t xml:space="preserve">Advanced Temporary Fencing — gear used on the GC500 2026 build, docket by docket</t>
  </si>
  <si>
    <t xml:space="preserve">Every signed hire agreement on the record, read 24 Oct 2026 (record 10804). Quantities exactly as written on the papers. Feet, bases and blocks are the same item. Blank = not written on the paper.</t>
  </si>
  <si>
    <t xml:space="preserve">Date</t>
  </si>
  <si>
    <t xml:space="preserve">Week</t>
  </si>
  <si>
    <t xml:space="preserve">Docket</t>
  </si>
  <si>
    <t xml:space="preserve">Area (as on the docket)</t>
  </si>
  <si>
    <t xml:space="preserve">Fence m</t>
  </si>
  <si>
    <t xml:space="preserve">Scrim m</t>
  </si>
  <si>
    <t xml:space="preserve">CCB event m</t>
  </si>
  <si>
    <t xml:space="preserve">CCB demarc m</t>
  </si>
  <si>
    <t xml:space="preserve">Flat feet m</t>
  </si>
  <si>
    <t xml:space="preserve">Feet / bases</t>
  </si>
  <si>
    <t xml:space="preserve">CCB barriers</t>
  </si>
  <si>
    <t xml:space="preserve">Vehicle gates</t>
  </si>
  <si>
    <t xml:space="preserve">Ped gates</t>
  </si>
  <si>
    <t xml:space="preserve">Feet check: panels × 1 + braces × 2</t>
  </si>
  <si>
    <t xml:space="preserve">Feet written less check</t>
  </si>
  <si>
    <t xml:space="preserve">Note</t>
  </si>
  <si>
    <t xml:space="preserve">CW6 · 7–12 Sep</t>
  </si>
  <si>
    <t xml:space="preserve">—</t>
  </si>
  <si>
    <t xml:space="preserve">Week 6 workbook row, no docket number (reads like a copy of 36501); kept as the record has it.</t>
  </si>
  <si>
    <t xml:space="preserve">2026-09-09</t>
  </si>
  <si>
    <t xml:space="preserve">36501</t>
  </si>
  <si>
    <t xml:space="preserve">Sea World Drive, Main Beach</t>
  </si>
  <si>
    <t xml:space="preserve">2026-09-11</t>
  </si>
  <si>
    <t xml:space="preserve">36502</t>
  </si>
  <si>
    <t xml:space="preserve">Phillip Park (Advanced compound)</t>
  </si>
  <si>
    <t xml:space="preserve">36503</t>
  </si>
  <si>
    <t xml:space="preserve">Bracing added to fence already standing: two feet a brace.</t>
  </si>
  <si>
    <t xml:space="preserve">36504</t>
  </si>
  <si>
    <t xml:space="preserve">Helen Park, BSF compound</t>
  </si>
  <si>
    <t xml:space="preserve">2026-09-12</t>
  </si>
  <si>
    <t xml:space="preserve">36511</t>
  </si>
  <si>
    <t xml:space="preserve">Yatala — Morayfield (Phillip Island / Morayfield), region Yatala</t>
  </si>
  <si>
    <t xml:space="preserve">2026-09-14</t>
  </si>
  <si>
    <t xml:space="preserve">CW5 · 14–18 Sep</t>
  </si>
  <si>
    <t xml:space="preserve">36505</t>
  </si>
  <si>
    <t xml:space="preserve">Cypress Carpark</t>
  </si>
  <si>
    <t xml:space="preserve">36506</t>
  </si>
  <si>
    <t xml:space="preserve">S18 C.2 construction zone</t>
  </si>
  <si>
    <t xml:space="preserve">36507</t>
  </si>
  <si>
    <t xml:space="preserve">Admiralty Drive — crossing closure</t>
  </si>
  <si>
    <t xml:space="preserve">36508</t>
  </si>
  <si>
    <t xml:space="preserve">P.B03 C.2</t>
  </si>
  <si>
    <t xml:space="preserve">36509</t>
  </si>
  <si>
    <t xml:space="preserve">Pit Building / Paddock C.2 — perimeter fencing</t>
  </si>
  <si>
    <t xml:space="preserve">36510</t>
  </si>
  <si>
    <t xml:space="preserve">36512</t>
  </si>
  <si>
    <t xml:space="preserve">S04 Corporate Facility / TV compound</t>
  </si>
  <si>
    <t xml:space="preserve">2026-09-15</t>
  </si>
  <si>
    <t xml:space="preserve">36513</t>
  </si>
  <si>
    <t xml:space="preserve">S07 C-Zone</t>
  </si>
  <si>
    <t xml:space="preserve">36514</t>
  </si>
  <si>
    <t xml:space="preserve">Event Operations — iEDM compound</t>
  </si>
  <si>
    <t xml:space="preserve">36515</t>
  </si>
  <si>
    <t xml:space="preserve">S07 — hill protection</t>
  </si>
  <si>
    <t xml:space="preserve">36516</t>
  </si>
  <si>
    <t xml:space="preserve">Track storage</t>
  </si>
  <si>
    <t xml:space="preserve">2026-09-16</t>
  </si>
  <si>
    <t xml:space="preserve">36517</t>
  </si>
  <si>
    <t xml:space="preserve">S.O.5 C.2</t>
  </si>
  <si>
    <t xml:space="preserve">36518</t>
  </si>
  <si>
    <t xml:space="preserve">S.O.5 — grandstand, back of house</t>
  </si>
  <si>
    <t xml:space="preserve">36519</t>
  </si>
  <si>
    <t xml:space="preserve">Event operations — iEDM compound</t>
  </si>
  <si>
    <t xml:space="preserve">36520</t>
  </si>
  <si>
    <t xml:space="preserve">Coates compound / ABD compound</t>
  </si>
  <si>
    <t xml:space="preserve">36521</t>
  </si>
  <si>
    <t xml:space="preserve">S.O.8 exclusion zone</t>
  </si>
  <si>
    <t xml:space="preserve">36522</t>
  </si>
  <si>
    <t xml:space="preserve">Triangles mound, green bays — Macintosh Island Park</t>
  </si>
  <si>
    <t xml:space="preserve">2026-09-17</t>
  </si>
  <si>
    <t xml:space="preserve">36523</t>
  </si>
  <si>
    <t xml:space="preserve">Helen Park — BSF compound</t>
  </si>
  <si>
    <t xml:space="preserve">36524</t>
  </si>
  <si>
    <t xml:space="preserve">Race admin</t>
  </si>
  <si>
    <t xml:space="preserve">36525</t>
  </si>
  <si>
    <t xml:space="preserve">36526</t>
  </si>
  <si>
    <t xml:space="preserve">S.O.5 — retaining wall</t>
  </si>
  <si>
    <t xml:space="preserve">36528</t>
  </si>
  <si>
    <t xml:space="preserve">36529</t>
  </si>
  <si>
    <t xml:space="preserve">P.B.03</t>
  </si>
  <si>
    <t xml:space="preserve">Feet box left blank on the paper.</t>
  </si>
  <si>
    <t xml:space="preserve">36530</t>
  </si>
  <si>
    <t xml:space="preserve">PB01 works area</t>
  </si>
  <si>
    <t xml:space="preserve">36531</t>
  </si>
  <si>
    <t xml:space="preserve">Pit building paddock</t>
  </si>
  <si>
    <t xml:space="preserve">2026-09-18</t>
  </si>
  <si>
    <t xml:space="preserve">36532</t>
  </si>
  <si>
    <t xml:space="preserve">S10 compound</t>
  </si>
  <si>
    <t xml:space="preserve">36533</t>
  </si>
  <si>
    <t xml:space="preserve">S10 C.2</t>
  </si>
  <si>
    <t xml:space="preserve">36534</t>
  </si>
  <si>
    <t xml:space="preserve">S10 to pit entry</t>
  </si>
  <si>
    <t xml:space="preserve">36535</t>
  </si>
  <si>
    <t xml:space="preserve">S10 to pedestrian bridge</t>
  </si>
  <si>
    <t xml:space="preserve">2026-09-21</t>
  </si>
  <si>
    <t xml:space="preserve">CW4 · 21–25 Sep</t>
  </si>
  <si>
    <t xml:space="preserve">36536</t>
  </si>
  <si>
    <t xml:space="preserve">S08 C.Z. — construction zone</t>
  </si>
  <si>
    <t xml:space="preserve">36537</t>
  </si>
  <si>
    <t xml:space="preserve">S04 C.Z. — construction zone</t>
  </si>
  <si>
    <t xml:space="preserve">36538</t>
  </si>
  <si>
    <t xml:space="preserve">S.O.5 grandstand walkway</t>
  </si>
  <si>
    <t xml:space="preserve">2026-09-22</t>
  </si>
  <si>
    <t xml:space="preserve">36539</t>
  </si>
  <si>
    <t xml:space="preserve">36540</t>
  </si>
  <si>
    <t xml:space="preserve">The Hill</t>
  </si>
  <si>
    <t xml:space="preserve">36541</t>
  </si>
  <si>
    <t xml:space="preserve">The Hill — green bays</t>
  </si>
  <si>
    <t xml:space="preserve">36542</t>
  </si>
  <si>
    <t xml:space="preserve">Viewing mound</t>
  </si>
  <si>
    <t xml:space="preserve">2026-09-23</t>
  </si>
  <si>
    <t xml:space="preserve">36543</t>
  </si>
  <si>
    <t xml:space="preserve">PB02 stair protection</t>
  </si>
  <si>
    <t xml:space="preserve">36544</t>
  </si>
  <si>
    <t xml:space="preserve">K01 kitchen compound fencing</t>
  </si>
  <si>
    <t xml:space="preserve">36545</t>
  </si>
  <si>
    <t xml:space="preserve">36546</t>
  </si>
  <si>
    <t xml:space="preserve">S.O.4 C.Z. — construction zone</t>
  </si>
  <si>
    <t xml:space="preserve">36547</t>
  </si>
  <si>
    <t xml:space="preserve">PB01 footings</t>
  </si>
  <si>
    <t xml:space="preserve">36548</t>
  </si>
  <si>
    <t xml:space="preserve">PB01 to Kapalua</t>
  </si>
  <si>
    <t xml:space="preserve">36549</t>
  </si>
  <si>
    <t xml:space="preserve">PB02 footings — north side</t>
  </si>
  <si>
    <t xml:space="preserve">2026-09-24</t>
  </si>
  <si>
    <t xml:space="preserve">36550</t>
  </si>
  <si>
    <t xml:space="preserve">Axis — Hill Prd</t>
  </si>
  <si>
    <t xml:space="preserve">36551</t>
  </si>
  <si>
    <t xml:space="preserve">Breaker St / Serisier Ave — T12 to T14</t>
  </si>
  <si>
    <t xml:space="preserve">36552</t>
  </si>
  <si>
    <t xml:space="preserve">Telstra C.O.W.</t>
  </si>
  <si>
    <t xml:space="preserve">36553</t>
  </si>
  <si>
    <t xml:space="preserve">36554</t>
  </si>
  <si>
    <t xml:space="preserve">Main Beach Rd — supply compound to S22</t>
  </si>
  <si>
    <t xml:space="preserve">36555</t>
  </si>
  <si>
    <t xml:space="preserve">P.B.02 footings (south)</t>
  </si>
  <si>
    <t xml:space="preserve">2026-09-25</t>
  </si>
  <si>
    <t xml:space="preserve">36556</t>
  </si>
  <si>
    <t xml:space="preserve">Narrow Neck to S.O.8 grandstand</t>
  </si>
  <si>
    <t xml:space="preserve">36557</t>
  </si>
  <si>
    <t xml:space="preserve">S.O.8 pedestrian walkway</t>
  </si>
  <si>
    <t xml:space="preserve">36558</t>
  </si>
  <si>
    <t xml:space="preserve">Oceanway C.Z. — concrete barrier infill</t>
  </si>
  <si>
    <t xml:space="preserve">2026-09-28</t>
  </si>
  <si>
    <t xml:space="preserve">CW3 · 28 Sep–2 Oct</t>
  </si>
  <si>
    <t xml:space="preserve">36559</t>
  </si>
  <si>
    <t xml:space="preserve">S.08 to Midwater, Castle St</t>
  </si>
  <si>
    <t xml:space="preserve">36560</t>
  </si>
  <si>
    <t xml:space="preserve">GC Hwy median strip (north)</t>
  </si>
  <si>
    <t xml:space="preserve">36561</t>
  </si>
  <si>
    <t xml:space="preserve">Ocean Way carpark and construction zone</t>
  </si>
  <si>
    <t xml:space="preserve">2026-09-29</t>
  </si>
  <si>
    <t xml:space="preserve">36562</t>
  </si>
  <si>
    <t xml:space="preserve">S.01 to Gate 6 (beach run)</t>
  </si>
  <si>
    <t xml:space="preserve">36563</t>
  </si>
  <si>
    <t xml:space="preserve">S18 grandstand to Meriton</t>
  </si>
  <si>
    <t xml:space="preserve">36564</t>
  </si>
  <si>
    <t xml:space="preserve">WC15 - rear fencing (toilets)</t>
  </si>
  <si>
    <t xml:space="preserve">36565</t>
  </si>
  <si>
    <t xml:space="preserve">S04 to S05 pedestrian bridge</t>
  </si>
  <si>
    <t xml:space="preserve">2026-09-30</t>
  </si>
  <si>
    <t xml:space="preserve">36566</t>
  </si>
  <si>
    <t xml:space="preserve">Rear of pit building / rear of Puppet Theatre</t>
  </si>
  <si>
    <t xml:space="preserve">The 216 feet here are the "216 fence blocks": charged on the card's Fence Blocks line. Same feet, counted once.</t>
  </si>
  <si>
    <t xml:space="preserve">36567</t>
  </si>
  <si>
    <t xml:space="preserve">Smoking zones - trackwide</t>
  </si>
  <si>
    <t xml:space="preserve">2026-10-01</t>
  </si>
  <si>
    <t xml:space="preserve">36568</t>
  </si>
  <si>
    <t xml:space="preserve">GC Hwy median strip (south)</t>
  </si>
  <si>
    <t xml:space="preserve">Braces box blank on the paper. 474 feet for 185 panels fits about 145 braces at two feet each.</t>
  </si>
  <si>
    <t xml:space="preserve">2026-10-02</t>
  </si>
  <si>
    <t xml:space="preserve">36569</t>
  </si>
  <si>
    <t xml:space="preserve">Event - ELEC</t>
  </si>
  <si>
    <t xml:space="preserve">36570</t>
  </si>
  <si>
    <t xml:space="preserve">Telstra COW</t>
  </si>
  <si>
    <t xml:space="preserve">36571</t>
  </si>
  <si>
    <t xml:space="preserve">Triangle to Gate 6 beach run</t>
  </si>
  <si>
    <t xml:space="preserve">36572</t>
  </si>
  <si>
    <t xml:space="preserve">S14 construction zone</t>
  </si>
  <si>
    <t xml:space="preserve">2026-10-06</t>
  </si>
  <si>
    <t xml:space="preserve">CW2 · 6–9 Oct</t>
  </si>
  <si>
    <t xml:space="preserve">36573</t>
  </si>
  <si>
    <t xml:space="preserve">Paradise Waters — Gate 2 entry</t>
  </si>
  <si>
    <t xml:space="preserve">36574</t>
  </si>
  <si>
    <t xml:space="preserve">TV parking</t>
  </si>
  <si>
    <t xml:space="preserve">36575</t>
  </si>
  <si>
    <t xml:space="preserve">S01–S02 — stairs</t>
  </si>
  <si>
    <t xml:space="preserve">36576</t>
  </si>
  <si>
    <t xml:space="preserve">S01 — toilet infill</t>
  </si>
  <si>
    <t xml:space="preserve">36577</t>
  </si>
  <si>
    <t xml:space="preserve">Club 500 storage — perimeter fence</t>
  </si>
  <si>
    <t xml:space="preserve">36578</t>
  </si>
  <si>
    <t xml:space="preserve">TV compound perimeter fence</t>
  </si>
  <si>
    <t xml:space="preserve">2026-10-07</t>
  </si>
  <si>
    <t xml:space="preserve">36579</t>
  </si>
  <si>
    <t xml:space="preserve">Commodore Park</t>
  </si>
  <si>
    <t xml:space="preserve">36580</t>
  </si>
  <si>
    <t xml:space="preserve">S17–S20 — walk through (grandstands)</t>
  </si>
  <si>
    <t xml:space="preserve">36581</t>
  </si>
  <si>
    <t xml:space="preserve">S04 — Corporate</t>
  </si>
  <si>
    <t xml:space="preserve">36582</t>
  </si>
  <si>
    <t xml:space="preserve">Race Admin — double stack — C.2</t>
  </si>
  <si>
    <t xml:space="preserve">2026-10-08</t>
  </si>
  <si>
    <t xml:space="preserve">36583</t>
  </si>
  <si>
    <t xml:space="preserve">Helen Park C.2 + perimeter fence</t>
  </si>
  <si>
    <t xml:space="preserve">36584</t>
  </si>
  <si>
    <t xml:space="preserve">North S01 — Infill</t>
  </si>
  <si>
    <t xml:space="preserve">36585</t>
  </si>
  <si>
    <t xml:space="preserve">Podium</t>
  </si>
  <si>
    <t xml:space="preserve">36586</t>
  </si>
  <si>
    <t xml:space="preserve">Teams Area</t>
  </si>
  <si>
    <t xml:space="preserve">2026-10-09</t>
  </si>
  <si>
    <t xml:space="preserve">36587</t>
  </si>
  <si>
    <t xml:space="preserve">Event Operations — perimeter fence</t>
  </si>
  <si>
    <t xml:space="preserve">36588</t>
  </si>
  <si>
    <t xml:space="preserve">Club 500 Toilets</t>
  </si>
  <si>
    <t xml:space="preserve">36589</t>
  </si>
  <si>
    <t xml:space="preserve">S04 Corporate Toilets</t>
  </si>
  <si>
    <t xml:space="preserve">36590</t>
  </si>
  <si>
    <t xml:space="preserve">Club 500 exclusion zone CZ</t>
  </si>
  <si>
    <t xml:space="preserve">36591</t>
  </si>
  <si>
    <t xml:space="preserve">Club 500 Creek Protection</t>
  </si>
  <si>
    <t xml:space="preserve">Flat-feet barriers: 19 bases written with the 19 flat-feet pieces.</t>
  </si>
  <si>
    <t xml:space="preserve">36592</t>
  </si>
  <si>
    <t xml:space="preserve">The Hill — Monster CZ</t>
  </si>
  <si>
    <t xml:space="preserve">36593</t>
  </si>
  <si>
    <t xml:space="preserve">S21 Grandstand — Walk through</t>
  </si>
  <si>
    <t xml:space="preserve">36594</t>
  </si>
  <si>
    <t xml:space="preserve">Smoking Zones — The Hill / Club 500</t>
  </si>
  <si>
    <t xml:space="preserve">36595</t>
  </si>
  <si>
    <t xml:space="preserve">Rear of S20 — Shower</t>
  </si>
  <si>
    <t xml:space="preserve">2026-10-12</t>
  </si>
  <si>
    <t xml:space="preserve">CW1 · 12–16 Oct</t>
  </si>
  <si>
    <t xml:space="preserve">36596</t>
  </si>
  <si>
    <t xml:space="preserve">Main Beach Pde - Madison Point to Ferny Ave, Higman St to Equinox, Ferny Ave southern side, Seacrest to Pacific Point</t>
  </si>
  <si>
    <t xml:space="preserve">36597</t>
  </si>
  <si>
    <t xml:space="preserve">The Spit - McMahon's/HTH Compound</t>
  </si>
  <si>
    <t xml:space="preserve">36598</t>
  </si>
  <si>
    <t xml:space="preserve">Main Beach Pde - Rhapsody</t>
  </si>
  <si>
    <t xml:space="preserve">36599</t>
  </si>
  <si>
    <t xml:space="preserve">Supply Compound</t>
  </si>
  <si>
    <t xml:space="preserve">36600</t>
  </si>
  <si>
    <t xml:space="preserve">I.E.D.M - Compound</t>
  </si>
  <si>
    <t xml:space="preserve">Drop-off: bases only, delivered to the iEDM compound. No fence put in.</t>
  </si>
  <si>
    <t xml:space="preserve">36601</t>
  </si>
  <si>
    <t xml:space="preserve">Commodore Park - Ticket Entry</t>
  </si>
  <si>
    <t xml:space="preserve">36602</t>
  </si>
  <si>
    <t xml:space="preserve">COW - OPTUS</t>
  </si>
  <si>
    <t xml:space="preserve">2026-10-13</t>
  </si>
  <si>
    <t xml:space="preserve">36603</t>
  </si>
  <si>
    <t xml:space="preserve">Eastern Residents &amp; Demarc - Cable St to Gate 8A - DL &amp; DR</t>
  </si>
  <si>
    <t xml:space="preserve">36604</t>
  </si>
  <si>
    <t xml:space="preserve">Breaker St - T11 - DL</t>
  </si>
  <si>
    <t xml:space="preserve">36605</t>
  </si>
  <si>
    <t xml:space="preserve">Aloha Lane to Cronin St (Crest)</t>
  </si>
  <si>
    <t xml:space="preserve">36606</t>
  </si>
  <si>
    <t xml:space="preserve">Fishermans Walk</t>
  </si>
  <si>
    <t xml:space="preserve">2026-10-14</t>
  </si>
  <si>
    <t xml:space="preserve">36607</t>
  </si>
  <si>
    <t xml:space="preserve">Main Beach Tower</t>
  </si>
  <si>
    <t xml:space="preserve">36608</t>
  </si>
  <si>
    <t xml:space="preserve">Ferny Ave to Narrow Neck Court</t>
  </si>
  <si>
    <t xml:space="preserve">36609</t>
  </si>
  <si>
    <t xml:space="preserve">Esplanade south of Meriton - Porsche Lounge CZ</t>
  </si>
  <si>
    <t xml:space="preserve">36610</t>
  </si>
  <si>
    <t xml:space="preserve">G8 &amp; surround</t>
  </si>
  <si>
    <t xml:space="preserve">2026-10-15</t>
  </si>
  <si>
    <t xml:space="preserve">36611</t>
  </si>
  <si>
    <t xml:space="preserve">Surfers Paradise Light Rail</t>
  </si>
  <si>
    <t xml:space="preserve">36612</t>
  </si>
  <si>
    <t xml:space="preserve">Pacific Ave to Cable St</t>
  </si>
  <si>
    <t xml:space="preserve">36613</t>
  </si>
  <si>
    <t xml:space="preserve">Porsche CZ</t>
  </si>
  <si>
    <t xml:space="preserve">36614</t>
  </si>
  <si>
    <t xml:space="preserve">S.0.8 B.O.H.</t>
  </si>
  <si>
    <t xml:space="preserve">36615</t>
  </si>
  <si>
    <t xml:space="preserve">Gate 5 Compound</t>
  </si>
  <si>
    <t xml:space="preserve">36616</t>
  </si>
  <si>
    <t xml:space="preserve">Triangle CZ</t>
  </si>
  <si>
    <t xml:space="preserve">2026-10-16</t>
  </si>
  <si>
    <t xml:space="preserve">36617</t>
  </si>
  <si>
    <t xml:space="preserve">Main Beach Light Rail</t>
  </si>
  <si>
    <t xml:space="preserve">36618</t>
  </si>
  <si>
    <t xml:space="preserve">36619</t>
  </si>
  <si>
    <t xml:space="preserve">Focus to Meriton - The Esplanade</t>
  </si>
  <si>
    <t xml:space="preserve">36620</t>
  </si>
  <si>
    <t xml:space="preserve">36621</t>
  </si>
  <si>
    <t xml:space="preserve">Monster C.Z. - The Hill</t>
  </si>
  <si>
    <t xml:space="preserve">36622</t>
  </si>
  <si>
    <t xml:space="preserve">Golden Gate</t>
  </si>
  <si>
    <t xml:space="preserve">2026-10-19</t>
  </si>
  <si>
    <t xml:space="preserve">Event week · 19–23 Oct</t>
  </si>
  <si>
    <t xml:space="preserve">36623</t>
  </si>
  <si>
    <t xml:space="preserve">S15 C2 - hoarding fence and demarcation</t>
  </si>
  <si>
    <t xml:space="preserve">36624</t>
  </si>
  <si>
    <t xml:space="preserve">Admiralty Drive Intersection</t>
  </si>
  <si>
    <t xml:space="preserve">36625</t>
  </si>
  <si>
    <t xml:space="preserve">Gate 1 - S23 Compound</t>
  </si>
  <si>
    <t xml:space="preserve">36626</t>
  </si>
  <si>
    <t xml:space="preserve">Seaway Carpark - The Spit and fuel compound</t>
  </si>
  <si>
    <t xml:space="preserve">2026-10-20</t>
  </si>
  <si>
    <t xml:space="preserve">36627</t>
  </si>
  <si>
    <t xml:space="preserve">Track wide (four spots)</t>
  </si>
  <si>
    <t xml:space="preserve">36628</t>
  </si>
  <si>
    <t xml:space="preserve">PB03 - footings</t>
  </si>
  <si>
    <t xml:space="preserve">36629</t>
  </si>
  <si>
    <t xml:space="preserve">PB03 - Gate 1 - Helen Park</t>
  </si>
  <si>
    <t xml:space="preserve">36630</t>
  </si>
  <si>
    <t xml:space="preserve">Macintosh Island - entry</t>
  </si>
  <si>
    <t xml:space="preserve">36631</t>
  </si>
  <si>
    <t xml:space="preserve">36632</t>
  </si>
  <si>
    <t xml:space="preserve">Pit Lane - S01</t>
  </si>
  <si>
    <t xml:space="preserve">36633</t>
  </si>
  <si>
    <t xml:space="preserve">Fire hydrant - S01 - toilets</t>
  </si>
  <si>
    <t xml:space="preserve">36634</t>
  </si>
  <si>
    <t xml:space="preserve">S07 viewing mound</t>
  </si>
  <si>
    <t xml:space="preserve">36635</t>
  </si>
  <si>
    <t xml:space="preserve">Esplanade north to the Triangle</t>
  </si>
  <si>
    <t xml:space="preserve">36636</t>
  </si>
  <si>
    <t xml:space="preserve">Higman St and Rhapsody</t>
  </si>
  <si>
    <t xml:space="preserve">36637</t>
  </si>
  <si>
    <t xml:space="preserve">Macintosh Island foot bridge</t>
  </si>
  <si>
    <t xml:space="preserve">36638</t>
  </si>
  <si>
    <t xml:space="preserve">Pit Building north</t>
  </si>
  <si>
    <t xml:space="preserve">2026-10-21</t>
  </si>
  <si>
    <t xml:space="preserve">36639</t>
  </si>
  <si>
    <t xml:space="preserve">McIntosh Island storage</t>
  </si>
  <si>
    <t xml:space="preserve">36640</t>
  </si>
  <si>
    <t xml:space="preserve">D.S - storage</t>
  </si>
  <si>
    <t xml:space="preserve">36642</t>
  </si>
  <si>
    <t xml:space="preserve">Gate 6</t>
  </si>
  <si>
    <t xml:space="preserve">36643</t>
  </si>
  <si>
    <t xml:space="preserve">Club 500</t>
  </si>
  <si>
    <t xml:space="preserve">36644</t>
  </si>
  <si>
    <t xml:space="preserve">Porsche to Staghorn St (Esplanade)</t>
  </si>
  <si>
    <t xml:space="preserve">36645</t>
  </si>
  <si>
    <t xml:space="preserve">Inlet (Breaker St)</t>
  </si>
  <si>
    <t xml:space="preserve">36646</t>
  </si>
  <si>
    <t xml:space="preserve">S08 - TV</t>
  </si>
  <si>
    <t xml:space="preserve">36647</t>
  </si>
  <si>
    <t xml:space="preserve">Club 500 - creek protection</t>
  </si>
  <si>
    <t xml:space="preserve">36756</t>
  </si>
  <si>
    <t xml:space="preserve">Meriton</t>
  </si>
  <si>
    <t xml:space="preserve">36757</t>
  </si>
  <si>
    <t xml:space="preserve">The Spit - Transporter Compound</t>
  </si>
  <si>
    <t xml:space="preserve">2026-10-22</t>
  </si>
  <si>
    <t xml:space="preserve">36648</t>
  </si>
  <si>
    <t xml:space="preserve">Gate 7</t>
  </si>
  <si>
    <t xml:space="preserve">36649</t>
  </si>
  <si>
    <t xml:space="preserve">Gate 10</t>
  </si>
  <si>
    <t xml:space="preserve">36650</t>
  </si>
  <si>
    <t xml:space="preserve">Malibu - Breaker St</t>
  </si>
  <si>
    <t xml:space="preserve">36751</t>
  </si>
  <si>
    <t xml:space="preserve">Ocean Ave</t>
  </si>
  <si>
    <t xml:space="preserve">36752</t>
  </si>
  <si>
    <t xml:space="preserve">Staghorn St Entry</t>
  </si>
  <si>
    <t xml:space="preserve">36753</t>
  </si>
  <si>
    <t xml:space="preserve">Gate 9 - Breaker St</t>
  </si>
  <si>
    <t xml:space="preserve">36754</t>
  </si>
  <si>
    <t xml:space="preserve">Aloha Lane - Gate 8</t>
  </si>
  <si>
    <t xml:space="preserve">36755</t>
  </si>
  <si>
    <t xml:space="preserve">Helipad</t>
  </si>
  <si>
    <t xml:space="preserve">36758</t>
  </si>
  <si>
    <t xml:space="preserve">T.V - Compound</t>
  </si>
  <si>
    <t xml:space="preserve">36759</t>
  </si>
  <si>
    <t xml:space="preserve">Rhapsody Sales Office - walk through</t>
  </si>
  <si>
    <t xml:space="preserve">36760</t>
  </si>
  <si>
    <t xml:space="preserve">Macintosh Island - fallen tree</t>
  </si>
  <si>
    <t xml:space="preserve">36761</t>
  </si>
  <si>
    <t xml:space="preserve">Rubbish Compactor (Cleanaway)</t>
  </si>
  <si>
    <t xml:space="preserve">36762</t>
  </si>
  <si>
    <t xml:space="preserve">Turn 2-3 - Crash Protection</t>
  </si>
  <si>
    <t xml:space="preserve">36763</t>
  </si>
  <si>
    <t xml:space="preserve">Triangle</t>
  </si>
  <si>
    <t xml:space="preserve">36764</t>
  </si>
  <si>
    <t xml:space="preserve">Monster (Energy)</t>
  </si>
  <si>
    <t xml:space="preserve">2026-10-23</t>
  </si>
  <si>
    <t xml:space="preserve">36765</t>
  </si>
  <si>
    <t xml:space="preserve">Gate 5 - Ocean Ave</t>
  </si>
  <si>
    <t xml:space="preserve">36766</t>
  </si>
  <si>
    <t xml:space="preserve">Smoking Zone - Breaker St</t>
  </si>
  <si>
    <t xml:space="preserve">36767</t>
  </si>
  <si>
    <t xml:space="preserve">Gate 7 - security entry</t>
  </si>
  <si>
    <t xml:space="preserve">36768</t>
  </si>
  <si>
    <t xml:space="preserve">Club 500 - B.O.H.</t>
  </si>
  <si>
    <t xml:space="preserve">Totals (all hire agreements)</t>
  </si>
  <si>
    <t xml:space="preserve">Shaded rows: read the note.</t>
  </si>
  <si>
    <t xml:space="preserve">Service notes (green book) — labour and work on fence already standing</t>
  </si>
  <si>
    <t xml:space="preserve">Area</t>
  </si>
  <si>
    <t xml:space="preserve">Hours</t>
  </si>
  <si>
    <t xml:space="preserve">Metres</t>
  </si>
  <si>
    <t xml:space="preserve">Crew, as written</t>
  </si>
  <si>
    <t xml:space="preserve">What the note says</t>
  </si>
  <si>
    <t xml:space="preserve">24451</t>
  </si>
  <si>
    <t xml:space="preserve">Advanced compound — Phillip Island</t>
  </si>
  <si>
    <t xml:space="preserve">1 man x 1 truck, half an hour</t>
  </si>
  <si>
    <t xml:space="preserve">Written on the note: unloaded semi at 11:00, completed 11:30 (Raceview).</t>
  </si>
  <si>
    <t xml:space="preserve">24452</t>
  </si>
  <si>
    <t xml:space="preserve">Written on the note: unloaded semi 11:30 to 12:00, completed.</t>
  </si>
  <si>
    <t xml:space="preserve">24453</t>
  </si>
  <si>
    <t xml:space="preserve">Advanced compound — Phillip Park</t>
  </si>
  <si>
    <t xml:space="preserve">Written on the note: truck 1 11:30–12:00 = 0.5 h; truck 2 12:00–12:30 = 0.5 h; truck 3 12:30–12:45 with 2 men, 0.25 x 2 = 0.5 h. Three truck loads, 1.5 hours in total — the note’s own arithmetic, not ours.</t>
  </si>
  <si>
    <t xml:space="preserve">24454</t>
  </si>
  <si>
    <t xml:space="preserve">Written on the note: truck 1 12:15–12:45 (1 person); truck 2 13:30–14:00. One hour.</t>
  </si>
  <si>
    <t xml:space="preserve">24455</t>
  </si>
  <si>
    <t xml:space="preserve">Truck storage</t>
  </si>
  <si>
    <t xml:space="preserve">3 men x 15 minutes each = 0.75 hours</t>
  </si>
  <si>
    <t xml:space="preserve">Written on the note: STACKED DOWN the rear section of fence as requested by iEDM, 32.5 m. This is fence COMING DOWN, not going in, and the 2026 card has NO removal line — so the 32.5 m is on the record and is not costed until the project manager says how a stack-down is charged. It also reads on the wording of hire agreement 36530 ("struck down"), which may be the same kind of work — his call. Cor</t>
  </si>
  <si>
    <t xml:space="preserve">24456</t>
  </si>
  <si>
    <t xml:space="preserve">Written on the note: re-installed the stacked-down panels along the rear section, 32.5 m — the 32.5 m stacked down at iEDM’s request on 18 Sep (note 24455).</t>
  </si>
  <si>
    <t xml:space="preserve">24457</t>
  </si>
  <si>
    <t xml:space="preserve">1 man x 1 hr</t>
  </si>
  <si>
    <t xml:space="preserve">Written on the note: unload semis — truck 1 10:30am–11:00am, truck 2 12:00pm–12:30pm, 1 hr total. The date reads 21/09/26 at the head and beside the installer’s signature.</t>
  </si>
  <si>
    <t xml:space="preserve">24458</t>
  </si>
  <si>
    <t xml:space="preserve">Written on the note: unload semis — trucks 849 VAH 11:30am–12:00pm and XB 701V 12:00pm–12:30pm.</t>
  </si>
  <si>
    <t xml:space="preserve">24459</t>
  </si>
  <si>
    <t xml:space="preserve">1 man x 1.5 hrs</t>
  </si>
  <si>
    <t xml:space="preserve">Written on the note: unload semis — trucks XQ 39GD 1:00pm–1:30pm, XQ 82PV 2:00pm–2:30pm and XC 71GI 3:15pm–3:45pm.</t>
  </si>
  <si>
    <t xml:space="preserve">24460</t>
  </si>
  <si>
    <t xml:space="preserve">S08 C.Z. — relocation</t>
  </si>
  <si>
    <t xml:space="preserve">2 men x 30 mins each</t>
  </si>
  <si>
    <t xml:space="preserve">Written on the note: 40 m relocation. Labour 1 hr (2 men x 30 mins each).</t>
  </si>
  <si>
    <t xml:space="preserve">24461</t>
  </si>
  <si>
    <t xml:space="preserve">S08 construction zone</t>
  </si>
  <si>
    <t xml:space="preserve">4 men x 15 mins each</t>
  </si>
  <si>
    <t xml:space="preserve">32.5 m relocated to the stair entrance and run along the rear of the grandstand</t>
  </si>
  <si>
    <t xml:space="preserve">24462</t>
  </si>
  <si>
    <t xml:space="preserve">S08 construction zone / beach install</t>
  </si>
  <si>
    <t xml:space="preserve">4 men x 30 mins each</t>
  </si>
  <si>
    <t xml:space="preserve">100 m relocated from S08 construction zone to the beach run install</t>
  </si>
  <si>
    <t xml:space="preserve">24463</t>
  </si>
  <si>
    <t xml:space="preserve">S04 BOH</t>
  </si>
  <si>
    <t xml:space="preserve">3 men x 15 mins each</t>
  </si>
  <si>
    <t xml:space="preserve">Written on the note: relocate 17.5 m of temp fence to the other side of the timber bollard. Relocation scope only; no new hire metres. Owner sign-off: Andrew, 2 Oct 2026; work/installation date: 2026-09-30. Prices and totals are blank on the photographed paper; the existing tracker labour rate is applied by the page.</t>
  </si>
  <si>
    <t xml:space="preserve">24464</t>
  </si>
  <si>
    <t xml:space="preserve">Advanced compound - Phillip Park (written "Phillip Island")</t>
  </si>
  <si>
    <t xml:space="preserve">Labour 1 man x 1 hr (the Labour and Travel lines are crossed out and rewritten)</t>
  </si>
  <si>
    <t xml:space="preserve">Written on the note: truck XQ39GD 09:45-10:15 and truck XB38ZP 10:30-11:00. The Labour/Travel labels were crossed out and rewritten as Labour 1 man x 1 hr. The written site is Phillip Island; mapped to the Advanced compound at Phillip Park as recorded in the handover. No separate travel entry; unloading/semis is contextual wording in the handover, not a clean original transcription. Owner sign-off</t>
  </si>
  <si>
    <t xml:space="preserve">24465</t>
  </si>
  <si>
    <t xml:space="preserve">Phillip Park - Advanced compound</t>
  </si>
  <si>
    <t xml:space="preserve">2 men x 30 mins each (1 hr)</t>
  </si>
  <si>
    <t xml:space="preserve">Written on the note: 1 hr; rego 1 best read XQ37UH, rego 2 best read XQ70IV (handwriting partly unclear; see original). One hour total, not two. Installer signature/date fields are blank. Owner sign-off: Andrew, 2 Oct 2026; work/installation date: 2026-10-01. Prices and totals are blank on the photographed paper; the existing tracker labour rate is applied by the page.</t>
  </si>
  <si>
    <t xml:space="preserve">24466</t>
  </si>
  <si>
    <t xml:space="preserve">2 men x 15 mins each (0.5 hr)</t>
  </si>
  <si>
    <t xml:space="preserve">Written on the note: Labour "2 men x 15 mins each", quantity 0.5 hrs. Notes: "Scrim 25m". Installer signature present. Prices and totals are blank; the tracker labour rate is applied by the page.</t>
  </si>
  <si>
    <t xml:space="preserve">24467</t>
  </si>
  <si>
    <t xml:space="preserve">1 man x 15 mins (0.25 hr)</t>
  </si>
  <si>
    <t xml:space="preserve">Written on the note: Labour "1 man x 15 mins", quantity 0.25 hrs. Notes: "XC 03EK - 13:30 to 13:45" (a rego and the time, best read; as 24465 recorded regos). Installer signature present. Prices and totals are blank; the tracker labour rate is applied by the page.</t>
  </si>
  <si>
    <t xml:space="preserve">24468</t>
  </si>
  <si>
    <t xml:space="preserve">Phillip Park — Advanced compound</t>
  </si>
  <si>
    <t xml:space="preserve">1 man × 15 mins</t>
  </si>
  <si>
    <t xml:space="preserve">Truck identifier followed by 1:15 pm–1:30 pm. Work date from the paper; owner signed 8 Oct 2026. Prices and totals are blank; existing GC500 card and supplier rates apply where quantities are chargeable. Original signed paper 24468.jpg.</t>
  </si>
  <si>
    <t xml:space="preserve">24469</t>
  </si>
  <si>
    <t xml:space="preserve">S04 Corporate — fence relocation</t>
  </si>
  <si>
    <t xml:space="preserve">3 men × 15 mins each</t>
  </si>
  <si>
    <t xml:space="preserve">Relocate 17.5 m temporary fence. Work date from the paper; owner signed 8 Oct 2026. Prices and totals are blank; existing GC500 card and supplier rates apply where quantities are chargeable. Original signed paper 24469.jpg.</t>
  </si>
  <si>
    <t xml:space="preserve">24470</t>
  </si>
  <si>
    <t xml:space="preserve">1 man × 90 mins</t>
  </si>
  <si>
    <t xml:space="preserve">Three truck windows: Truck 1 10:15–10:45; Truck 2 11:45–12:15; Truck 3 12:30–13:00. Work date from the paper; owner signed 8 Oct 2026. Prices and totals are blank; existing GC500 card and supplier rates apply where quantities are chargeable. Original signed paper 24470.jpg.</t>
  </si>
  <si>
    <t xml:space="preserve">24471</t>
  </si>
  <si>
    <t xml:space="preserve">S04 to S05 — CCBs</t>
  </si>
  <si>
    <t xml:space="preserve">6 men × 15 mins each</t>
  </si>
  <si>
    <t xml:space="preserve">Relocate 65 m CCBs; trailing purpose/location is faint and appears to refer to S05 Bar. Work date from the paper; owner signed 8 Oct 2026. Prices and totals are blank; existing GC500 card and supplier rates apply where quantities are chargeable. Original signed paper 24471.jpg.</t>
  </si>
  <si>
    <t xml:space="preserve">24472</t>
  </si>
  <si>
    <t xml:space="preserve">S10</t>
  </si>
  <si>
    <t xml:space="preserve">4 men × 1 hr each</t>
  </si>
  <si>
    <t xml:space="preserve">Scrim 150 m temp fence. This is scrim work, not evidence of a further 150 m new mesh fence. Work date from the paper; owner signed 8 Oct 2026. Prices and totals are blank; existing GC500 card and supplier rates apply where quantities are chargeable. Original signed paper 24472.jpg. Scrim work relates to the existing S10 fence (hire agreement 36532 / F031); it does not add another 150 m of mesh or </t>
  </si>
  <si>
    <t xml:space="preserve">24473</t>
  </si>
  <si>
    <t xml:space="preserve">Pit Lane</t>
  </si>
  <si>
    <t xml:space="preserve">4 men × 1 hour each</t>
  </si>
  <si>
    <t xml:space="preserve">Scrim existing fence — 150 m. Work/installer dated 8 Oct; owner signed 9 Oct. Existing-fence work; no new mesh length inferred. Exact earlier hire agreement not identified by this paper; source-linked scrim quantity remains for reconciliation.</t>
  </si>
  <si>
    <t xml:space="preserve">24474</t>
  </si>
  <si>
    <t xml:space="preserve">Race Admin — Double Stack CZ relocation</t>
  </si>
  <si>
    <t xml:space="preserve">2 men × 15 minutes each</t>
  </si>
  <si>
    <t xml:space="preserve">Relocate 25 m. Labour quantity 0.5 hours. Collection 28555 also names Race Admin Double Stack CZ but is a separate collected-count record; no extra hire or removal metres inferred.</t>
  </si>
  <si>
    <t xml:space="preserve">24475</t>
  </si>
  <si>
    <t xml:space="preserve">Maddison Point to Ferny Ave</t>
  </si>
  <si>
    <t xml:space="preserve">1/2 hr x 6 men</t>
  </si>
  <si>
    <t xml:space="preserve">Had to walk panels in from Maddison Point to Ferny Ave. Hire agreement invoice num 36596. No access for truck: concrete bollards already installed. Metres installed 135 metres (explanatory note on this labour service sheet).</t>
  </si>
  <si>
    <t xml:space="preserve">24478</t>
  </si>
  <si>
    <t xml:space="preserve">Philip Park - Advanced Compound</t>
  </si>
  <si>
    <t xml:space="preserve">1 man x 0.5 hr</t>
  </si>
  <si>
    <t xml:space="preserve">XB60AQ - 13:45 - 14:15</t>
  </si>
  <si>
    <t xml:space="preserve">24476</t>
  </si>
  <si>
    <t xml:space="preserve">Helen Park</t>
  </si>
  <si>
    <t xml:space="preserve">1/2 hr - 4 men</t>
  </si>
  <si>
    <t xml:space="preserve">Scrim existing fence. 82.5 m.</t>
  </si>
  <si>
    <t xml:space="preserve">24477</t>
  </si>
  <si>
    <t xml:space="preserve">S.0.2 - B.O.H.</t>
  </si>
  <si>
    <t xml:space="preserve">15 mins x 6 men</t>
  </si>
  <si>
    <t xml:space="preserve">Scrim existing fence - 75 m.</t>
  </si>
  <si>
    <t xml:space="preserve">24479</t>
  </si>
  <si>
    <t xml:space="preserve">1 man x 0.5 hrs</t>
  </si>
  <si>
    <t xml:space="preserve">XB38ZP 12:15 - 12:45</t>
  </si>
  <si>
    <t xml:space="preserve">24480</t>
  </si>
  <si>
    <t xml:space="preserve">1 man x 1 hr + 2 men x 0.25 hr each</t>
  </si>
  <si>
    <t xml:space="preserve">XB77VR 9:45 - 10:15; 771CIK 10:15 - 10:45; 22CIRA 13:00 - 13:15 - 2 men x 0.25 hr each</t>
  </si>
  <si>
    <t xml:space="preserve">24481</t>
  </si>
  <si>
    <t xml:space="preserve">1 hr x 4 men</t>
  </si>
  <si>
    <t xml:space="preserve">Includes relocation of S08 CZ to S08 BOH: 65 m. Also includes 120 m scrim, a separate activity. Hire agreement docket number 36614. Labour: 1 hr x 4 men = 4 person-hours. Original source-zone glyph resembles C.Z./C.2.; normalised as construction zone. The earlier metres value 185 combined relocation and scrim; the Metres moved field now retains only the written 65 m relocation.</t>
  </si>
  <si>
    <t xml:space="preserve">24482</t>
  </si>
  <si>
    <t xml:space="preserve">Admiralty Dr - intersection</t>
  </si>
  <si>
    <t xml:space="preserve">see notes: 2 men x 15 min and 3 men x 15 min</t>
  </si>
  <si>
    <t xml:space="preserve">Relocations at the Admiralty Dr intersection on 19 Oct 2026: 'Relocate 22.5 m temp fence - 2 men x 15 mins each = 0.5 hrs' and 'Relocate 70 m CCBs - 3 men x 15 mins each = 0.75 hrs', 1.25 h in the Labour quantity box. Two words at the start of the site address are scribbled out; a word in the notes is crossed out. Hire agreement 36624 is the same day's fence here. Owner/site supervisor and install</t>
  </si>
  <si>
    <t xml:space="preserve">24483</t>
  </si>
  <si>
    <t xml:space="preserve">S04 BOH / corporate entry</t>
  </si>
  <si>
    <t xml:space="preserve">2 men x 30 min each</t>
  </si>
  <si>
    <t xml:space="preserve">'Relocate 17.5 m temporary fence' at the S04 back-of-house / corporate entry on 20 Oct 2026; the '1 hr' sits one row above the Labour row on the paper (in the Supply Hardwood Stakes quantity cell) beside the crew note '2 men x 30 min each'. Both signatures dated 20/10/26.</t>
  </si>
  <si>
    <t xml:space="preserve">24484</t>
  </si>
  <si>
    <t xml:space="preserve">1/2 hr, 4 men</t>
  </si>
  <si>
    <t xml:space="preserve">'Relocated panels from Helen Park C.Z to B.O.H. Braced &amp; Scrim (tick). 80 m' on 20 Oct 2026, 2 h (half an hour, four men). Explicitly recorded metres: 80 m of relocated fence braced and scrimmed at the Helen Park back of house - the scrim on it is not charged from this note; it sits with hire agreement 36629 of the same day (the braces) for Andrew's word through the page's reviewed scrim path. Bot</t>
  </si>
  <si>
    <t xml:space="preserve">24485</t>
  </si>
  <si>
    <t xml:space="preserve">Pit Lane - Race Admin - BOH - TV/Media - S04</t>
  </si>
  <si>
    <t xml:space="preserve">4 hrs x 2 men</t>
  </si>
  <si>
    <t xml:space="preserve">8 h (4 hours, two men) on 20 Oct 2026 across Pit Lane, Race Admin, back of house, TV/Media and S04; the notes list 'Race Admin 122.5 m', 'Pit Lane - 22.5 m', 'B.O.H - TV Media - S04 - 137.5 m' (282.5 m in all) without saying what was done to them - no metres recorded on the note's own line for that reason. A word in the Postal Address row is scribbled out. Both signatures dated 20/10/26.</t>
  </si>
  <si>
    <t xml:space="preserve">24486</t>
  </si>
  <si>
    <t xml:space="preserve">Creek protection to Club 500</t>
  </si>
  <si>
    <t xml:space="preserve">15 mins, 2 men</t>
  </si>
  <si>
    <t xml:space="preserve">'Relocation' from the creek protection to Club 500, half an hour (15 minutes, two men). The installation date is blank and the installer signature and date are blank; the owner/site supervisor signed and dated it 20/10/26, which is the date recorded. No metres on the paper.</t>
  </si>
  <si>
    <t xml:space="preserve">24489</t>
  </si>
  <si>
    <t xml:space="preserve">Philip Park - Advanced compound</t>
  </si>
  <si>
    <t xml:space="preserve">2 men x 15 min each</t>
  </si>
  <si>
    <t xml:space="preserve">Half an hour (two men, 15 minutes each) at the Philip Park Advanced compound on 21 Oct 2026; the note reads 'Truck - PB17x' followed by a scribble (as best read). Both signatures dated 21/10/26.</t>
  </si>
  <si>
    <t xml:space="preserve">24487</t>
  </si>
  <si>
    <t xml:space="preserve">Track wide - scrim labour</t>
  </si>
  <si>
    <t xml:space="preserve">3 men - 10.5 hrs (8 am - 6:30 pm)</t>
  </si>
  <si>
    <t xml:space="preserve">'Scrim labour' on 22 Oct 2026, 31.5 h (three men, 10.5 hours, 8 am to 6:30 pm): 'Porsche to Staghorn St - 420 m' and 'S04 / Podium / S01 Kitchen = 325 m' (745 m in all, the metres recorded). The scrim on these existing fences is not charged from this note: Porsche to Staghorn St is the Esplanade fence that 36644 braced (components only) and the podium's own paper 36631 carries its 5 m of scrim; th</t>
  </si>
  <si>
    <t xml:space="preserve">24488</t>
  </si>
  <si>
    <t xml:space="preserve">2 men - 9:30 am - 7:30 pm (10 hrs) total 20 hrs</t>
  </si>
  <si>
    <t xml:space="preserve">'Scrim labour' on 22 Oct 2026, 20 h (two men, 9:30 am to 7:30 pm): 'Club 500 - 47.5 m', 'PB2 - 65 m', 'S04 - 35 m', 'PB1 - 27.5 m', 'Helen Park - 30 m', 'Ferny Ave - 72.5 m (Rhapsody walk through)', '[word unclear, read as Supply] - 27.5 m', 'PB3 - 7.5 m', 'Rubbish Compactor - 32.5 m' (345 m in all, the metres recorded). The scrim on these existing fences is not charged from this note (the Rhapsod</t>
  </si>
  <si>
    <t xml:space="preserve">24490</t>
  </si>
  <si>
    <t xml:space="preserve">TV compound</t>
  </si>
  <si>
    <t xml:space="preserve">'Relocate 27.5 m temp fence' at the TV compound on 22 Oct 2026, 0.75 h (three men, 15 minutes each). This is the labour hire agreement 36758 points to ('also labour charge added, invoice num 24490'). Both signatures dated 22/10/26.</t>
  </si>
  <si>
    <t xml:space="preserve">24491</t>
  </si>
  <si>
    <t xml:space="preserve">S15 demarcation</t>
  </si>
  <si>
    <t xml:space="preserve">4 men x 15 min each</t>
  </si>
  <si>
    <t xml:space="preserve">'Relocate 26 CCBs' at the S15 demarcation on 22 Oct 2026, 1 h (four men, 15 minutes each); a count of barriers, no metres written. Both signatures dated 22/10/26.</t>
  </si>
  <si>
    <t xml:space="preserve">24492</t>
  </si>
  <si>
    <t xml:space="preserve">Transporter Compound (The Spit)</t>
  </si>
  <si>
    <t xml:space="preserve">15 mins x 2 men</t>
  </si>
  <si>
    <t xml:space="preserve">Labour '15 mins x 2 men', quantity 1/2 HR; notes 'Relocated 30 m.' at the Transporter Compound (The Spit) on 22 Oct 2026, the day after hire agreement 36757 there. Company Coates V8s, contact Brendan. Owner/site supervisor and installer signatures dated 22/10/26. Prices blank.</t>
  </si>
  <si>
    <t xml:space="preserve">Totals</t>
  </si>
  <si>
    <t xml:space="preserve">Collection forms (blue book) — gear collected back off site</t>
  </si>
  <si>
    <t xml:space="preserve">Form</t>
  </si>
  <si>
    <t xml:space="preserve">What the form says</t>
  </si>
  <si>
    <t xml:space="preserve">28551</t>
  </si>
  <si>
    <t xml:space="preserve">Collection form / charge sheet, removal date 21/9/26. Written: 11 mesh panels, 10 bases and 10 clamps collected. The number issued, the difference, the agreed cost and sub-total columns and the hire agreement number box are all blank, so nothing is priced or charged from it. Its counts are exactly t</t>
  </si>
  <si>
    <t xml:space="preserve">28552</t>
  </si>
  <si>
    <t xml:space="preserve">S07 C.Z.</t>
  </si>
  <si>
    <t xml:space="preserve">Collection form / charge sheet, removal date 25/9/26. Written: 47 mesh panels, 58 bases, 58 clamps, 5 braces collected. In the mesh panels issued box a figure is scribbled out; nothing else is written in the issued column. Comment on the form: left +4 panels to secure stair way. The difference, agre</t>
  </si>
  <si>
    <t xml:space="preserve">28553</t>
  </si>
  <si>
    <t xml:space="preserve">S.O.8 C.Z.</t>
  </si>
  <si>
    <t xml:space="preserve">Collection form / charge sheet, removal date 25/9/26. Written: 20 mesh panels, 27 bases, 23 clamps collected. The difference, agreed cost and sub-total columns and the hire agreement number box are blank, so nothing is priced or charged from it.</t>
  </si>
  <si>
    <t xml:space="preserve">28554</t>
  </si>
  <si>
    <t xml:space="preserve">S04 Corporate</t>
  </si>
  <si>
    <t xml:space="preserve">Values are in NO. COLLECTED: 26 mesh panels, 29 bases, 29 clamps. Hire agreement number, removal time and all costs are blank. No removal length is written. Removal date 6 Oct 2026; owner signed 8 Oct 2026. Original signed collection form 28554.jpg. No charge or credit inferred.</t>
  </si>
  <si>
    <t xml:space="preserve">28555</t>
  </si>
  <si>
    <t xml:space="preserve">Race Admin — Double Stack CZ</t>
  </si>
  <si>
    <t xml:space="preserve">Collected quantities as written. Hire agreement and issued counts blank; no charge, credit or metres inferred.</t>
  </si>
  <si>
    <t xml:space="preserve">28556</t>
  </si>
  <si>
    <t xml:space="preserve">Pit Lane Storage</t>
  </si>
  <si>
    <t xml:space="preserve">28557</t>
  </si>
  <si>
    <t xml:space="preserve">Double Stack CZ</t>
  </si>
  <si>
    <t xml:space="preserve">Collected quantities as written. Original location reads Double stack - C.Z. (final handwritten glyph resembles 2); normalised as construction zone. The supplied commercial programme prints 28857, while this original is 28557, with matching 12 Oct Double Stack removal scope; both references are pres</t>
  </si>
  <si>
    <t xml:space="preserve">28558</t>
  </si>
  <si>
    <t xml:space="preserve">28559</t>
  </si>
  <si>
    <t xml:space="preserve">Porsche Lounge</t>
  </si>
  <si>
    <t xml:space="preserve">28560</t>
  </si>
  <si>
    <t xml:space="preserve">S18 - Grandstand</t>
  </si>
  <si>
    <t xml:space="preserve">28561</t>
  </si>
  <si>
    <t xml:space="preserve">Oceanway C.Z.</t>
  </si>
  <si>
    <t xml:space="preserve">Collected from Oceanway C.Z.: 34 mesh panels, 34 bases, 34 clamps, 2 wheels. Removal date written 19/10/26. No hire agreement number, order number or removal time written; no comments; nothing priced on the form. The owner/site supervisor's signature is dated 22/10/26, the installer's 19/10/26.</t>
  </si>
  <si>
    <t xml:space="preserve">28562</t>
  </si>
  <si>
    <t xml:space="preserve">Pit Building B.O.H.</t>
  </si>
  <si>
    <t xml:space="preserve">Collected from Pit Building B.O.H.: 7 CC barriers. Removal date written 20/10/26. No hire agreement number, order number or removal time written; no comments; nothing priced on the form. The owner/site supervisor's signature is dated 22/10/26, the installer's 20/10/26. 'Scott.' is written below the </t>
  </si>
  <si>
    <t xml:space="preserve">28563</t>
  </si>
  <si>
    <t xml:space="preserve">S.O.4 – C.Z.</t>
  </si>
  <si>
    <t xml:space="preserve">Collected from S.O.4 – C.Z.: 5 mesh panels, 4 bases, 8 clamps, 1 wheel. Removal date written 20/10/26. No hire agreement number, order number or removal time written; no comments; nothing priced on the form. The owner/site supervisor's signature is dated 22/10/26, the installer's 20/10/26.</t>
  </si>
  <si>
    <t xml:space="preserve">28564</t>
  </si>
  <si>
    <t xml:space="preserve">Medium strip – North – C.Z.</t>
  </si>
  <si>
    <t xml:space="preserve">Collected from the median strip north C.Z. (written 'Medium strip – North – C.Z.'): 5 mesh panels, 4 bases, 4 clamps, 1 pedestrian gate. Removal date written 20/10/26. No hire agreement number, order number or removal time written; no comments; nothing priced on the form. The owner/site supervisor's</t>
  </si>
  <si>
    <t xml:space="preserve">28566</t>
  </si>
  <si>
    <t xml:space="preserve">Porsche C.Z.</t>
  </si>
  <si>
    <t xml:space="preserve">Collected from the Porsche C.Z.: 12 mesh panels, 13 bases, 10 clamps, 4 wheels. Removal date written 21/10/26 (the owner/site supervisor's signature is dated 20/10/26, the installer's 21/10/26). No hire agreement number written; no comments.</t>
  </si>
  <si>
    <t xml:space="preserve">28567</t>
  </si>
  <si>
    <t xml:space="preserve">Triangle C.Z.</t>
  </si>
  <si>
    <t xml:space="preserve">Collected from the Triangle C.Z.: 31 mesh panels, 27 bases, 28 clamps, 2 wheels. Removal date written 21/10/26 (the owner/site supervisor's signature is dated 20/10/26, the installer's 21/10/26). No hire agreement number written; no comments.</t>
  </si>
  <si>
    <t xml:space="preserve">28569</t>
  </si>
  <si>
    <t xml:space="preserve">S15 - C.Z.</t>
  </si>
  <si>
    <t xml:space="preserve">Collected 21 Oct 2026 from the S15 C.Z.: 38 mesh panels, 39 bases, 37 clamps, 2 wheels. No hire agreement number written; no comments. Both signatures dated 21/10/26.</t>
  </si>
  <si>
    <t xml:space="preserve">28570</t>
  </si>
  <si>
    <t xml:space="preserve">Club 500 - creek protection zone</t>
  </si>
  <si>
    <t xml:space="preserve">Collected 21 Oct 2026 from the Club 500 creek protection zone: 19 bases and, on a handwritten row, 19 flat-feet CCBs. No hire agreement number written; no comments. Both signatures dated 21/10/26.</t>
  </si>
  <si>
    <t xml:space="preserve">28571</t>
  </si>
  <si>
    <t xml:space="preserve">The Hill - Monster C.Z.</t>
  </si>
  <si>
    <t xml:space="preserve">Collected from the Monster Energy C.Z. on The Hill: 59 mesh panels, 53 bases, 53 clamps, 2 wheels. Removal date written 22/10/26 (the owner/site supervisor's signature is dated 21/10/26, the installer's 22/10/26). No hire agreement number written; no comments.</t>
  </si>
  <si>
    <t xml:space="preserve">28572</t>
  </si>
  <si>
    <t xml:space="preserve">PB03</t>
  </si>
  <si>
    <t xml:space="preserve">Collected 22 Oct 2026 from PB03: 4 mesh panels; Base and Clamp written as a dash - none. No hire agreement number written; no comments. Both signatures dated 22/10/26.</t>
  </si>
  <si>
    <t xml:space="preserve">28574</t>
  </si>
  <si>
    <t xml:space="preserve">Macintosh Island - Pit Building north</t>
  </si>
  <si>
    <t xml:space="preserve">Collected 22 Oct 2026 from Macintosh Island - Pit Building north: 1 CC barrier and, on a handwritten row, 16 flat-feet CCBs. No hire agreement number written; no comments. Both signatures dated 22/10/26.</t>
  </si>
  <si>
    <t xml:space="preserve">28575</t>
  </si>
  <si>
    <t xml:space="preserve">Macintosh Island</t>
  </si>
  <si>
    <t xml:space="preserve">Collected 22 Oct 2026 from Macintosh Island: 2 mesh panels; Base and Clamp written as a dash - none. No hire agreement number written; no comments. Both signatures dated 22/10/26.</t>
  </si>
  <si>
    <t xml:space="preserve">28577</t>
  </si>
  <si>
    <t xml:space="preserve">S19</t>
  </si>
  <si>
    <t xml:space="preserve">Collected 22 Oct 2026 from S19: 4 mesh panels, 15 CC barriers, 3 bases, 3 clamps. No hire agreement number written; no comments. Both signatures dated 22/10/26.</t>
  </si>
  <si>
    <t xml:space="preserve">28578</t>
  </si>
  <si>
    <t xml:space="preserve">S21</t>
  </si>
  <si>
    <t xml:space="preserve">Collected 22 Oct 2026 from S21: 4 mesh panels, 22 CC barriers, 2 bases, 6 clamps, 2 wheels. No hire agreement number written; no comments. Both signatures dated 22/10/26.</t>
  </si>
  <si>
    <t xml:space="preserve">28579</t>
  </si>
  <si>
    <t xml:space="preserve">Monster Energy C.Z.</t>
  </si>
  <si>
    <t xml:space="preserve">Collected 22 Oct 2026 from the Monster Energy C.Z.: a single short stroke in the Mesh Panel 'no collected' box, read as 1 mesh panel (it may be a stray mark - the compound's own collection is 28571). Nothing else written. No hire agreement number; no comments. Both signatures dated 22/10/26 (the own</t>
  </si>
</sst>
</file>

<file path=xl/styles.xml><?xml version="1.0" encoding="utf-8"?>
<styleSheet xmlns="http://schemas.openxmlformats.org/spreadsheetml/2006/main">
  <numFmts count="5">
    <numFmt numFmtId="164" formatCode="General"/>
    <numFmt numFmtId="165" formatCode="#,##0"/>
    <numFmt numFmtId="166" formatCode="#,##0.0"/>
    <numFmt numFmtId="167" formatCode="\+#,##0;\-#,##0;0"/>
    <numFmt numFmtId="168"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5191C"/>
      <name val="Cambria"/>
      <family val="0"/>
      <charset val="1"/>
    </font>
    <font>
      <i val="true"/>
      <sz val="9"/>
      <color rgb="FF5D6770"/>
      <name val="Cambria"/>
      <family val="0"/>
      <charset val="1"/>
    </font>
    <font>
      <b val="true"/>
      <sz val="11"/>
      <color rgb="FFFFFFFF"/>
      <name val="Cambria"/>
      <family val="0"/>
      <charset val="1"/>
    </font>
    <font>
      <sz val="11"/>
      <name val="Cambria"/>
      <family val="0"/>
      <charset val="1"/>
    </font>
    <font>
      <b val="true"/>
      <sz val="11"/>
      <color rgb="FF15191C"/>
      <name val="Cambria"/>
      <family val="0"/>
      <charset val="1"/>
    </font>
    <font>
      <sz val="9"/>
      <color rgb="FF5D6770"/>
      <name val="Cambria"/>
      <family val="0"/>
      <charset val="1"/>
    </font>
    <font>
      <b val="true"/>
      <sz val="11"/>
      <name val="Cambria"/>
      <family val="0"/>
      <charset val="1"/>
    </font>
    <font>
      <b val="true"/>
      <sz val="14"/>
      <color rgb="FF15191C"/>
      <name val="Cambria"/>
      <family val="0"/>
      <charset val="1"/>
    </font>
    <font>
      <b val="true"/>
      <sz val="10"/>
      <color rgb="FFFFFFFF"/>
      <name val="Cambria"/>
      <family val="0"/>
      <charset val="1"/>
    </font>
    <font>
      <i val="true"/>
      <sz val="11"/>
      <color rgb="FF5D6770"/>
      <name val="Cambria"/>
      <family val="0"/>
      <charset val="1"/>
    </font>
  </fonts>
  <fills count="5">
    <fill>
      <patternFill patternType="none"/>
    </fill>
    <fill>
      <patternFill patternType="gray125"/>
    </fill>
    <fill>
      <patternFill patternType="solid">
        <fgColor rgb="FF252B30"/>
        <bgColor rgb="FF15191C"/>
      </patternFill>
    </fill>
    <fill>
      <patternFill patternType="solid">
        <fgColor rgb="FFFFE3D1"/>
        <bgColor rgb="FFE8E3DC"/>
      </patternFill>
    </fill>
    <fill>
      <patternFill patternType="solid">
        <fgColor rgb="FFE8E3DC"/>
        <bgColor rgb="FFFFE3D1"/>
      </patternFill>
    </fill>
  </fills>
  <borders count="2">
    <border diagonalUp="false" diagonalDown="false">
      <left/>
      <right/>
      <top/>
      <bottom/>
      <diagonal/>
    </border>
    <border diagonalUp="false" diagonalDown="false">
      <left/>
      <right/>
      <top/>
      <bottom style="thin">
        <color rgb="FFD9D4C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left" vertical="center" textRotation="0" wrapText="tru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6" fontId="0" fillId="3" borderId="1" xfId="0" applyFont="false" applyBorder="true" applyAlignment="true" applyProtection="false">
      <alignment horizontal="right" vertical="bottom" textRotation="0" wrapText="false" indent="0" shrinkToFit="false"/>
      <protection locked="true" hidden="false"/>
    </xf>
    <xf numFmtId="165" fontId="0" fillId="3" borderId="1" xfId="0" applyFont="false" applyBorder="true" applyAlignment="true" applyProtection="false">
      <alignment horizontal="right" vertical="bottom" textRotation="0" wrapText="fals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xf numFmtId="167" fontId="0" fillId="3" borderId="0" xfId="0" applyFont="fals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right" vertical="bottom" textRotation="0" wrapText="false" indent="0" shrinkToFit="false"/>
      <protection locked="true" hidden="false"/>
    </xf>
    <xf numFmtId="165" fontId="0" fillId="0" borderId="1" xfId="0" applyFont="false" applyBorder="true" applyAlignment="true" applyProtection="false">
      <alignment horizontal="right"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6" fontId="10" fillId="4" borderId="0" xfId="0" applyFont="true" applyBorder="false" applyAlignment="true" applyProtection="false">
      <alignment horizontal="right" vertical="bottom" textRotation="0" wrapText="false" indent="0" shrinkToFit="false"/>
      <protection locked="true" hidden="false"/>
    </xf>
    <xf numFmtId="165" fontId="10" fillId="4"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0" fillId="4" borderId="0" xfId="0" applyFont="tru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5" fontId="10"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52B30"/>
          <bgColor rgb="FF000000"/>
        </patternFill>
      </fill>
    </dxf>
    <dxf>
      <fill>
        <patternFill patternType="solid">
          <fgColor rgb="FFFFE3D1"/>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E3D1"/>
      <rgbColor rgb="FFCCFFFF"/>
      <rgbColor rgb="FF660066"/>
      <rgbColor rgb="FFFF8080"/>
      <rgbColor rgb="FF0066CC"/>
      <rgbColor rgb="FFD9D4CD"/>
      <rgbColor rgb="FF000080"/>
      <rgbColor rgb="FFFF00FF"/>
      <rgbColor rgb="FFFFFF00"/>
      <rgbColor rgb="FF00FFFF"/>
      <rgbColor rgb="FF800080"/>
      <rgbColor rgb="FF800000"/>
      <rgbColor rgb="FF008080"/>
      <rgbColor rgb="FF0000FF"/>
      <rgbColor rgb="FF00CCFF"/>
      <rgbColor rgb="FFCCFFFF"/>
      <rgbColor rgb="FFE8E3DC"/>
      <rgbColor rgb="FFFFFF99"/>
      <rgbColor rgb="FF99CCFF"/>
      <rgbColor rgb="FFFF99CC"/>
      <rgbColor rgb="FFCC99FF"/>
      <rgbColor rgb="FFFFCC99"/>
      <rgbColor rgb="FF3366FF"/>
      <rgbColor rgb="FF33CCCC"/>
      <rgbColor rgb="FF99CC00"/>
      <rgbColor rgb="FFFFCC00"/>
      <rgbColor rgb="FFFF9900"/>
      <rgbColor rgb="FFFF6600"/>
      <rgbColor rgb="FF5D6770"/>
      <rgbColor rgb="FF969696"/>
      <rgbColor rgb="FF003366"/>
      <rgbColor rgb="FF339966"/>
      <rgbColor rgb="FF15191C"/>
      <rgbColor rgb="FF333300"/>
      <rgbColor rgb="FF993300"/>
      <rgbColor rgb="FF993366"/>
      <rgbColor rgb="FF333399"/>
      <rgbColor rgb="FF252B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4"/>
    <col collapsed="false" customWidth="true" hidden="false" outlineLevel="0" max="3" min="3" style="0" width="7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row>
    <row r="5" customFormat="false" ht="15" hidden="false" customHeight="false" outlineLevel="0" collapsed="false">
      <c r="A5" s="5" t="s">
        <v>3</v>
      </c>
      <c r="B5" s="6" t="n">
        <f aca="false">SUM('Hire agreements'!J5:J171)</f>
        <v>5223</v>
      </c>
      <c r="C5" s="7"/>
    </row>
    <row r="6" customFormat="false" ht="15" hidden="false" customHeight="false" outlineLevel="0" collapsed="false">
      <c r="A6" s="5" t="s">
        <v>4</v>
      </c>
      <c r="B6" s="6" t="n">
        <f aca="false">SUM('Hire agreements'!K5:K171)</f>
        <v>41</v>
      </c>
      <c r="C6" s="7"/>
    </row>
    <row r="7" customFormat="false" ht="15" hidden="false" customHeight="false" outlineLevel="0" collapsed="false">
      <c r="A7" s="8" t="s">
        <v>5</v>
      </c>
      <c r="B7" s="6" t="n">
        <f aca="false">SUM('Hire agreements'!L5:L171)</f>
        <v>8235</v>
      </c>
      <c r="C7" s="9" t="s">
        <v>6</v>
      </c>
    </row>
    <row r="8" customFormat="false" ht="15" hidden="false" customHeight="false" outlineLevel="0" collapsed="false">
      <c r="A8" s="5" t="s">
        <v>7</v>
      </c>
      <c r="B8" s="6" t="n">
        <f aca="false">SUM('Hire agreements'!M5:M171)</f>
        <v>7977</v>
      </c>
      <c r="C8" s="7"/>
    </row>
    <row r="9" customFormat="false" ht="15" hidden="false" customHeight="false" outlineLevel="0" collapsed="false">
      <c r="A9" s="5" t="s">
        <v>8</v>
      </c>
      <c r="B9" s="6" t="n">
        <f aca="false">SUM('Hire agreements'!N5:N171)</f>
        <v>1426</v>
      </c>
      <c r="C9" s="7"/>
    </row>
    <row r="10" customFormat="false" ht="15" hidden="false" customHeight="false" outlineLevel="0" collapsed="false">
      <c r="A10" s="5" t="s">
        <v>9</v>
      </c>
      <c r="B10" s="6" t="n">
        <f aca="false">SUM('Hire agreements'!O5:O171)</f>
        <v>278</v>
      </c>
      <c r="C10" s="7"/>
    </row>
    <row r="11" customFormat="false" ht="15" hidden="false" customHeight="false" outlineLevel="0" collapsed="false">
      <c r="A11" s="5" t="s">
        <v>10</v>
      </c>
      <c r="B11" s="6" t="n">
        <f aca="false">SUM('Hire agreements'!P5:P171)</f>
        <v>2903</v>
      </c>
      <c r="C11" s="7"/>
    </row>
    <row r="12" customFormat="false" ht="15" hidden="false" customHeight="false" outlineLevel="0" collapsed="false">
      <c r="A12" s="5" t="s">
        <v>11</v>
      </c>
      <c r="B12" s="6" t="n">
        <f aca="false">SUM('Hire agreements'!Q5:Q171)</f>
        <v>117</v>
      </c>
      <c r="C12" s="7"/>
    </row>
    <row r="14" customFormat="false" ht="15" hidden="false" customHeight="false" outlineLevel="0" collapsed="false">
      <c r="A14" s="3" t="s">
        <v>12</v>
      </c>
      <c r="B14" s="4"/>
      <c r="C14" s="4"/>
    </row>
    <row r="15" customFormat="false" ht="15" hidden="false" customHeight="false" outlineLevel="0" collapsed="false">
      <c r="A15" s="5" t="s">
        <v>13</v>
      </c>
      <c r="B15" s="6" t="n">
        <f aca="false">SUM('Hire agreements'!J5:J171)+SUM('Hire agreements'!K5:K171)</f>
        <v>5264</v>
      </c>
      <c r="C15" s="9" t="s">
        <v>14</v>
      </c>
    </row>
    <row r="16" customFormat="false" ht="15" hidden="false" customHeight="false" outlineLevel="0" collapsed="false">
      <c r="A16" s="5" t="s">
        <v>15</v>
      </c>
      <c r="B16" s="6" t="n">
        <f aca="false">2*SUM('Hire agreements'!N5:N171)</f>
        <v>2852</v>
      </c>
      <c r="C16" s="9" t="s">
        <v>16</v>
      </c>
    </row>
    <row r="17" customFormat="false" ht="15" hidden="false" customHeight="false" outlineLevel="0" collapsed="false">
      <c r="A17" s="5" t="s">
        <v>17</v>
      </c>
      <c r="B17" s="6" t="n">
        <v>300</v>
      </c>
      <c r="C17" s="9" t="s">
        <v>18</v>
      </c>
    </row>
    <row r="18" customFormat="false" ht="15" hidden="false" customHeight="false" outlineLevel="0" collapsed="false">
      <c r="A18" s="5" t="s">
        <v>19</v>
      </c>
      <c r="B18" s="6" t="n">
        <v>19</v>
      </c>
      <c r="C18" s="7"/>
    </row>
    <row r="19" customFormat="false" ht="15" hidden="false" customHeight="false" outlineLevel="0" collapsed="false">
      <c r="A19" s="8" t="s">
        <v>20</v>
      </c>
      <c r="B19" s="6" t="n">
        <f aca="false">SUM(B15:B18)</f>
        <v>8435</v>
      </c>
      <c r="C19" s="9" t="s">
        <v>21</v>
      </c>
    </row>
    <row r="20" customFormat="false" ht="15" hidden="false" customHeight="false" outlineLevel="0" collapsed="false">
      <c r="A20" s="8" t="s">
        <v>22</v>
      </c>
      <c r="B20" s="6" t="n">
        <f aca="false">SUM('Hire agreements'!L5:L171)</f>
        <v>8235</v>
      </c>
      <c r="C20" s="7"/>
    </row>
    <row r="21" customFormat="false" ht="15" hidden="false" customHeight="false" outlineLevel="0" collapsed="false">
      <c r="A21" s="5" t="s">
        <v>23</v>
      </c>
      <c r="B21" s="6" t="n">
        <v>10</v>
      </c>
      <c r="C21" s="9" t="s">
        <v>24</v>
      </c>
    </row>
    <row r="22" customFormat="false" ht="15" hidden="false" customHeight="false" outlineLevel="0" collapsed="false">
      <c r="A22" s="8" t="s">
        <v>25</v>
      </c>
      <c r="B22" s="6" t="n">
        <f aca="false">B20+240</f>
        <v>8475</v>
      </c>
      <c r="C22" s="9" t="s">
        <v>26</v>
      </c>
    </row>
    <row r="23" customFormat="false" ht="15" hidden="false" customHeight="false" outlineLevel="0" collapsed="false">
      <c r="A23" s="2" t="s">
        <v>27</v>
      </c>
    </row>
    <row r="24" customFormat="false" ht="15" hidden="false" customHeight="false" outlineLevel="0" collapsed="false">
      <c r="A24" s="2" t="s">
        <v>28</v>
      </c>
    </row>
    <row r="26" customFormat="false" ht="15" hidden="false" customHeight="false" outlineLevel="0" collapsed="false">
      <c r="A26" s="3" t="s">
        <v>29</v>
      </c>
      <c r="B26" s="4"/>
      <c r="C26" s="4"/>
    </row>
    <row r="27" customFormat="false" ht="15" hidden="false" customHeight="false" outlineLevel="0" collapsed="false">
      <c r="A27" s="5" t="s">
        <v>30</v>
      </c>
      <c r="B27" s="10" t="n">
        <f aca="false">SUM('Hire agreements'!E5:E171)</f>
        <v>13270</v>
      </c>
      <c r="C27" s="9" t="s">
        <v>31</v>
      </c>
    </row>
    <row r="28" customFormat="false" ht="15" hidden="false" customHeight="false" outlineLevel="0" collapsed="false">
      <c r="A28" s="5" t="s">
        <v>32</v>
      </c>
      <c r="B28" s="10" t="n">
        <f aca="false">SUM('Hire agreements'!F5:F171)</f>
        <v>3977.5</v>
      </c>
      <c r="C28" s="7"/>
    </row>
    <row r="29" customFormat="false" ht="15" hidden="false" customHeight="false" outlineLevel="0" collapsed="false">
      <c r="A29" s="5" t="s">
        <v>33</v>
      </c>
      <c r="B29" s="10" t="n">
        <v>427.5</v>
      </c>
      <c r="C29" s="7"/>
    </row>
    <row r="30" customFormat="false" ht="15" hidden="false" customHeight="false" outlineLevel="0" collapsed="false">
      <c r="A30" s="5" t="s">
        <v>34</v>
      </c>
      <c r="B30" s="10" t="n">
        <f aca="false">SUM('Hire agreements'!G5:G171)</f>
        <v>2195</v>
      </c>
      <c r="C30" s="7"/>
    </row>
    <row r="31" customFormat="false" ht="15" hidden="false" customHeight="false" outlineLevel="0" collapsed="false">
      <c r="A31" s="5" t="s">
        <v>35</v>
      </c>
      <c r="B31" s="10" t="n">
        <f aca="false">SUM('Hire agreements'!H5:H171)</f>
        <v>5062.5</v>
      </c>
      <c r="C31" s="7"/>
    </row>
    <row r="32" customFormat="false" ht="15" hidden="false" customHeight="false" outlineLevel="0" collapsed="false">
      <c r="A32" s="5" t="s">
        <v>36</v>
      </c>
      <c r="B32" s="10" t="n">
        <f aca="false">SUM('Hire agreements'!I5:I171)</f>
        <v>270</v>
      </c>
      <c r="C32" s="7"/>
    </row>
    <row r="33" customFormat="false" ht="15" hidden="false" customHeight="false" outlineLevel="0" collapsed="false">
      <c r="A33" s="5" t="s">
        <v>37</v>
      </c>
      <c r="B33" s="10" t="n">
        <v>612.5</v>
      </c>
      <c r="C33" s="9" t="s">
        <v>38</v>
      </c>
    </row>
    <row r="34" customFormat="false" ht="15" hidden="false" customHeight="false" outlineLevel="0" collapsed="false">
      <c r="A34" s="5" t="s">
        <v>39</v>
      </c>
      <c r="B34" s="10" t="n">
        <v>1102.5</v>
      </c>
      <c r="C34" s="9" t="s">
        <v>40</v>
      </c>
    </row>
    <row r="35" customFormat="false" ht="15" hidden="false" customHeight="false" outlineLevel="0" collapsed="false">
      <c r="A35" s="5" t="s">
        <v>41</v>
      </c>
      <c r="B35" s="6" t="n">
        <v>133</v>
      </c>
      <c r="C35" s="9" t="s">
        <v>42</v>
      </c>
    </row>
    <row r="36" customFormat="false" ht="15" hidden="false" customHeight="false" outlineLevel="0" collapsed="false">
      <c r="A36" s="5" t="s">
        <v>43</v>
      </c>
      <c r="B36" s="6" t="n">
        <f aca="false">SUM('Hire agreements'!S5:S171)</f>
        <v>22</v>
      </c>
      <c r="C36" s="7"/>
    </row>
    <row r="38" customFormat="false" ht="15" hidden="false" customHeight="false" outlineLevel="0" collapsed="false">
      <c r="A38" s="3" t="s">
        <v>44</v>
      </c>
      <c r="B38" s="4"/>
      <c r="C38" s="4"/>
    </row>
    <row r="39" customFormat="false" ht="15" hidden="false" customHeight="false" outlineLevel="0" collapsed="false">
      <c r="A39" s="5" t="s">
        <v>45</v>
      </c>
      <c r="B39" s="6" t="n">
        <v>166</v>
      </c>
      <c r="C39" s="9" t="s">
        <v>46</v>
      </c>
    </row>
    <row r="40" customFormat="false" ht="15" hidden="false" customHeight="false" outlineLevel="0" collapsed="false">
      <c r="A40" s="5" t="s">
        <v>47</v>
      </c>
      <c r="B40" s="6" t="n">
        <v>42</v>
      </c>
      <c r="C40" s="7"/>
    </row>
    <row r="41" customFormat="false" ht="15" hidden="false" customHeight="false" outlineLevel="0" collapsed="false">
      <c r="A41" s="5" t="s">
        <v>48</v>
      </c>
      <c r="B41" s="6" t="n">
        <v>25</v>
      </c>
      <c r="C41" s="7"/>
    </row>
    <row r="42" customFormat="false" ht="15" hidden="false" customHeight="false" outlineLevel="0" collapsed="false">
      <c r="A42" s="5" t="s">
        <v>49</v>
      </c>
      <c r="B42" s="10" t="n">
        <f aca="false">SUM('Service notes'!E4:E45)</f>
        <v>108.5</v>
      </c>
      <c r="C42"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9"/>
    <col collapsed="false" customWidth="true" hidden="false" outlineLevel="0" max="3" min="3" style="0" width="10"/>
    <col collapsed="false" customWidth="true" hidden="false" outlineLevel="0" max="4" min="4" style="0" width="38"/>
    <col collapsed="false" customWidth="true" hidden="false" outlineLevel="0" max="19" min="5" style="0" width="9"/>
    <col collapsed="false" customWidth="true" hidden="false" outlineLevel="0" max="20" min="20" style="0" width="13"/>
    <col collapsed="false" customWidth="true" hidden="false" outlineLevel="0" max="21" min="21" style="0" width="11"/>
    <col collapsed="false" customWidth="true" hidden="false" outlineLevel="0" max="22" min="22" style="0" width="60"/>
  </cols>
  <sheetData>
    <row r="1" customFormat="false" ht="17.35" hidden="false" customHeight="false" outlineLevel="0" collapsed="false">
      <c r="A1" s="11" t="s">
        <v>50</v>
      </c>
    </row>
    <row r="2" customFormat="false" ht="15" hidden="false" customHeight="false" outlineLevel="0" collapsed="false">
      <c r="A2" s="2" t="s">
        <v>51</v>
      </c>
    </row>
    <row r="4" customFormat="false" ht="31.5" hidden="false" customHeight="true" outlineLevel="0" collapsed="false">
      <c r="A4" s="12" t="s">
        <v>52</v>
      </c>
      <c r="B4" s="13" t="s">
        <v>53</v>
      </c>
      <c r="C4" s="13" t="s">
        <v>54</v>
      </c>
      <c r="D4" s="13" t="s">
        <v>55</v>
      </c>
      <c r="E4" s="13" t="s">
        <v>56</v>
      </c>
      <c r="F4" s="13" t="s">
        <v>57</v>
      </c>
      <c r="G4" s="13" t="s">
        <v>58</v>
      </c>
      <c r="H4" s="13" t="s">
        <v>59</v>
      </c>
      <c r="I4" s="13" t="s">
        <v>60</v>
      </c>
      <c r="J4" s="13" t="s">
        <v>3</v>
      </c>
      <c r="K4" s="13" t="s">
        <v>4</v>
      </c>
      <c r="L4" s="13" t="s">
        <v>61</v>
      </c>
      <c r="M4" s="13" t="s">
        <v>7</v>
      </c>
      <c r="N4" s="13" t="s">
        <v>8</v>
      </c>
      <c r="O4" s="13" t="s">
        <v>9</v>
      </c>
      <c r="P4" s="13" t="s">
        <v>62</v>
      </c>
      <c r="Q4" s="13" t="s">
        <v>11</v>
      </c>
      <c r="R4" s="13" t="s">
        <v>63</v>
      </c>
      <c r="S4" s="13" t="s">
        <v>64</v>
      </c>
      <c r="T4" s="13" t="s">
        <v>65</v>
      </c>
      <c r="U4" s="13" t="s">
        <v>66</v>
      </c>
      <c r="V4" s="13" t="s">
        <v>67</v>
      </c>
    </row>
    <row r="5" customFormat="false" ht="15" hidden="false" customHeight="false" outlineLevel="0" collapsed="false">
      <c r="A5" s="14"/>
      <c r="B5" s="14" t="s">
        <v>68</v>
      </c>
      <c r="C5" s="14" t="s">
        <v>69</v>
      </c>
      <c r="D5" s="14"/>
      <c r="E5" s="15" t="n">
        <v>232.5</v>
      </c>
      <c r="F5" s="15"/>
      <c r="G5" s="15"/>
      <c r="H5" s="15"/>
      <c r="I5" s="15"/>
      <c r="J5" s="16"/>
      <c r="K5" s="16"/>
      <c r="L5" s="16"/>
      <c r="M5" s="16"/>
      <c r="N5" s="16"/>
      <c r="O5" s="16"/>
      <c r="P5" s="16"/>
      <c r="Q5" s="16"/>
      <c r="R5" s="16" t="n">
        <v>3</v>
      </c>
      <c r="S5" s="16"/>
      <c r="T5" s="17" t="str">
        <f aca="false">IF(AND(J5="",K5="",N5=""),"",N(J5)+N(K5)+2*N(N5))</f>
        <v/>
      </c>
      <c r="U5" s="18" t="str">
        <f aca="false">IF(OR(L5="",T5=""),"",L5-T5)</f>
        <v/>
      </c>
      <c r="V5" s="19" t="s">
        <v>70</v>
      </c>
    </row>
    <row r="6" customFormat="false" ht="15" hidden="false" customHeight="false" outlineLevel="0" collapsed="false">
      <c r="A6" s="20" t="s">
        <v>71</v>
      </c>
      <c r="B6" s="20" t="s">
        <v>68</v>
      </c>
      <c r="C6" s="20" t="s">
        <v>72</v>
      </c>
      <c r="D6" s="20" t="s">
        <v>73</v>
      </c>
      <c r="E6" s="21" t="n">
        <v>247.5</v>
      </c>
      <c r="F6" s="21"/>
      <c r="G6" s="21"/>
      <c r="H6" s="21"/>
      <c r="I6" s="21"/>
      <c r="J6" s="22" t="n">
        <v>99</v>
      </c>
      <c r="K6" s="22"/>
      <c r="L6" s="22" t="n">
        <v>100</v>
      </c>
      <c r="M6" s="22" t="n">
        <v>118</v>
      </c>
      <c r="N6" s="22"/>
      <c r="O6" s="22" t="n">
        <v>9</v>
      </c>
      <c r="P6" s="22"/>
      <c r="Q6" s="22"/>
      <c r="R6" s="22"/>
      <c r="S6" s="22"/>
      <c r="T6" s="23" t="n">
        <f aca="false">IF(AND(J6="",K6="",N6=""),"",N(J6)+N(K6)+2*N(N6))</f>
        <v>99</v>
      </c>
      <c r="U6" s="24" t="n">
        <f aca="false">IF(OR(L6="",T6=""),"",L6-T6)</f>
        <v>1</v>
      </c>
      <c r="V6" s="25"/>
    </row>
    <row r="7" customFormat="false" ht="15" hidden="false" customHeight="false" outlineLevel="0" collapsed="false">
      <c r="A7" s="20" t="s">
        <v>74</v>
      </c>
      <c r="B7" s="20" t="s">
        <v>68</v>
      </c>
      <c r="C7" s="20" t="s">
        <v>75</v>
      </c>
      <c r="D7" s="20" t="s">
        <v>76</v>
      </c>
      <c r="E7" s="21" t="n">
        <v>257.5</v>
      </c>
      <c r="F7" s="21"/>
      <c r="G7" s="21"/>
      <c r="H7" s="21"/>
      <c r="I7" s="21"/>
      <c r="J7" s="22" t="n">
        <v>103</v>
      </c>
      <c r="K7" s="22"/>
      <c r="L7" s="22" t="n">
        <v>101</v>
      </c>
      <c r="M7" s="22" t="n">
        <v>109</v>
      </c>
      <c r="N7" s="22"/>
      <c r="O7" s="22" t="n">
        <v>3</v>
      </c>
      <c r="P7" s="22"/>
      <c r="Q7" s="22"/>
      <c r="R7" s="22"/>
      <c r="S7" s="22"/>
      <c r="T7" s="23" t="n">
        <f aca="false">IF(AND(J7="",K7="",N7=""),"",N(J7)+N(K7)+2*N(N7))</f>
        <v>103</v>
      </c>
      <c r="U7" s="24" t="n">
        <f aca="false">IF(OR(L7="",T7=""),"",L7-T7)</f>
        <v>-2</v>
      </c>
      <c r="V7" s="25"/>
    </row>
    <row r="8" customFormat="false" ht="15" hidden="false" customHeight="false" outlineLevel="0" collapsed="false">
      <c r="A8" s="14" t="s">
        <v>74</v>
      </c>
      <c r="B8" s="14" t="s">
        <v>68</v>
      </c>
      <c r="C8" s="14" t="s">
        <v>77</v>
      </c>
      <c r="D8" s="14" t="s">
        <v>73</v>
      </c>
      <c r="E8" s="15"/>
      <c r="F8" s="15"/>
      <c r="G8" s="15"/>
      <c r="H8" s="15"/>
      <c r="I8" s="15"/>
      <c r="J8" s="16"/>
      <c r="K8" s="16"/>
      <c r="L8" s="16" t="n">
        <v>16</v>
      </c>
      <c r="M8" s="16" t="n">
        <v>16</v>
      </c>
      <c r="N8" s="16" t="n">
        <v>8</v>
      </c>
      <c r="O8" s="16"/>
      <c r="P8" s="16"/>
      <c r="Q8" s="16"/>
      <c r="R8" s="16"/>
      <c r="S8" s="16"/>
      <c r="T8" s="17" t="n">
        <f aca="false">IF(AND(J8="",K8="",N8=""),"",N(J8)+N(K8)+2*N(N8))</f>
        <v>16</v>
      </c>
      <c r="U8" s="18" t="n">
        <f aca="false">IF(OR(L8="",T8=""),"",L8-T8)</f>
        <v>0</v>
      </c>
      <c r="V8" s="19" t="s">
        <v>78</v>
      </c>
    </row>
    <row r="9" customFormat="false" ht="15" hidden="false" customHeight="false" outlineLevel="0" collapsed="false">
      <c r="A9" s="20" t="s">
        <v>74</v>
      </c>
      <c r="B9" s="20" t="s">
        <v>68</v>
      </c>
      <c r="C9" s="20" t="s">
        <v>79</v>
      </c>
      <c r="D9" s="20" t="s">
        <v>80</v>
      </c>
      <c r="E9" s="21" t="n">
        <v>72.5</v>
      </c>
      <c r="F9" s="21" t="n">
        <v>72.5</v>
      </c>
      <c r="G9" s="21"/>
      <c r="H9" s="21"/>
      <c r="I9" s="21"/>
      <c r="J9" s="22" t="n">
        <v>29</v>
      </c>
      <c r="K9" s="22"/>
      <c r="L9" s="22" t="n">
        <v>52</v>
      </c>
      <c r="M9" s="22" t="n">
        <v>52</v>
      </c>
      <c r="N9" s="22" t="n">
        <v>12</v>
      </c>
      <c r="O9" s="22" t="n">
        <v>2</v>
      </c>
      <c r="P9" s="22"/>
      <c r="Q9" s="22"/>
      <c r="R9" s="22"/>
      <c r="S9" s="22"/>
      <c r="T9" s="23" t="n">
        <f aca="false">IF(AND(J9="",K9="",N9=""),"",N(J9)+N(K9)+2*N(N9))</f>
        <v>53</v>
      </c>
      <c r="U9" s="24" t="n">
        <f aca="false">IF(OR(L9="",T9=""),"",L9-T9)</f>
        <v>-1</v>
      </c>
      <c r="V9" s="25"/>
    </row>
    <row r="10" customFormat="false" ht="15" hidden="false" customHeight="false" outlineLevel="0" collapsed="false">
      <c r="A10" s="20" t="s">
        <v>81</v>
      </c>
      <c r="B10" s="20" t="s">
        <v>68</v>
      </c>
      <c r="C10" s="20" t="s">
        <v>82</v>
      </c>
      <c r="D10" s="20" t="s">
        <v>83</v>
      </c>
      <c r="E10" s="21"/>
      <c r="F10" s="21"/>
      <c r="G10" s="21"/>
      <c r="H10" s="21"/>
      <c r="I10" s="21"/>
      <c r="J10" s="22"/>
      <c r="K10" s="22"/>
      <c r="L10" s="22"/>
      <c r="M10" s="22"/>
      <c r="N10" s="22"/>
      <c r="O10" s="22"/>
      <c r="P10" s="22"/>
      <c r="Q10" s="22"/>
      <c r="R10" s="22"/>
      <c r="S10" s="22"/>
      <c r="T10" s="23" t="str">
        <f aca="false">IF(AND(J10="",K10="",N10=""),"",N(J10)+N(K10)+2*N(N10))</f>
        <v/>
      </c>
      <c r="U10" s="24" t="str">
        <f aca="false">IF(OR(L10="",T10=""),"",L10-T10)</f>
        <v/>
      </c>
      <c r="V10" s="25"/>
    </row>
    <row r="11" customFormat="false" ht="15" hidden="false" customHeight="false" outlineLevel="0" collapsed="false">
      <c r="A11" s="20" t="s">
        <v>84</v>
      </c>
      <c r="B11" s="20" t="s">
        <v>85</v>
      </c>
      <c r="C11" s="20" t="s">
        <v>86</v>
      </c>
      <c r="D11" s="20" t="s">
        <v>87</v>
      </c>
      <c r="E11" s="21" t="n">
        <v>97.5</v>
      </c>
      <c r="F11" s="21"/>
      <c r="G11" s="21"/>
      <c r="H11" s="21"/>
      <c r="I11" s="21"/>
      <c r="J11" s="22" t="n">
        <v>39</v>
      </c>
      <c r="K11" s="22"/>
      <c r="L11" s="22" t="n">
        <v>37</v>
      </c>
      <c r="M11" s="22" t="n">
        <v>38</v>
      </c>
      <c r="N11" s="22"/>
      <c r="O11" s="22" t="n">
        <v>4</v>
      </c>
      <c r="P11" s="22"/>
      <c r="Q11" s="22"/>
      <c r="R11" s="22"/>
      <c r="S11" s="22"/>
      <c r="T11" s="23" t="n">
        <f aca="false">IF(AND(J11="",K11="",N11=""),"",N(J11)+N(K11)+2*N(N11))</f>
        <v>39</v>
      </c>
      <c r="U11" s="24" t="n">
        <f aca="false">IF(OR(L11="",T11=""),"",L11-T11)</f>
        <v>-2</v>
      </c>
      <c r="V11" s="25"/>
    </row>
    <row r="12" customFormat="false" ht="15" hidden="false" customHeight="false" outlineLevel="0" collapsed="false">
      <c r="A12" s="20" t="s">
        <v>84</v>
      </c>
      <c r="B12" s="20" t="s">
        <v>85</v>
      </c>
      <c r="C12" s="20" t="s">
        <v>88</v>
      </c>
      <c r="D12" s="20" t="s">
        <v>89</v>
      </c>
      <c r="E12" s="21" t="n">
        <v>132.5</v>
      </c>
      <c r="F12" s="21" t="n">
        <v>10</v>
      </c>
      <c r="G12" s="21"/>
      <c r="H12" s="21"/>
      <c r="I12" s="21"/>
      <c r="J12" s="22" t="n">
        <v>53</v>
      </c>
      <c r="K12" s="22"/>
      <c r="L12" s="22" t="n">
        <v>59</v>
      </c>
      <c r="M12" s="22" t="n">
        <v>60</v>
      </c>
      <c r="N12" s="22" t="n">
        <v>4</v>
      </c>
      <c r="O12" s="22"/>
      <c r="P12" s="22"/>
      <c r="Q12" s="22"/>
      <c r="R12" s="22"/>
      <c r="S12" s="22"/>
      <c r="T12" s="23" t="n">
        <f aca="false">IF(AND(J12="",K12="",N12=""),"",N(J12)+N(K12)+2*N(N12))</f>
        <v>61</v>
      </c>
      <c r="U12" s="24" t="n">
        <f aca="false">IF(OR(L12="",T12=""),"",L12-T12)</f>
        <v>-2</v>
      </c>
      <c r="V12" s="25"/>
    </row>
    <row r="13" customFormat="false" ht="15" hidden="false" customHeight="false" outlineLevel="0" collapsed="false">
      <c r="A13" s="20" t="s">
        <v>84</v>
      </c>
      <c r="B13" s="20" t="s">
        <v>85</v>
      </c>
      <c r="C13" s="20" t="s">
        <v>90</v>
      </c>
      <c r="D13" s="20" t="s">
        <v>91</v>
      </c>
      <c r="E13" s="21" t="n">
        <v>7.5</v>
      </c>
      <c r="F13" s="21"/>
      <c r="G13" s="21"/>
      <c r="H13" s="21"/>
      <c r="I13" s="21"/>
      <c r="J13" s="22" t="n">
        <v>3</v>
      </c>
      <c r="K13" s="22"/>
      <c r="L13" s="22" t="n">
        <v>4</v>
      </c>
      <c r="M13" s="22" t="n">
        <v>2</v>
      </c>
      <c r="N13" s="22"/>
      <c r="O13" s="22"/>
      <c r="P13" s="22"/>
      <c r="Q13" s="22"/>
      <c r="R13" s="22"/>
      <c r="S13" s="22"/>
      <c r="T13" s="23" t="n">
        <f aca="false">IF(AND(J13="",K13="",N13=""),"",N(J13)+N(K13)+2*N(N13))</f>
        <v>3</v>
      </c>
      <c r="U13" s="24" t="n">
        <f aca="false">IF(OR(L13="",T13=""),"",L13-T13)</f>
        <v>1</v>
      </c>
      <c r="V13" s="25"/>
    </row>
    <row r="14" customFormat="false" ht="15" hidden="false" customHeight="false" outlineLevel="0" collapsed="false">
      <c r="A14" s="20" t="s">
        <v>84</v>
      </c>
      <c r="B14" s="20" t="s">
        <v>85</v>
      </c>
      <c r="C14" s="20" t="s">
        <v>92</v>
      </c>
      <c r="D14" s="20" t="s">
        <v>93</v>
      </c>
      <c r="E14" s="21" t="n">
        <v>20</v>
      </c>
      <c r="F14" s="21"/>
      <c r="G14" s="21"/>
      <c r="H14" s="21"/>
      <c r="I14" s="21"/>
      <c r="J14" s="22" t="n">
        <v>8</v>
      </c>
      <c r="K14" s="22"/>
      <c r="L14" s="22" t="n">
        <v>8</v>
      </c>
      <c r="M14" s="22" t="n">
        <v>8</v>
      </c>
      <c r="N14" s="22"/>
      <c r="O14" s="22"/>
      <c r="P14" s="22"/>
      <c r="Q14" s="22"/>
      <c r="R14" s="22"/>
      <c r="S14" s="22"/>
      <c r="T14" s="23" t="n">
        <f aca="false">IF(AND(J14="",K14="",N14=""),"",N(J14)+N(K14)+2*N(N14))</f>
        <v>8</v>
      </c>
      <c r="U14" s="24" t="n">
        <f aca="false">IF(OR(L14="",T14=""),"",L14-T14)</f>
        <v>0</v>
      </c>
      <c r="V14" s="25"/>
    </row>
    <row r="15" customFormat="false" ht="15" hidden="false" customHeight="false" outlineLevel="0" collapsed="false">
      <c r="A15" s="20" t="s">
        <v>84</v>
      </c>
      <c r="B15" s="20" t="s">
        <v>85</v>
      </c>
      <c r="C15" s="20" t="s">
        <v>94</v>
      </c>
      <c r="D15" s="20" t="s">
        <v>95</v>
      </c>
      <c r="E15" s="21" t="n">
        <v>577.5</v>
      </c>
      <c r="F15" s="21"/>
      <c r="G15" s="21"/>
      <c r="H15" s="21"/>
      <c r="I15" s="21"/>
      <c r="J15" s="22" t="n">
        <v>231</v>
      </c>
      <c r="K15" s="22"/>
      <c r="L15" s="22" t="n">
        <v>221</v>
      </c>
      <c r="M15" s="22" t="n">
        <v>233</v>
      </c>
      <c r="N15" s="22"/>
      <c r="O15" s="22" t="n">
        <v>16</v>
      </c>
      <c r="P15" s="22"/>
      <c r="Q15" s="22"/>
      <c r="R15" s="22"/>
      <c r="S15" s="22" t="n">
        <v>2</v>
      </c>
      <c r="T15" s="23" t="n">
        <f aca="false">IF(AND(J15="",K15="",N15=""),"",N(J15)+N(K15)+2*N(N15))</f>
        <v>231</v>
      </c>
      <c r="U15" s="24" t="n">
        <f aca="false">IF(OR(L15="",T15=""),"",L15-T15)</f>
        <v>-10</v>
      </c>
      <c r="V15" s="25"/>
    </row>
    <row r="16" customFormat="false" ht="15" hidden="false" customHeight="false" outlineLevel="0" collapsed="false">
      <c r="A16" s="20" t="s">
        <v>84</v>
      </c>
      <c r="B16" s="20" t="s">
        <v>85</v>
      </c>
      <c r="C16" s="20" t="s">
        <v>96</v>
      </c>
      <c r="D16" s="20" t="s">
        <v>73</v>
      </c>
      <c r="E16" s="21"/>
      <c r="F16" s="21"/>
      <c r="G16" s="21"/>
      <c r="H16" s="21"/>
      <c r="I16" s="21"/>
      <c r="J16" s="22"/>
      <c r="K16" s="22"/>
      <c r="L16" s="22"/>
      <c r="M16" s="22"/>
      <c r="N16" s="22"/>
      <c r="O16" s="22"/>
      <c r="P16" s="22"/>
      <c r="Q16" s="22"/>
      <c r="R16" s="22"/>
      <c r="S16" s="22"/>
      <c r="T16" s="23" t="str">
        <f aca="false">IF(AND(J16="",K16="",N16=""),"",N(J16)+N(K16)+2*N(N16))</f>
        <v/>
      </c>
      <c r="U16" s="24" t="str">
        <f aca="false">IF(OR(L16="",T16=""),"",L16-T16)</f>
        <v/>
      </c>
      <c r="V16" s="25"/>
    </row>
    <row r="17" customFormat="false" ht="15" hidden="false" customHeight="false" outlineLevel="0" collapsed="false">
      <c r="A17" s="20" t="s">
        <v>84</v>
      </c>
      <c r="B17" s="20" t="s">
        <v>85</v>
      </c>
      <c r="C17" s="20" t="s">
        <v>97</v>
      </c>
      <c r="D17" s="20" t="s">
        <v>98</v>
      </c>
      <c r="E17" s="21" t="n">
        <v>172.5</v>
      </c>
      <c r="F17" s="21"/>
      <c r="G17" s="21"/>
      <c r="H17" s="21"/>
      <c r="I17" s="21"/>
      <c r="J17" s="22" t="n">
        <v>69</v>
      </c>
      <c r="K17" s="22"/>
      <c r="L17" s="22" t="n">
        <v>68</v>
      </c>
      <c r="M17" s="22" t="n">
        <v>68</v>
      </c>
      <c r="N17" s="22"/>
      <c r="O17" s="22" t="n">
        <v>6</v>
      </c>
      <c r="P17" s="22"/>
      <c r="Q17" s="22"/>
      <c r="R17" s="22"/>
      <c r="S17" s="22"/>
      <c r="T17" s="23" t="n">
        <f aca="false">IF(AND(J17="",K17="",N17=""),"",N(J17)+N(K17)+2*N(N17))</f>
        <v>69</v>
      </c>
      <c r="U17" s="24" t="n">
        <f aca="false">IF(OR(L17="",T17=""),"",L17-T17)</f>
        <v>-1</v>
      </c>
      <c r="V17" s="25"/>
    </row>
    <row r="18" customFormat="false" ht="15" hidden="false" customHeight="false" outlineLevel="0" collapsed="false">
      <c r="A18" s="20" t="s">
        <v>99</v>
      </c>
      <c r="B18" s="20" t="s">
        <v>85</v>
      </c>
      <c r="C18" s="20" t="s">
        <v>100</v>
      </c>
      <c r="D18" s="20" t="s">
        <v>101</v>
      </c>
      <c r="E18" s="21" t="n">
        <v>127.5</v>
      </c>
      <c r="F18" s="21" t="n">
        <v>12.5</v>
      </c>
      <c r="G18" s="21"/>
      <c r="H18" s="21"/>
      <c r="I18" s="21"/>
      <c r="J18" s="22" t="n">
        <v>51</v>
      </c>
      <c r="K18" s="22"/>
      <c r="L18" s="22" t="n">
        <v>60</v>
      </c>
      <c r="M18" s="22" t="n">
        <v>60</v>
      </c>
      <c r="N18" s="22" t="n">
        <v>5</v>
      </c>
      <c r="O18" s="22" t="n">
        <v>2</v>
      </c>
      <c r="P18" s="22"/>
      <c r="Q18" s="22"/>
      <c r="R18" s="22"/>
      <c r="S18" s="22"/>
      <c r="T18" s="23" t="n">
        <f aca="false">IF(AND(J18="",K18="",N18=""),"",N(J18)+N(K18)+2*N(N18))</f>
        <v>61</v>
      </c>
      <c r="U18" s="24" t="n">
        <f aca="false">IF(OR(L18="",T18=""),"",L18-T18)</f>
        <v>-1</v>
      </c>
      <c r="V18" s="25"/>
    </row>
    <row r="19" customFormat="false" ht="15" hidden="false" customHeight="false" outlineLevel="0" collapsed="false">
      <c r="A19" s="20" t="s">
        <v>99</v>
      </c>
      <c r="B19" s="20" t="s">
        <v>85</v>
      </c>
      <c r="C19" s="20" t="s">
        <v>102</v>
      </c>
      <c r="D19" s="20" t="s">
        <v>103</v>
      </c>
      <c r="E19" s="21" t="n">
        <v>147.5</v>
      </c>
      <c r="F19" s="21" t="n">
        <v>70</v>
      </c>
      <c r="G19" s="21"/>
      <c r="H19" s="21"/>
      <c r="I19" s="21"/>
      <c r="J19" s="22" t="n">
        <v>59</v>
      </c>
      <c r="K19" s="22"/>
      <c r="L19" s="22" t="n">
        <v>116</v>
      </c>
      <c r="M19" s="22" t="n">
        <v>172</v>
      </c>
      <c r="N19" s="22" t="n">
        <v>28</v>
      </c>
      <c r="O19" s="22" t="n">
        <v>6</v>
      </c>
      <c r="P19" s="22"/>
      <c r="Q19" s="22"/>
      <c r="R19" s="22"/>
      <c r="S19" s="22" t="n">
        <v>1</v>
      </c>
      <c r="T19" s="23" t="n">
        <f aca="false">IF(AND(J19="",K19="",N19=""),"",N(J19)+N(K19)+2*N(N19))</f>
        <v>115</v>
      </c>
      <c r="U19" s="24" t="n">
        <f aca="false">IF(OR(L19="",T19=""),"",L19-T19)</f>
        <v>1</v>
      </c>
      <c r="V19" s="25"/>
    </row>
    <row r="20" customFormat="false" ht="15" hidden="false" customHeight="false" outlineLevel="0" collapsed="false">
      <c r="A20" s="20" t="s">
        <v>99</v>
      </c>
      <c r="B20" s="20" t="s">
        <v>85</v>
      </c>
      <c r="C20" s="20" t="s">
        <v>104</v>
      </c>
      <c r="D20" s="20" t="s">
        <v>105</v>
      </c>
      <c r="E20" s="21"/>
      <c r="F20" s="21"/>
      <c r="G20" s="21" t="n">
        <v>60</v>
      </c>
      <c r="H20" s="21"/>
      <c r="I20" s="21"/>
      <c r="J20" s="22"/>
      <c r="K20" s="22"/>
      <c r="L20" s="22"/>
      <c r="M20" s="22"/>
      <c r="N20" s="22"/>
      <c r="O20" s="22"/>
      <c r="P20" s="22" t="n">
        <v>24</v>
      </c>
      <c r="Q20" s="22"/>
      <c r="R20" s="22"/>
      <c r="S20" s="22"/>
      <c r="T20" s="23" t="str">
        <f aca="false">IF(AND(J20="",K20="",N20=""),"",N(J20)+N(K20)+2*N(N20))</f>
        <v/>
      </c>
      <c r="U20" s="24" t="str">
        <f aca="false">IF(OR(L20="",T20=""),"",L20-T20)</f>
        <v/>
      </c>
      <c r="V20" s="25"/>
    </row>
    <row r="21" customFormat="false" ht="15" hidden="false" customHeight="false" outlineLevel="0" collapsed="false">
      <c r="A21" s="20" t="s">
        <v>99</v>
      </c>
      <c r="B21" s="20" t="s">
        <v>85</v>
      </c>
      <c r="C21" s="20" t="s">
        <v>106</v>
      </c>
      <c r="D21" s="20" t="s">
        <v>107</v>
      </c>
      <c r="E21" s="21" t="n">
        <v>87.5</v>
      </c>
      <c r="F21" s="21"/>
      <c r="G21" s="21"/>
      <c r="H21" s="21"/>
      <c r="I21" s="21"/>
      <c r="J21" s="22" t="n">
        <v>35</v>
      </c>
      <c r="K21" s="22"/>
      <c r="L21" s="22" t="n">
        <v>35</v>
      </c>
      <c r="M21" s="22" t="n">
        <v>35</v>
      </c>
      <c r="N21" s="22"/>
      <c r="O21" s="22" t="n">
        <v>2</v>
      </c>
      <c r="P21" s="22"/>
      <c r="Q21" s="22"/>
      <c r="R21" s="22"/>
      <c r="S21" s="22"/>
      <c r="T21" s="23" t="n">
        <f aca="false">IF(AND(J21="",K21="",N21=""),"",N(J21)+N(K21)+2*N(N21))</f>
        <v>35</v>
      </c>
      <c r="U21" s="24" t="n">
        <f aca="false">IF(OR(L21="",T21=""),"",L21-T21)</f>
        <v>0</v>
      </c>
      <c r="V21" s="25"/>
    </row>
    <row r="22" customFormat="false" ht="15" hidden="false" customHeight="false" outlineLevel="0" collapsed="false">
      <c r="A22" s="20" t="s">
        <v>108</v>
      </c>
      <c r="B22" s="20" t="s">
        <v>85</v>
      </c>
      <c r="C22" s="20" t="s">
        <v>109</v>
      </c>
      <c r="D22" s="20" t="s">
        <v>110</v>
      </c>
      <c r="E22" s="21" t="n">
        <v>67.5</v>
      </c>
      <c r="F22" s="21"/>
      <c r="G22" s="21"/>
      <c r="H22" s="21"/>
      <c r="I22" s="21"/>
      <c r="J22" s="22" t="n">
        <v>27</v>
      </c>
      <c r="K22" s="22"/>
      <c r="L22" s="22" t="n">
        <v>25</v>
      </c>
      <c r="M22" s="22" t="n">
        <v>25</v>
      </c>
      <c r="N22" s="22"/>
      <c r="O22" s="22" t="n">
        <v>2</v>
      </c>
      <c r="P22" s="22"/>
      <c r="Q22" s="22"/>
      <c r="R22" s="22"/>
      <c r="S22" s="22"/>
      <c r="T22" s="23" t="n">
        <f aca="false">IF(AND(J22="",K22="",N22=""),"",N(J22)+N(K22)+2*N(N22))</f>
        <v>27</v>
      </c>
      <c r="U22" s="24" t="n">
        <f aca="false">IF(OR(L22="",T22=""),"",L22-T22)</f>
        <v>-2</v>
      </c>
      <c r="V22" s="25"/>
    </row>
    <row r="23" customFormat="false" ht="15" hidden="false" customHeight="false" outlineLevel="0" collapsed="false">
      <c r="A23" s="20" t="s">
        <v>108</v>
      </c>
      <c r="B23" s="20" t="s">
        <v>85</v>
      </c>
      <c r="C23" s="20" t="s">
        <v>111</v>
      </c>
      <c r="D23" s="20" t="s">
        <v>112</v>
      </c>
      <c r="E23" s="21" t="n">
        <v>35</v>
      </c>
      <c r="F23" s="21" t="n">
        <v>22.5</v>
      </c>
      <c r="G23" s="21"/>
      <c r="H23" s="21"/>
      <c r="I23" s="21"/>
      <c r="J23" s="22" t="n">
        <v>14</v>
      </c>
      <c r="K23" s="22"/>
      <c r="L23" s="22" t="n">
        <v>31</v>
      </c>
      <c r="M23" s="22" t="n">
        <v>30</v>
      </c>
      <c r="N23" s="22" t="n">
        <v>9</v>
      </c>
      <c r="O23" s="22" t="n">
        <v>2</v>
      </c>
      <c r="P23" s="22"/>
      <c r="Q23" s="22"/>
      <c r="R23" s="22"/>
      <c r="S23" s="22"/>
      <c r="T23" s="23" t="n">
        <f aca="false">IF(AND(J23="",K23="",N23=""),"",N(J23)+N(K23)+2*N(N23))</f>
        <v>32</v>
      </c>
      <c r="U23" s="24" t="n">
        <f aca="false">IF(OR(L23="",T23=""),"",L23-T23)</f>
        <v>-1</v>
      </c>
      <c r="V23" s="25"/>
    </row>
    <row r="24" customFormat="false" ht="15" hidden="false" customHeight="false" outlineLevel="0" collapsed="false">
      <c r="A24" s="14" t="s">
        <v>108</v>
      </c>
      <c r="B24" s="14" t="s">
        <v>85</v>
      </c>
      <c r="C24" s="14" t="s">
        <v>113</v>
      </c>
      <c r="D24" s="14" t="s">
        <v>114</v>
      </c>
      <c r="E24" s="15"/>
      <c r="F24" s="15" t="n">
        <v>72.5</v>
      </c>
      <c r="G24" s="15"/>
      <c r="H24" s="15"/>
      <c r="I24" s="15"/>
      <c r="J24" s="16"/>
      <c r="K24" s="16"/>
      <c r="L24" s="16" t="n">
        <v>58</v>
      </c>
      <c r="M24" s="16" t="n">
        <v>58</v>
      </c>
      <c r="N24" s="16" t="n">
        <v>29</v>
      </c>
      <c r="O24" s="16"/>
      <c r="P24" s="16"/>
      <c r="Q24" s="16"/>
      <c r="R24" s="16"/>
      <c r="S24" s="16"/>
      <c r="T24" s="17" t="n">
        <f aca="false">IF(AND(J24="",K24="",N24=""),"",N(J24)+N(K24)+2*N(N24))</f>
        <v>58</v>
      </c>
      <c r="U24" s="18" t="n">
        <f aca="false">IF(OR(L24="",T24=""),"",L24-T24)</f>
        <v>0</v>
      </c>
      <c r="V24" s="19" t="s">
        <v>78</v>
      </c>
    </row>
    <row r="25" customFormat="false" ht="15" hidden="false" customHeight="false" outlineLevel="0" collapsed="false">
      <c r="A25" s="20" t="s">
        <v>108</v>
      </c>
      <c r="B25" s="20" t="s">
        <v>85</v>
      </c>
      <c r="C25" s="20" t="s">
        <v>115</v>
      </c>
      <c r="D25" s="20" t="s">
        <v>116</v>
      </c>
      <c r="E25" s="21" t="n">
        <v>112.5</v>
      </c>
      <c r="F25" s="21" t="n">
        <v>40</v>
      </c>
      <c r="G25" s="21"/>
      <c r="H25" s="21"/>
      <c r="I25" s="21"/>
      <c r="J25" s="22" t="n">
        <v>45</v>
      </c>
      <c r="K25" s="22"/>
      <c r="L25" s="22" t="n">
        <v>75</v>
      </c>
      <c r="M25" s="22" t="n">
        <v>76</v>
      </c>
      <c r="N25" s="22" t="n">
        <v>16</v>
      </c>
      <c r="O25" s="22" t="n">
        <v>4</v>
      </c>
      <c r="P25" s="22"/>
      <c r="Q25" s="22"/>
      <c r="R25" s="22"/>
      <c r="S25" s="22"/>
      <c r="T25" s="23" t="n">
        <f aca="false">IF(AND(J25="",K25="",N25=""),"",N(J25)+N(K25)+2*N(N25))</f>
        <v>77</v>
      </c>
      <c r="U25" s="24" t="n">
        <f aca="false">IF(OR(L25="",T25=""),"",L25-T25)</f>
        <v>-2</v>
      </c>
      <c r="V25" s="25"/>
    </row>
    <row r="26" customFormat="false" ht="15" hidden="false" customHeight="false" outlineLevel="0" collapsed="false">
      <c r="A26" s="20" t="s">
        <v>108</v>
      </c>
      <c r="B26" s="20" t="s">
        <v>85</v>
      </c>
      <c r="C26" s="20" t="s">
        <v>117</v>
      </c>
      <c r="D26" s="20" t="s">
        <v>118</v>
      </c>
      <c r="E26" s="21" t="n">
        <v>27.5</v>
      </c>
      <c r="F26" s="21"/>
      <c r="G26" s="21"/>
      <c r="H26" s="21"/>
      <c r="I26" s="21"/>
      <c r="J26" s="22" t="n">
        <v>11</v>
      </c>
      <c r="K26" s="22"/>
      <c r="L26" s="22" t="n">
        <v>10</v>
      </c>
      <c r="M26" s="22" t="n">
        <v>10</v>
      </c>
      <c r="N26" s="22"/>
      <c r="O26" s="22"/>
      <c r="P26" s="22"/>
      <c r="Q26" s="22"/>
      <c r="R26" s="22"/>
      <c r="S26" s="22"/>
      <c r="T26" s="23" t="n">
        <f aca="false">IF(AND(J26="",K26="",N26=""),"",N(J26)+N(K26)+2*N(N26))</f>
        <v>11</v>
      </c>
      <c r="U26" s="24" t="n">
        <f aca="false">IF(OR(L26="",T26=""),"",L26-T26)</f>
        <v>-1</v>
      </c>
      <c r="V26" s="25"/>
    </row>
    <row r="27" customFormat="false" ht="15" hidden="false" customHeight="false" outlineLevel="0" collapsed="false">
      <c r="A27" s="20" t="s">
        <v>108</v>
      </c>
      <c r="B27" s="20" t="s">
        <v>85</v>
      </c>
      <c r="C27" s="20" t="s">
        <v>119</v>
      </c>
      <c r="D27" s="20" t="s">
        <v>120</v>
      </c>
      <c r="E27" s="21"/>
      <c r="F27" s="21"/>
      <c r="G27" s="21" t="n">
        <v>277.5</v>
      </c>
      <c r="H27" s="21"/>
      <c r="I27" s="21"/>
      <c r="J27" s="22"/>
      <c r="K27" s="22"/>
      <c r="L27" s="22"/>
      <c r="M27" s="22"/>
      <c r="N27" s="22"/>
      <c r="O27" s="22"/>
      <c r="P27" s="22" t="n">
        <v>111</v>
      </c>
      <c r="Q27" s="22"/>
      <c r="R27" s="22"/>
      <c r="S27" s="22"/>
      <c r="T27" s="23" t="str">
        <f aca="false">IF(AND(J27="",K27="",N27=""),"",N(J27)+N(K27)+2*N(N27))</f>
        <v/>
      </c>
      <c r="U27" s="24" t="str">
        <f aca="false">IF(OR(L27="",T27=""),"",L27-T27)</f>
        <v/>
      </c>
      <c r="V27" s="25"/>
    </row>
    <row r="28" customFormat="false" ht="15" hidden="false" customHeight="false" outlineLevel="0" collapsed="false">
      <c r="A28" s="14" t="s">
        <v>121</v>
      </c>
      <c r="B28" s="14" t="s">
        <v>85</v>
      </c>
      <c r="C28" s="14" t="s">
        <v>122</v>
      </c>
      <c r="D28" s="14" t="s">
        <v>123</v>
      </c>
      <c r="E28" s="15"/>
      <c r="F28" s="15" t="n">
        <v>22.5</v>
      </c>
      <c r="G28" s="15"/>
      <c r="H28" s="15"/>
      <c r="I28" s="15"/>
      <c r="J28" s="16"/>
      <c r="K28" s="16"/>
      <c r="L28" s="16" t="n">
        <v>18</v>
      </c>
      <c r="M28" s="16" t="n">
        <v>18</v>
      </c>
      <c r="N28" s="16" t="n">
        <v>18</v>
      </c>
      <c r="O28" s="16"/>
      <c r="P28" s="16"/>
      <c r="Q28" s="16"/>
      <c r="R28" s="16"/>
      <c r="S28" s="16"/>
      <c r="T28" s="17" t="n">
        <f aca="false">IF(AND(J28="",K28="",N28=""),"",N(J28)+N(K28)+2*N(N28))</f>
        <v>36</v>
      </c>
      <c r="U28" s="18" t="n">
        <f aca="false">IF(OR(L28="",T28=""),"",L28-T28)</f>
        <v>-18</v>
      </c>
      <c r="V28" s="19" t="s">
        <v>78</v>
      </c>
    </row>
    <row r="29" customFormat="false" ht="15" hidden="false" customHeight="false" outlineLevel="0" collapsed="false">
      <c r="A29" s="20" t="s">
        <v>121</v>
      </c>
      <c r="B29" s="20" t="s">
        <v>85</v>
      </c>
      <c r="C29" s="20" t="s">
        <v>124</v>
      </c>
      <c r="D29" s="20" t="s">
        <v>125</v>
      </c>
      <c r="E29" s="21" t="n">
        <v>137.5</v>
      </c>
      <c r="F29" s="21"/>
      <c r="G29" s="21"/>
      <c r="H29" s="21"/>
      <c r="I29" s="21"/>
      <c r="J29" s="22" t="n">
        <v>55</v>
      </c>
      <c r="K29" s="22"/>
      <c r="L29" s="22" t="n">
        <v>129</v>
      </c>
      <c r="M29" s="22" t="n">
        <v>128</v>
      </c>
      <c r="N29" s="22" t="n">
        <v>38</v>
      </c>
      <c r="O29" s="22" t="n">
        <v>4</v>
      </c>
      <c r="P29" s="22"/>
      <c r="Q29" s="22"/>
      <c r="R29" s="22"/>
      <c r="S29" s="22"/>
      <c r="T29" s="23" t="n">
        <f aca="false">IF(AND(J29="",K29="",N29=""),"",N(J29)+N(K29)+2*N(N29))</f>
        <v>131</v>
      </c>
      <c r="U29" s="24" t="n">
        <f aca="false">IF(OR(L29="",T29=""),"",L29-T29)</f>
        <v>-2</v>
      </c>
      <c r="V29" s="25"/>
    </row>
    <row r="30" customFormat="false" ht="15" hidden="false" customHeight="false" outlineLevel="0" collapsed="false">
      <c r="A30" s="20" t="s">
        <v>121</v>
      </c>
      <c r="B30" s="20" t="s">
        <v>85</v>
      </c>
      <c r="C30" s="20" t="s">
        <v>126</v>
      </c>
      <c r="D30" s="20" t="s">
        <v>110</v>
      </c>
      <c r="E30" s="21"/>
      <c r="F30" s="21"/>
      <c r="G30" s="21"/>
      <c r="H30" s="21"/>
      <c r="I30" s="21"/>
      <c r="J30" s="22"/>
      <c r="K30" s="22"/>
      <c r="L30" s="22"/>
      <c r="M30" s="22"/>
      <c r="N30" s="22"/>
      <c r="O30" s="22"/>
      <c r="P30" s="22"/>
      <c r="Q30" s="22"/>
      <c r="R30" s="22"/>
      <c r="S30" s="22"/>
      <c r="T30" s="23" t="str">
        <f aca="false">IF(AND(J30="",K30="",N30=""),"",N(J30)+N(K30)+2*N(N30))</f>
        <v/>
      </c>
      <c r="U30" s="24" t="str">
        <f aca="false">IF(OR(L30="",T30=""),"",L30-T30)</f>
        <v/>
      </c>
      <c r="V30" s="25"/>
    </row>
    <row r="31" customFormat="false" ht="15" hidden="false" customHeight="false" outlineLevel="0" collapsed="false">
      <c r="A31" s="20" t="s">
        <v>121</v>
      </c>
      <c r="B31" s="20" t="s">
        <v>85</v>
      </c>
      <c r="C31" s="20" t="s">
        <v>127</v>
      </c>
      <c r="D31" s="20" t="s">
        <v>128</v>
      </c>
      <c r="E31" s="21" t="n">
        <v>10</v>
      </c>
      <c r="F31" s="21"/>
      <c r="G31" s="21"/>
      <c r="H31" s="21"/>
      <c r="I31" s="21"/>
      <c r="J31" s="22" t="n">
        <v>4</v>
      </c>
      <c r="K31" s="22"/>
      <c r="L31" s="22" t="n">
        <v>4</v>
      </c>
      <c r="M31" s="22" t="n">
        <v>3</v>
      </c>
      <c r="N31" s="22"/>
      <c r="O31" s="22"/>
      <c r="P31" s="22"/>
      <c r="Q31" s="22"/>
      <c r="R31" s="22"/>
      <c r="S31" s="22"/>
      <c r="T31" s="23" t="n">
        <f aca="false">IF(AND(J31="",K31="",N31=""),"",N(J31)+N(K31)+2*N(N31))</f>
        <v>4</v>
      </c>
      <c r="U31" s="24" t="n">
        <f aca="false">IF(OR(L31="",T31=""),"",L31-T31)</f>
        <v>0</v>
      </c>
      <c r="V31" s="25"/>
    </row>
    <row r="32" customFormat="false" ht="15" hidden="false" customHeight="false" outlineLevel="0" collapsed="false">
      <c r="A32" s="20" t="s">
        <v>121</v>
      </c>
      <c r="B32" s="20" t="s">
        <v>85</v>
      </c>
      <c r="C32" s="20" t="s">
        <v>129</v>
      </c>
      <c r="D32" s="20" t="s">
        <v>118</v>
      </c>
      <c r="E32" s="21"/>
      <c r="F32" s="21"/>
      <c r="G32" s="21"/>
      <c r="H32" s="21"/>
      <c r="I32" s="21"/>
      <c r="J32" s="22"/>
      <c r="K32" s="22"/>
      <c r="L32" s="22"/>
      <c r="M32" s="22"/>
      <c r="N32" s="22"/>
      <c r="O32" s="22" t="n">
        <v>2</v>
      </c>
      <c r="P32" s="22"/>
      <c r="Q32" s="22"/>
      <c r="R32" s="22"/>
      <c r="S32" s="22"/>
      <c r="T32" s="23" t="str">
        <f aca="false">IF(AND(J32="",K32="",N32=""),"",N(J32)+N(K32)+2*N(N32))</f>
        <v/>
      </c>
      <c r="U32" s="24" t="str">
        <f aca="false">IF(OR(L32="",T32=""),"",L32-T32)</f>
        <v/>
      </c>
      <c r="V32" s="25"/>
    </row>
    <row r="33" customFormat="false" ht="15" hidden="false" customHeight="false" outlineLevel="0" collapsed="false">
      <c r="A33" s="14" t="s">
        <v>121</v>
      </c>
      <c r="B33" s="14" t="s">
        <v>85</v>
      </c>
      <c r="C33" s="14" t="s">
        <v>130</v>
      </c>
      <c r="D33" s="14" t="s">
        <v>131</v>
      </c>
      <c r="E33" s="15" t="n">
        <v>45</v>
      </c>
      <c r="F33" s="15" t="n">
        <v>10</v>
      </c>
      <c r="G33" s="15"/>
      <c r="H33" s="15"/>
      <c r="I33" s="15"/>
      <c r="J33" s="16" t="n">
        <v>18</v>
      </c>
      <c r="K33" s="16"/>
      <c r="L33" s="16"/>
      <c r="M33" s="16" t="n">
        <v>17</v>
      </c>
      <c r="N33" s="16" t="n">
        <v>4</v>
      </c>
      <c r="O33" s="16"/>
      <c r="P33" s="16"/>
      <c r="Q33" s="16"/>
      <c r="R33" s="16"/>
      <c r="S33" s="16"/>
      <c r="T33" s="17" t="n">
        <f aca="false">IF(AND(J33="",K33="",N33=""),"",N(J33)+N(K33)+2*N(N33))</f>
        <v>26</v>
      </c>
      <c r="U33" s="18" t="str">
        <f aca="false">IF(OR(L33="",T33=""),"",L33-T33)</f>
        <v/>
      </c>
      <c r="V33" s="19" t="s">
        <v>132</v>
      </c>
    </row>
    <row r="34" customFormat="false" ht="15" hidden="false" customHeight="false" outlineLevel="0" collapsed="false">
      <c r="A34" s="20" t="s">
        <v>121</v>
      </c>
      <c r="B34" s="20" t="s">
        <v>85</v>
      </c>
      <c r="C34" s="20" t="s">
        <v>133</v>
      </c>
      <c r="D34" s="20" t="s">
        <v>134</v>
      </c>
      <c r="E34" s="21" t="n">
        <v>15</v>
      </c>
      <c r="F34" s="21"/>
      <c r="G34" s="21" t="n">
        <v>50</v>
      </c>
      <c r="H34" s="21"/>
      <c r="I34" s="21"/>
      <c r="J34" s="22" t="n">
        <v>6</v>
      </c>
      <c r="K34" s="22"/>
      <c r="L34" s="22" t="n">
        <v>6</v>
      </c>
      <c r="M34" s="22" t="n">
        <v>6</v>
      </c>
      <c r="N34" s="22"/>
      <c r="O34" s="22"/>
      <c r="P34" s="22" t="n">
        <v>20</v>
      </c>
      <c r="Q34" s="22"/>
      <c r="R34" s="22"/>
      <c r="S34" s="22"/>
      <c r="T34" s="23" t="n">
        <f aca="false">IF(AND(J34="",K34="",N34=""),"",N(J34)+N(K34)+2*N(N34))</f>
        <v>6</v>
      </c>
      <c r="U34" s="24" t="n">
        <f aca="false">IF(OR(L34="",T34=""),"",L34-T34)</f>
        <v>0</v>
      </c>
      <c r="V34" s="25"/>
    </row>
    <row r="35" customFormat="false" ht="15" hidden="false" customHeight="false" outlineLevel="0" collapsed="false">
      <c r="A35" s="14" t="s">
        <v>121</v>
      </c>
      <c r="B35" s="14" t="s">
        <v>85</v>
      </c>
      <c r="C35" s="14" t="s">
        <v>135</v>
      </c>
      <c r="D35" s="14" t="s">
        <v>136</v>
      </c>
      <c r="E35" s="15"/>
      <c r="F35" s="15" t="n">
        <v>105</v>
      </c>
      <c r="G35" s="15"/>
      <c r="H35" s="15"/>
      <c r="I35" s="15"/>
      <c r="J35" s="16"/>
      <c r="K35" s="16"/>
      <c r="L35" s="16" t="n">
        <v>84</v>
      </c>
      <c r="M35" s="16" t="n">
        <v>84</v>
      </c>
      <c r="N35" s="16" t="n">
        <v>42</v>
      </c>
      <c r="O35" s="16"/>
      <c r="P35" s="16"/>
      <c r="Q35" s="16"/>
      <c r="R35" s="16"/>
      <c r="S35" s="16"/>
      <c r="T35" s="17" t="n">
        <f aca="false">IF(AND(J35="",K35="",N35=""),"",N(J35)+N(K35)+2*N(N35))</f>
        <v>84</v>
      </c>
      <c r="U35" s="18" t="n">
        <f aca="false">IF(OR(L35="",T35=""),"",L35-T35)</f>
        <v>0</v>
      </c>
      <c r="V35" s="19" t="s">
        <v>78</v>
      </c>
    </row>
    <row r="36" customFormat="false" ht="15" hidden="false" customHeight="false" outlineLevel="0" collapsed="false">
      <c r="A36" s="20" t="s">
        <v>137</v>
      </c>
      <c r="B36" s="20" t="s">
        <v>85</v>
      </c>
      <c r="C36" s="20" t="s">
        <v>138</v>
      </c>
      <c r="D36" s="20" t="s">
        <v>139</v>
      </c>
      <c r="E36" s="21" t="n">
        <v>150</v>
      </c>
      <c r="F36" s="21" t="n">
        <v>132.5</v>
      </c>
      <c r="G36" s="21"/>
      <c r="H36" s="21"/>
      <c r="I36" s="21"/>
      <c r="J36" s="22" t="n">
        <v>60</v>
      </c>
      <c r="K36" s="22"/>
      <c r="L36" s="22" t="n">
        <v>164</v>
      </c>
      <c r="M36" s="22" t="n">
        <v>162</v>
      </c>
      <c r="N36" s="22" t="n">
        <v>53</v>
      </c>
      <c r="O36" s="22" t="n">
        <v>2</v>
      </c>
      <c r="P36" s="22"/>
      <c r="Q36" s="22"/>
      <c r="R36" s="22"/>
      <c r="S36" s="22"/>
      <c r="T36" s="23" t="n">
        <f aca="false">IF(AND(J36="",K36="",N36=""),"",N(J36)+N(K36)+2*N(N36))</f>
        <v>166</v>
      </c>
      <c r="U36" s="24" t="n">
        <f aca="false">IF(OR(L36="",T36=""),"",L36-T36)</f>
        <v>-2</v>
      </c>
      <c r="V36" s="25"/>
    </row>
    <row r="37" customFormat="false" ht="15" hidden="false" customHeight="false" outlineLevel="0" collapsed="false">
      <c r="A37" s="20" t="s">
        <v>137</v>
      </c>
      <c r="B37" s="20" t="s">
        <v>85</v>
      </c>
      <c r="C37" s="20" t="s">
        <v>140</v>
      </c>
      <c r="D37" s="20" t="s">
        <v>141</v>
      </c>
      <c r="E37" s="21" t="n">
        <v>45</v>
      </c>
      <c r="F37" s="21"/>
      <c r="G37" s="21"/>
      <c r="H37" s="21"/>
      <c r="I37" s="21"/>
      <c r="J37" s="22" t="n">
        <v>18</v>
      </c>
      <c r="K37" s="22"/>
      <c r="L37" s="22" t="n">
        <v>18</v>
      </c>
      <c r="M37" s="22" t="n">
        <v>14</v>
      </c>
      <c r="N37" s="22"/>
      <c r="O37" s="22" t="n">
        <v>2</v>
      </c>
      <c r="P37" s="22"/>
      <c r="Q37" s="22"/>
      <c r="R37" s="22"/>
      <c r="S37" s="22"/>
      <c r="T37" s="23" t="n">
        <f aca="false">IF(AND(J37="",K37="",N37=""),"",N(J37)+N(K37)+2*N(N37))</f>
        <v>18</v>
      </c>
      <c r="U37" s="24" t="n">
        <f aca="false">IF(OR(L37="",T37=""),"",L37-T37)</f>
        <v>0</v>
      </c>
      <c r="V37" s="25"/>
    </row>
    <row r="38" customFormat="false" ht="15" hidden="false" customHeight="false" outlineLevel="0" collapsed="false">
      <c r="A38" s="20" t="s">
        <v>137</v>
      </c>
      <c r="B38" s="20" t="s">
        <v>85</v>
      </c>
      <c r="C38" s="20" t="s">
        <v>142</v>
      </c>
      <c r="D38" s="20" t="s">
        <v>143</v>
      </c>
      <c r="E38" s="21"/>
      <c r="F38" s="21"/>
      <c r="G38" s="21"/>
      <c r="H38" s="21" t="n">
        <v>235</v>
      </c>
      <c r="I38" s="21"/>
      <c r="J38" s="22"/>
      <c r="K38" s="22"/>
      <c r="L38" s="22"/>
      <c r="M38" s="22"/>
      <c r="N38" s="22"/>
      <c r="O38" s="22"/>
      <c r="P38" s="22" t="n">
        <v>94</v>
      </c>
      <c r="Q38" s="22"/>
      <c r="R38" s="22"/>
      <c r="S38" s="22"/>
      <c r="T38" s="23" t="str">
        <f aca="false">IF(AND(J38="",K38="",N38=""),"",N(J38)+N(K38)+2*N(N38))</f>
        <v/>
      </c>
      <c r="U38" s="24" t="str">
        <f aca="false">IF(OR(L38="",T38=""),"",L38-T38)</f>
        <v/>
      </c>
      <c r="V38" s="25"/>
    </row>
    <row r="39" customFormat="false" ht="15" hidden="false" customHeight="false" outlineLevel="0" collapsed="false">
      <c r="A39" s="20" t="s">
        <v>137</v>
      </c>
      <c r="B39" s="20" t="s">
        <v>85</v>
      </c>
      <c r="C39" s="20" t="s">
        <v>144</v>
      </c>
      <c r="D39" s="20" t="s">
        <v>145</v>
      </c>
      <c r="E39" s="21"/>
      <c r="F39" s="21"/>
      <c r="G39" s="21"/>
      <c r="H39" s="21" t="n">
        <v>30</v>
      </c>
      <c r="I39" s="21"/>
      <c r="J39" s="22"/>
      <c r="K39" s="22"/>
      <c r="L39" s="22"/>
      <c r="M39" s="22"/>
      <c r="N39" s="22"/>
      <c r="O39" s="22"/>
      <c r="P39" s="22" t="n">
        <v>12</v>
      </c>
      <c r="Q39" s="22"/>
      <c r="R39" s="22"/>
      <c r="S39" s="22"/>
      <c r="T39" s="23" t="str">
        <f aca="false">IF(AND(J39="",K39="",N39=""),"",N(J39)+N(K39)+2*N(N39))</f>
        <v/>
      </c>
      <c r="U39" s="24" t="str">
        <f aca="false">IF(OR(L39="",T39=""),"",L39-T39)</f>
        <v/>
      </c>
      <c r="V39" s="25"/>
    </row>
    <row r="40" customFormat="false" ht="15" hidden="false" customHeight="false" outlineLevel="0" collapsed="false">
      <c r="A40" s="20" t="s">
        <v>146</v>
      </c>
      <c r="B40" s="20" t="s">
        <v>147</v>
      </c>
      <c r="C40" s="20" t="s">
        <v>148</v>
      </c>
      <c r="D40" s="20" t="s">
        <v>149</v>
      </c>
      <c r="E40" s="21" t="n">
        <v>172.5</v>
      </c>
      <c r="F40" s="21"/>
      <c r="G40" s="21"/>
      <c r="H40" s="21"/>
      <c r="I40" s="21"/>
      <c r="J40" s="22" t="n">
        <v>69</v>
      </c>
      <c r="K40" s="22"/>
      <c r="L40" s="22" t="n">
        <v>72</v>
      </c>
      <c r="M40" s="22" t="n">
        <v>70</v>
      </c>
      <c r="N40" s="22"/>
      <c r="O40" s="22" t="n">
        <v>2</v>
      </c>
      <c r="P40" s="22"/>
      <c r="Q40" s="22"/>
      <c r="R40" s="22"/>
      <c r="S40" s="22"/>
      <c r="T40" s="23" t="n">
        <f aca="false">IF(AND(J40="",K40="",N40=""),"",N(J40)+N(K40)+2*N(N40))</f>
        <v>69</v>
      </c>
      <c r="U40" s="24" t="n">
        <f aca="false">IF(OR(L40="",T40=""),"",L40-T40)</f>
        <v>3</v>
      </c>
      <c r="V40" s="25"/>
    </row>
    <row r="41" customFormat="false" ht="15" hidden="false" customHeight="false" outlineLevel="0" collapsed="false">
      <c r="A41" s="20" t="s">
        <v>146</v>
      </c>
      <c r="B41" s="20" t="s">
        <v>147</v>
      </c>
      <c r="C41" s="20" t="s">
        <v>150</v>
      </c>
      <c r="D41" s="20" t="s">
        <v>151</v>
      </c>
      <c r="E41" s="21" t="n">
        <v>172.5</v>
      </c>
      <c r="F41" s="21"/>
      <c r="G41" s="21"/>
      <c r="H41" s="21"/>
      <c r="I41" s="21"/>
      <c r="J41" s="22" t="n">
        <v>69</v>
      </c>
      <c r="K41" s="22"/>
      <c r="L41" s="22" t="n">
        <v>71</v>
      </c>
      <c r="M41" s="22" t="n">
        <v>70</v>
      </c>
      <c r="N41" s="22"/>
      <c r="O41" s="22" t="n">
        <v>2</v>
      </c>
      <c r="P41" s="22"/>
      <c r="Q41" s="22"/>
      <c r="R41" s="22"/>
      <c r="S41" s="22"/>
      <c r="T41" s="23" t="n">
        <f aca="false">IF(AND(J41="",K41="",N41=""),"",N(J41)+N(K41)+2*N(N41))</f>
        <v>69</v>
      </c>
      <c r="U41" s="24" t="n">
        <f aca="false">IF(OR(L41="",T41=""),"",L41-T41)</f>
        <v>2</v>
      </c>
      <c r="V41" s="25"/>
    </row>
    <row r="42" customFormat="false" ht="15" hidden="false" customHeight="false" outlineLevel="0" collapsed="false">
      <c r="A42" s="14" t="s">
        <v>146</v>
      </c>
      <c r="B42" s="14" t="s">
        <v>147</v>
      </c>
      <c r="C42" s="14" t="s">
        <v>152</v>
      </c>
      <c r="D42" s="14" t="s">
        <v>153</v>
      </c>
      <c r="E42" s="15" t="n">
        <v>32.5</v>
      </c>
      <c r="F42" s="15"/>
      <c r="G42" s="15"/>
      <c r="H42" s="15"/>
      <c r="I42" s="15"/>
      <c r="J42" s="16" t="n">
        <v>13</v>
      </c>
      <c r="K42" s="16"/>
      <c r="L42" s="16"/>
      <c r="M42" s="16"/>
      <c r="N42" s="16"/>
      <c r="O42" s="16"/>
      <c r="P42" s="16"/>
      <c r="Q42" s="16"/>
      <c r="R42" s="16"/>
      <c r="S42" s="16"/>
      <c r="T42" s="17" t="n">
        <f aca="false">IF(AND(J42="",K42="",N42=""),"",N(J42)+N(K42)+2*N(N42))</f>
        <v>13</v>
      </c>
      <c r="U42" s="18" t="str">
        <f aca="false">IF(OR(L42="",T42=""),"",L42-T42)</f>
        <v/>
      </c>
      <c r="V42" s="19" t="s">
        <v>132</v>
      </c>
    </row>
    <row r="43" customFormat="false" ht="15" hidden="false" customHeight="false" outlineLevel="0" collapsed="false">
      <c r="A43" s="14" t="s">
        <v>154</v>
      </c>
      <c r="B43" s="14" t="s">
        <v>147</v>
      </c>
      <c r="C43" s="14" t="s">
        <v>155</v>
      </c>
      <c r="D43" s="14" t="s">
        <v>87</v>
      </c>
      <c r="E43" s="15"/>
      <c r="F43" s="15" t="n">
        <v>40</v>
      </c>
      <c r="G43" s="15"/>
      <c r="H43" s="15"/>
      <c r="I43" s="15"/>
      <c r="J43" s="16"/>
      <c r="K43" s="16"/>
      <c r="L43" s="16" t="n">
        <v>32</v>
      </c>
      <c r="M43" s="16" t="n">
        <v>32</v>
      </c>
      <c r="N43" s="16" t="n">
        <v>16</v>
      </c>
      <c r="O43" s="16"/>
      <c r="P43" s="16"/>
      <c r="Q43" s="16"/>
      <c r="R43" s="16"/>
      <c r="S43" s="16"/>
      <c r="T43" s="17" t="n">
        <f aca="false">IF(AND(J43="",K43="",N43=""),"",N(J43)+N(K43)+2*N(N43))</f>
        <v>32</v>
      </c>
      <c r="U43" s="18" t="n">
        <f aca="false">IF(OR(L43="",T43=""),"",L43-T43)</f>
        <v>0</v>
      </c>
      <c r="V43" s="19" t="s">
        <v>78</v>
      </c>
    </row>
    <row r="44" customFormat="false" ht="15" hidden="false" customHeight="false" outlineLevel="0" collapsed="false">
      <c r="A44" s="20" t="s">
        <v>154</v>
      </c>
      <c r="B44" s="20" t="s">
        <v>147</v>
      </c>
      <c r="C44" s="20" t="s">
        <v>156</v>
      </c>
      <c r="D44" s="20" t="s">
        <v>157</v>
      </c>
      <c r="E44" s="21"/>
      <c r="F44" s="21"/>
      <c r="G44" s="21"/>
      <c r="H44" s="21" t="n">
        <v>370</v>
      </c>
      <c r="I44" s="21"/>
      <c r="J44" s="22"/>
      <c r="K44" s="22"/>
      <c r="L44" s="22"/>
      <c r="M44" s="22"/>
      <c r="N44" s="22"/>
      <c r="O44" s="22"/>
      <c r="P44" s="22" t="n">
        <v>148</v>
      </c>
      <c r="Q44" s="22"/>
      <c r="R44" s="22"/>
      <c r="S44" s="22"/>
      <c r="T44" s="23" t="str">
        <f aca="false">IF(AND(J44="",K44="",N44=""),"",N(J44)+N(K44)+2*N(N44))</f>
        <v/>
      </c>
      <c r="U44" s="24" t="str">
        <f aca="false">IF(OR(L44="",T44=""),"",L44-T44)</f>
        <v/>
      </c>
      <c r="V44" s="25"/>
    </row>
    <row r="45" customFormat="false" ht="15" hidden="false" customHeight="false" outlineLevel="0" collapsed="false">
      <c r="A45" s="20" t="s">
        <v>154</v>
      </c>
      <c r="B45" s="20" t="s">
        <v>147</v>
      </c>
      <c r="C45" s="20" t="s">
        <v>158</v>
      </c>
      <c r="D45" s="20" t="s">
        <v>159</v>
      </c>
      <c r="E45" s="21"/>
      <c r="F45" s="21"/>
      <c r="G45" s="21" t="n">
        <v>25</v>
      </c>
      <c r="H45" s="21"/>
      <c r="I45" s="21"/>
      <c r="J45" s="22"/>
      <c r="K45" s="22"/>
      <c r="L45" s="22"/>
      <c r="M45" s="22"/>
      <c r="N45" s="22"/>
      <c r="O45" s="22"/>
      <c r="P45" s="22" t="n">
        <v>10</v>
      </c>
      <c r="Q45" s="22"/>
      <c r="R45" s="22"/>
      <c r="S45" s="22"/>
      <c r="T45" s="23" t="str">
        <f aca="false">IF(AND(J45="",K45="",N45=""),"",N(J45)+N(K45)+2*N(N45))</f>
        <v/>
      </c>
      <c r="U45" s="24" t="str">
        <f aca="false">IF(OR(L45="",T45=""),"",L45-T45)</f>
        <v/>
      </c>
      <c r="V45" s="25"/>
    </row>
    <row r="46" customFormat="false" ht="15" hidden="false" customHeight="false" outlineLevel="0" collapsed="false">
      <c r="A46" s="20" t="s">
        <v>154</v>
      </c>
      <c r="B46" s="20" t="s">
        <v>147</v>
      </c>
      <c r="C46" s="20" t="s">
        <v>160</v>
      </c>
      <c r="D46" s="20" t="s">
        <v>161</v>
      </c>
      <c r="E46" s="21"/>
      <c r="F46" s="21"/>
      <c r="G46" s="21"/>
      <c r="H46" s="21" t="n">
        <v>60</v>
      </c>
      <c r="I46" s="21"/>
      <c r="J46" s="22"/>
      <c r="K46" s="22"/>
      <c r="L46" s="22"/>
      <c r="M46" s="22"/>
      <c r="N46" s="22"/>
      <c r="O46" s="22"/>
      <c r="P46" s="22" t="n">
        <v>24</v>
      </c>
      <c r="Q46" s="22"/>
      <c r="R46" s="22"/>
      <c r="S46" s="22"/>
      <c r="T46" s="23" t="str">
        <f aca="false">IF(AND(J46="",K46="",N46=""),"",N(J46)+N(K46)+2*N(N46))</f>
        <v/>
      </c>
      <c r="U46" s="24" t="str">
        <f aca="false">IF(OR(L46="",T46=""),"",L46-T46)</f>
        <v/>
      </c>
      <c r="V46" s="25"/>
    </row>
    <row r="47" customFormat="false" ht="15" hidden="false" customHeight="false" outlineLevel="0" collapsed="false">
      <c r="A47" s="20" t="s">
        <v>162</v>
      </c>
      <c r="B47" s="20" t="s">
        <v>147</v>
      </c>
      <c r="C47" s="20" t="s">
        <v>163</v>
      </c>
      <c r="D47" s="20" t="s">
        <v>164</v>
      </c>
      <c r="E47" s="21" t="n">
        <v>20</v>
      </c>
      <c r="F47" s="21"/>
      <c r="G47" s="21"/>
      <c r="H47" s="21"/>
      <c r="I47" s="21"/>
      <c r="J47" s="22" t="n">
        <v>8</v>
      </c>
      <c r="K47" s="22"/>
      <c r="L47" s="22" t="n">
        <v>8</v>
      </c>
      <c r="M47" s="22" t="n">
        <v>8</v>
      </c>
      <c r="N47" s="22"/>
      <c r="O47" s="22"/>
      <c r="P47" s="22"/>
      <c r="Q47" s="22"/>
      <c r="R47" s="22"/>
      <c r="S47" s="22"/>
      <c r="T47" s="23" t="n">
        <f aca="false">IF(AND(J47="",K47="",N47=""),"",N(J47)+N(K47)+2*N(N47))</f>
        <v>8</v>
      </c>
      <c r="U47" s="24" t="n">
        <f aca="false">IF(OR(L47="",T47=""),"",L47-T47)</f>
        <v>0</v>
      </c>
      <c r="V47" s="25"/>
    </row>
    <row r="48" customFormat="false" ht="15" hidden="false" customHeight="false" outlineLevel="0" collapsed="false">
      <c r="A48" s="20" t="s">
        <v>162</v>
      </c>
      <c r="B48" s="20" t="s">
        <v>147</v>
      </c>
      <c r="C48" s="20" t="s">
        <v>165</v>
      </c>
      <c r="D48" s="20" t="s">
        <v>166</v>
      </c>
      <c r="E48" s="21" t="n">
        <v>52.5</v>
      </c>
      <c r="F48" s="21" t="n">
        <v>52.5</v>
      </c>
      <c r="G48" s="21"/>
      <c r="H48" s="21"/>
      <c r="I48" s="21"/>
      <c r="J48" s="22" t="n">
        <v>21</v>
      </c>
      <c r="K48" s="22"/>
      <c r="L48" s="22" t="n">
        <v>57</v>
      </c>
      <c r="M48" s="22" t="n">
        <v>54</v>
      </c>
      <c r="N48" s="22" t="n">
        <v>17</v>
      </c>
      <c r="O48" s="22"/>
      <c r="P48" s="22"/>
      <c r="Q48" s="22"/>
      <c r="R48" s="22"/>
      <c r="S48" s="22" t="n">
        <v>1</v>
      </c>
      <c r="T48" s="23" t="n">
        <f aca="false">IF(AND(J48="",K48="",N48=""),"",N(J48)+N(K48)+2*N(N48))</f>
        <v>55</v>
      </c>
      <c r="U48" s="24" t="n">
        <f aca="false">IF(OR(L48="",T48=""),"",L48-T48)</f>
        <v>2</v>
      </c>
      <c r="V48" s="25"/>
    </row>
    <row r="49" customFormat="false" ht="15" hidden="false" customHeight="false" outlineLevel="0" collapsed="false">
      <c r="A49" s="20" t="s">
        <v>162</v>
      </c>
      <c r="B49" s="20" t="s">
        <v>147</v>
      </c>
      <c r="C49" s="20" t="s">
        <v>167</v>
      </c>
      <c r="D49" s="20" t="s">
        <v>125</v>
      </c>
      <c r="E49" s="21" t="n">
        <v>10</v>
      </c>
      <c r="F49" s="21"/>
      <c r="G49" s="21"/>
      <c r="H49" s="21"/>
      <c r="I49" s="21"/>
      <c r="J49" s="22" t="n">
        <v>4</v>
      </c>
      <c r="K49" s="22"/>
      <c r="L49" s="22" t="n">
        <v>12</v>
      </c>
      <c r="M49" s="22" t="n">
        <v>12</v>
      </c>
      <c r="N49" s="22"/>
      <c r="O49" s="22"/>
      <c r="P49" s="22"/>
      <c r="Q49" s="22"/>
      <c r="R49" s="22"/>
      <c r="S49" s="22"/>
      <c r="T49" s="23" t="n">
        <f aca="false">IF(AND(J49="",K49="",N49=""),"",N(J49)+N(K49)+2*N(N49))</f>
        <v>4</v>
      </c>
      <c r="U49" s="24" t="n">
        <f aca="false">IF(OR(L49="",T49=""),"",L49-T49)</f>
        <v>8</v>
      </c>
      <c r="V49" s="25"/>
    </row>
    <row r="50" customFormat="false" ht="15" hidden="false" customHeight="false" outlineLevel="0" collapsed="false">
      <c r="A50" s="20" t="s">
        <v>162</v>
      </c>
      <c r="B50" s="20" t="s">
        <v>147</v>
      </c>
      <c r="C50" s="20" t="s">
        <v>168</v>
      </c>
      <c r="D50" s="20" t="s">
        <v>169</v>
      </c>
      <c r="E50" s="21" t="n">
        <v>22.5</v>
      </c>
      <c r="F50" s="21"/>
      <c r="G50" s="21"/>
      <c r="H50" s="21"/>
      <c r="I50" s="21"/>
      <c r="J50" s="22" t="n">
        <v>9</v>
      </c>
      <c r="K50" s="22"/>
      <c r="L50" s="22" t="n">
        <v>13</v>
      </c>
      <c r="M50" s="22" t="n">
        <v>8</v>
      </c>
      <c r="N50" s="22"/>
      <c r="O50" s="22"/>
      <c r="P50" s="22"/>
      <c r="Q50" s="22"/>
      <c r="R50" s="22"/>
      <c r="S50" s="22"/>
      <c r="T50" s="23" t="n">
        <f aca="false">IF(AND(J50="",K50="",N50=""),"",N(J50)+N(K50)+2*N(N50))</f>
        <v>9</v>
      </c>
      <c r="U50" s="24" t="n">
        <f aca="false">IF(OR(L50="",T50=""),"",L50-T50)</f>
        <v>4</v>
      </c>
      <c r="V50" s="25"/>
    </row>
    <row r="51" customFormat="false" ht="15" hidden="false" customHeight="false" outlineLevel="0" collapsed="false">
      <c r="A51" s="20" t="s">
        <v>162</v>
      </c>
      <c r="B51" s="20" t="s">
        <v>147</v>
      </c>
      <c r="C51" s="20" t="s">
        <v>170</v>
      </c>
      <c r="D51" s="20" t="s">
        <v>171</v>
      </c>
      <c r="E51" s="21" t="n">
        <v>72.5</v>
      </c>
      <c r="F51" s="21" t="n">
        <v>72.5</v>
      </c>
      <c r="G51" s="21"/>
      <c r="H51" s="21"/>
      <c r="I51" s="21"/>
      <c r="J51" s="22" t="n">
        <v>29</v>
      </c>
      <c r="K51" s="22"/>
      <c r="L51" s="22" t="n">
        <v>53</v>
      </c>
      <c r="M51" s="22" t="n">
        <v>52</v>
      </c>
      <c r="N51" s="22" t="n">
        <v>12</v>
      </c>
      <c r="O51" s="22"/>
      <c r="P51" s="22"/>
      <c r="Q51" s="22"/>
      <c r="R51" s="22"/>
      <c r="S51" s="22"/>
      <c r="T51" s="23" t="n">
        <f aca="false">IF(AND(J51="",K51="",N51=""),"",N(J51)+N(K51)+2*N(N51))</f>
        <v>53</v>
      </c>
      <c r="U51" s="24" t="n">
        <f aca="false">IF(OR(L51="",T51=""),"",L51-T51)</f>
        <v>0</v>
      </c>
      <c r="V51" s="25"/>
    </row>
    <row r="52" customFormat="false" ht="15" hidden="false" customHeight="false" outlineLevel="0" collapsed="false">
      <c r="A52" s="20" t="s">
        <v>162</v>
      </c>
      <c r="B52" s="20" t="s">
        <v>147</v>
      </c>
      <c r="C52" s="20" t="s">
        <v>172</v>
      </c>
      <c r="D52" s="20" t="s">
        <v>173</v>
      </c>
      <c r="E52" s="21" t="n">
        <v>475</v>
      </c>
      <c r="F52" s="21"/>
      <c r="G52" s="21"/>
      <c r="H52" s="21"/>
      <c r="I52" s="21"/>
      <c r="J52" s="22" t="n">
        <v>190</v>
      </c>
      <c r="K52" s="22"/>
      <c r="L52" s="22" t="n">
        <v>185</v>
      </c>
      <c r="M52" s="22" t="n">
        <v>185</v>
      </c>
      <c r="N52" s="22"/>
      <c r="O52" s="22"/>
      <c r="P52" s="22"/>
      <c r="Q52" s="22"/>
      <c r="R52" s="22"/>
      <c r="S52" s="22"/>
      <c r="T52" s="23" t="n">
        <f aca="false">IF(AND(J52="",K52="",N52=""),"",N(J52)+N(K52)+2*N(N52))</f>
        <v>190</v>
      </c>
      <c r="U52" s="24" t="n">
        <f aca="false">IF(OR(L52="",T52=""),"",L52-T52)</f>
        <v>-5</v>
      </c>
      <c r="V52" s="25"/>
    </row>
    <row r="53" customFormat="false" ht="15" hidden="false" customHeight="false" outlineLevel="0" collapsed="false">
      <c r="A53" s="20" t="s">
        <v>162</v>
      </c>
      <c r="B53" s="20" t="s">
        <v>147</v>
      </c>
      <c r="C53" s="20" t="s">
        <v>174</v>
      </c>
      <c r="D53" s="20" t="s">
        <v>175</v>
      </c>
      <c r="E53" s="21" t="n">
        <v>32.5</v>
      </c>
      <c r="F53" s="21"/>
      <c r="G53" s="21"/>
      <c r="H53" s="21"/>
      <c r="I53" s="21"/>
      <c r="J53" s="22" t="n">
        <v>13</v>
      </c>
      <c r="K53" s="22"/>
      <c r="L53" s="22" t="n">
        <v>13</v>
      </c>
      <c r="M53" s="22" t="n">
        <v>13</v>
      </c>
      <c r="N53" s="22"/>
      <c r="O53" s="22"/>
      <c r="P53" s="22"/>
      <c r="Q53" s="22"/>
      <c r="R53" s="22"/>
      <c r="S53" s="22"/>
      <c r="T53" s="23" t="n">
        <f aca="false">IF(AND(J53="",K53="",N53=""),"",N(J53)+N(K53)+2*N(N53))</f>
        <v>13</v>
      </c>
      <c r="U53" s="24" t="n">
        <f aca="false">IF(OR(L53="",T53=""),"",L53-T53)</f>
        <v>0</v>
      </c>
      <c r="V53" s="25"/>
    </row>
    <row r="54" customFormat="false" ht="15" hidden="false" customHeight="false" outlineLevel="0" collapsed="false">
      <c r="A54" s="20" t="s">
        <v>176</v>
      </c>
      <c r="B54" s="20" t="s">
        <v>147</v>
      </c>
      <c r="C54" s="20" t="s">
        <v>177</v>
      </c>
      <c r="D54" s="20" t="s">
        <v>178</v>
      </c>
      <c r="E54" s="21" t="n">
        <v>62.5</v>
      </c>
      <c r="F54" s="21"/>
      <c r="G54" s="21"/>
      <c r="H54" s="21"/>
      <c r="I54" s="21"/>
      <c r="J54" s="22" t="n">
        <v>25</v>
      </c>
      <c r="K54" s="22"/>
      <c r="L54" s="22" t="n">
        <v>23</v>
      </c>
      <c r="M54" s="22" t="n">
        <v>23</v>
      </c>
      <c r="N54" s="22"/>
      <c r="O54" s="22" t="n">
        <v>4</v>
      </c>
      <c r="P54" s="22"/>
      <c r="Q54" s="22"/>
      <c r="R54" s="22"/>
      <c r="S54" s="22"/>
      <c r="T54" s="23" t="n">
        <f aca="false">IF(AND(J54="",K54="",N54=""),"",N(J54)+N(K54)+2*N(N54))</f>
        <v>25</v>
      </c>
      <c r="U54" s="24" t="n">
        <f aca="false">IF(OR(L54="",T54=""),"",L54-T54)</f>
        <v>-2</v>
      </c>
      <c r="V54" s="25"/>
    </row>
    <row r="55" customFormat="false" ht="15" hidden="false" customHeight="false" outlineLevel="0" collapsed="false">
      <c r="A55" s="20" t="s">
        <v>176</v>
      </c>
      <c r="B55" s="20" t="s">
        <v>147</v>
      </c>
      <c r="C55" s="20" t="s">
        <v>179</v>
      </c>
      <c r="D55" s="20" t="s">
        <v>180</v>
      </c>
      <c r="E55" s="21"/>
      <c r="F55" s="21"/>
      <c r="G55" s="21"/>
      <c r="H55" s="21" t="n">
        <v>510</v>
      </c>
      <c r="I55" s="21"/>
      <c r="J55" s="22"/>
      <c r="K55" s="22"/>
      <c r="L55" s="22"/>
      <c r="M55" s="22"/>
      <c r="N55" s="22"/>
      <c r="O55" s="22"/>
      <c r="P55" s="22" t="n">
        <v>204</v>
      </c>
      <c r="Q55" s="22"/>
      <c r="R55" s="22"/>
      <c r="S55" s="22"/>
      <c r="T55" s="23" t="str">
        <f aca="false">IF(AND(J55="",K55="",N55=""),"",N(J55)+N(K55)+2*N(N55))</f>
        <v/>
      </c>
      <c r="U55" s="24" t="str">
        <f aca="false">IF(OR(L55="",T55=""),"",L55-T55)</f>
        <v/>
      </c>
      <c r="V55" s="25"/>
    </row>
    <row r="56" customFormat="false" ht="15" hidden="false" customHeight="false" outlineLevel="0" collapsed="false">
      <c r="A56" s="20" t="s">
        <v>176</v>
      </c>
      <c r="B56" s="20" t="s">
        <v>147</v>
      </c>
      <c r="C56" s="20" t="s">
        <v>181</v>
      </c>
      <c r="D56" s="20" t="s">
        <v>182</v>
      </c>
      <c r="E56" s="21" t="n">
        <v>25</v>
      </c>
      <c r="F56" s="21"/>
      <c r="G56" s="21"/>
      <c r="H56" s="21"/>
      <c r="I56" s="21"/>
      <c r="J56" s="22" t="n">
        <v>10</v>
      </c>
      <c r="K56" s="22"/>
      <c r="L56" s="22" t="n">
        <v>8</v>
      </c>
      <c r="M56" s="22" t="n">
        <v>9</v>
      </c>
      <c r="N56" s="22"/>
      <c r="O56" s="22" t="n">
        <v>2</v>
      </c>
      <c r="P56" s="22"/>
      <c r="Q56" s="22"/>
      <c r="R56" s="22"/>
      <c r="S56" s="22"/>
      <c r="T56" s="23" t="n">
        <f aca="false">IF(AND(J56="",K56="",N56=""),"",N(J56)+N(K56)+2*N(N56))</f>
        <v>10</v>
      </c>
      <c r="U56" s="24" t="n">
        <f aca="false">IF(OR(L56="",T56=""),"",L56-T56)</f>
        <v>-2</v>
      </c>
      <c r="V56" s="25"/>
    </row>
    <row r="57" customFormat="false" ht="15" hidden="false" customHeight="false" outlineLevel="0" collapsed="false">
      <c r="A57" s="20" t="s">
        <v>176</v>
      </c>
      <c r="B57" s="20" t="s">
        <v>147</v>
      </c>
      <c r="C57" s="20" t="s">
        <v>183</v>
      </c>
      <c r="D57" s="20" t="s">
        <v>173</v>
      </c>
      <c r="E57" s="21" t="n">
        <v>12.5</v>
      </c>
      <c r="F57" s="21"/>
      <c r="G57" s="21"/>
      <c r="H57" s="21"/>
      <c r="I57" s="21"/>
      <c r="J57" s="22" t="n">
        <v>5</v>
      </c>
      <c r="K57" s="22"/>
      <c r="L57" s="22" t="n">
        <v>7</v>
      </c>
      <c r="M57" s="22" t="n">
        <v>6</v>
      </c>
      <c r="N57" s="22"/>
      <c r="O57" s="22"/>
      <c r="P57" s="22"/>
      <c r="Q57" s="22"/>
      <c r="R57" s="22"/>
      <c r="S57" s="22"/>
      <c r="T57" s="23" t="n">
        <f aca="false">IF(AND(J57="",K57="",N57=""),"",N(J57)+N(K57)+2*N(N57))</f>
        <v>5</v>
      </c>
      <c r="U57" s="24" t="n">
        <f aca="false">IF(OR(L57="",T57=""),"",L57-T57)</f>
        <v>2</v>
      </c>
      <c r="V57" s="25"/>
    </row>
    <row r="58" customFormat="false" ht="15" hidden="false" customHeight="false" outlineLevel="0" collapsed="false">
      <c r="A58" s="20" t="s">
        <v>176</v>
      </c>
      <c r="B58" s="20" t="s">
        <v>147</v>
      </c>
      <c r="C58" s="20" t="s">
        <v>184</v>
      </c>
      <c r="D58" s="20" t="s">
        <v>185</v>
      </c>
      <c r="E58" s="21"/>
      <c r="F58" s="21"/>
      <c r="G58" s="21"/>
      <c r="H58" s="21" t="n">
        <v>352.5</v>
      </c>
      <c r="I58" s="21"/>
      <c r="J58" s="22"/>
      <c r="K58" s="22"/>
      <c r="L58" s="22"/>
      <c r="M58" s="22"/>
      <c r="N58" s="22"/>
      <c r="O58" s="22"/>
      <c r="P58" s="22" t="n">
        <v>141</v>
      </c>
      <c r="Q58" s="22"/>
      <c r="R58" s="22"/>
      <c r="S58" s="22"/>
      <c r="T58" s="23" t="str">
        <f aca="false">IF(AND(J58="",K58="",N58=""),"",N(J58)+N(K58)+2*N(N58))</f>
        <v/>
      </c>
      <c r="U58" s="24" t="str">
        <f aca="false">IF(OR(L58="",T58=""),"",L58-T58)</f>
        <v/>
      </c>
      <c r="V58" s="25"/>
    </row>
    <row r="59" customFormat="false" ht="15" hidden="false" customHeight="false" outlineLevel="0" collapsed="false">
      <c r="A59" s="20" t="s">
        <v>176</v>
      </c>
      <c r="B59" s="20" t="s">
        <v>147</v>
      </c>
      <c r="C59" s="20" t="s">
        <v>186</v>
      </c>
      <c r="D59" s="20" t="s">
        <v>187</v>
      </c>
      <c r="E59" s="21" t="n">
        <v>30</v>
      </c>
      <c r="F59" s="21"/>
      <c r="G59" s="21"/>
      <c r="H59" s="21"/>
      <c r="I59" s="21"/>
      <c r="J59" s="22" t="n">
        <v>12</v>
      </c>
      <c r="K59" s="22"/>
      <c r="L59" s="22" t="n">
        <v>12</v>
      </c>
      <c r="M59" s="22" t="n">
        <v>11</v>
      </c>
      <c r="N59" s="22"/>
      <c r="O59" s="22"/>
      <c r="P59" s="22"/>
      <c r="Q59" s="22"/>
      <c r="R59" s="22"/>
      <c r="S59" s="22"/>
      <c r="T59" s="23" t="n">
        <f aca="false">IF(AND(J59="",K59="",N59=""),"",N(J59)+N(K59)+2*N(N59))</f>
        <v>12</v>
      </c>
      <c r="U59" s="24" t="n">
        <f aca="false">IF(OR(L59="",T59=""),"",L59-T59)</f>
        <v>0</v>
      </c>
      <c r="V59" s="25"/>
    </row>
    <row r="60" customFormat="false" ht="15" hidden="false" customHeight="false" outlineLevel="0" collapsed="false">
      <c r="A60" s="20" t="s">
        <v>188</v>
      </c>
      <c r="B60" s="20" t="s">
        <v>147</v>
      </c>
      <c r="C60" s="20" t="s">
        <v>189</v>
      </c>
      <c r="D60" s="20" t="s">
        <v>190</v>
      </c>
      <c r="E60" s="21"/>
      <c r="F60" s="21"/>
      <c r="G60" s="21"/>
      <c r="H60" s="21" t="n">
        <v>402.5</v>
      </c>
      <c r="I60" s="21"/>
      <c r="J60" s="22"/>
      <c r="K60" s="22"/>
      <c r="L60" s="22"/>
      <c r="M60" s="22"/>
      <c r="N60" s="22"/>
      <c r="O60" s="22"/>
      <c r="P60" s="22" t="n">
        <v>161</v>
      </c>
      <c r="Q60" s="22"/>
      <c r="R60" s="22"/>
      <c r="S60" s="22"/>
      <c r="T60" s="23" t="str">
        <f aca="false">IF(AND(J60="",K60="",N60=""),"",N(J60)+N(K60)+2*N(N60))</f>
        <v/>
      </c>
      <c r="U60" s="24" t="str">
        <f aca="false">IF(OR(L60="",T60=""),"",L60-T60)</f>
        <v/>
      </c>
      <c r="V60" s="25"/>
    </row>
    <row r="61" customFormat="false" ht="15" hidden="false" customHeight="false" outlineLevel="0" collapsed="false">
      <c r="A61" s="14" t="s">
        <v>188</v>
      </c>
      <c r="B61" s="14" t="s">
        <v>147</v>
      </c>
      <c r="C61" s="14" t="s">
        <v>191</v>
      </c>
      <c r="D61" s="14" t="s">
        <v>192</v>
      </c>
      <c r="E61" s="15" t="n">
        <v>100</v>
      </c>
      <c r="F61" s="15"/>
      <c r="G61" s="15"/>
      <c r="H61" s="15"/>
      <c r="I61" s="15"/>
      <c r="J61" s="16" t="n">
        <v>40</v>
      </c>
      <c r="K61" s="16"/>
      <c r="L61" s="16"/>
      <c r="M61" s="16"/>
      <c r="N61" s="16"/>
      <c r="O61" s="16"/>
      <c r="P61" s="16"/>
      <c r="Q61" s="16"/>
      <c r="R61" s="16"/>
      <c r="S61" s="16"/>
      <c r="T61" s="17" t="n">
        <f aca="false">IF(AND(J61="",K61="",N61=""),"",N(J61)+N(K61)+2*N(N61))</f>
        <v>40</v>
      </c>
      <c r="U61" s="18" t="str">
        <f aca="false">IF(OR(L61="",T61=""),"",L61-T61)</f>
        <v/>
      </c>
      <c r="V61" s="19" t="s">
        <v>132</v>
      </c>
    </row>
    <row r="62" customFormat="false" ht="15" hidden="false" customHeight="false" outlineLevel="0" collapsed="false">
      <c r="A62" s="20" t="s">
        <v>188</v>
      </c>
      <c r="B62" s="20" t="s">
        <v>147</v>
      </c>
      <c r="C62" s="20" t="s">
        <v>193</v>
      </c>
      <c r="D62" s="20" t="s">
        <v>194</v>
      </c>
      <c r="E62" s="21" t="n">
        <v>10</v>
      </c>
      <c r="F62" s="21"/>
      <c r="G62" s="21"/>
      <c r="H62" s="21"/>
      <c r="I62" s="21"/>
      <c r="J62" s="22" t="n">
        <v>4</v>
      </c>
      <c r="K62" s="22"/>
      <c r="L62" s="22" t="n">
        <v>3</v>
      </c>
      <c r="M62" s="22" t="n">
        <v>3</v>
      </c>
      <c r="N62" s="22"/>
      <c r="O62" s="22"/>
      <c r="P62" s="22"/>
      <c r="Q62" s="22"/>
      <c r="R62" s="22"/>
      <c r="S62" s="22"/>
      <c r="T62" s="23" t="n">
        <f aca="false">IF(AND(J62="",K62="",N62=""),"",N(J62)+N(K62)+2*N(N62))</f>
        <v>4</v>
      </c>
      <c r="U62" s="24" t="n">
        <f aca="false">IF(OR(L62="",T62=""),"",L62-T62)</f>
        <v>-1</v>
      </c>
      <c r="V62" s="25"/>
    </row>
    <row r="63" customFormat="false" ht="15" hidden="false" customHeight="false" outlineLevel="0" collapsed="false">
      <c r="A63" s="20" t="s">
        <v>195</v>
      </c>
      <c r="B63" s="20" t="s">
        <v>196</v>
      </c>
      <c r="C63" s="20" t="s">
        <v>197</v>
      </c>
      <c r="D63" s="20" t="s">
        <v>198</v>
      </c>
      <c r="E63" s="21" t="n">
        <v>130</v>
      </c>
      <c r="F63" s="21"/>
      <c r="G63" s="21"/>
      <c r="H63" s="21" t="n">
        <v>202.5</v>
      </c>
      <c r="I63" s="21"/>
      <c r="J63" s="22" t="n">
        <v>52</v>
      </c>
      <c r="K63" s="22"/>
      <c r="L63" s="22" t="n">
        <v>52</v>
      </c>
      <c r="M63" s="22" t="n">
        <v>50</v>
      </c>
      <c r="N63" s="22"/>
      <c r="O63" s="22" t="n">
        <v>10</v>
      </c>
      <c r="P63" s="22" t="n">
        <v>81</v>
      </c>
      <c r="Q63" s="22"/>
      <c r="R63" s="22"/>
      <c r="S63" s="22"/>
      <c r="T63" s="23" t="n">
        <f aca="false">IF(AND(J63="",K63="",N63=""),"",N(J63)+N(K63)+2*N(N63))</f>
        <v>52</v>
      </c>
      <c r="U63" s="24" t="n">
        <f aca="false">IF(OR(L63="",T63=""),"",L63-T63)</f>
        <v>0</v>
      </c>
      <c r="V63" s="25"/>
    </row>
    <row r="64" customFormat="false" ht="15" hidden="false" customHeight="false" outlineLevel="0" collapsed="false">
      <c r="A64" s="20" t="s">
        <v>195</v>
      </c>
      <c r="B64" s="20" t="s">
        <v>196</v>
      </c>
      <c r="C64" s="20" t="s">
        <v>199</v>
      </c>
      <c r="D64" s="20" t="s">
        <v>200</v>
      </c>
      <c r="E64" s="21" t="n">
        <v>507.5</v>
      </c>
      <c r="F64" s="21" t="n">
        <v>427.5</v>
      </c>
      <c r="G64" s="21"/>
      <c r="H64" s="21" t="n">
        <v>447.5</v>
      </c>
      <c r="I64" s="21"/>
      <c r="J64" s="22" t="n">
        <v>203</v>
      </c>
      <c r="K64" s="22"/>
      <c r="L64" s="22" t="n">
        <v>538</v>
      </c>
      <c r="M64" s="22" t="n">
        <v>547</v>
      </c>
      <c r="N64" s="22" t="n">
        <v>171</v>
      </c>
      <c r="O64" s="22" t="n">
        <v>6</v>
      </c>
      <c r="P64" s="22" t="n">
        <v>179</v>
      </c>
      <c r="Q64" s="22"/>
      <c r="R64" s="22"/>
      <c r="S64" s="22" t="n">
        <v>1</v>
      </c>
      <c r="T64" s="23" t="n">
        <f aca="false">IF(AND(J64="",K64="",N64=""),"",N(J64)+N(K64)+2*N(N64))</f>
        <v>545</v>
      </c>
      <c r="U64" s="24" t="n">
        <f aca="false">IF(OR(L64="",T64=""),"",L64-T64)</f>
        <v>-7</v>
      </c>
      <c r="V64" s="25"/>
    </row>
    <row r="65" customFormat="false" ht="15" hidden="false" customHeight="false" outlineLevel="0" collapsed="false">
      <c r="A65" s="20" t="s">
        <v>195</v>
      </c>
      <c r="B65" s="20" t="s">
        <v>196</v>
      </c>
      <c r="C65" s="20" t="s">
        <v>201</v>
      </c>
      <c r="D65" s="20" t="s">
        <v>202</v>
      </c>
      <c r="E65" s="21" t="n">
        <v>142.5</v>
      </c>
      <c r="F65" s="21"/>
      <c r="G65" s="21"/>
      <c r="H65" s="21"/>
      <c r="I65" s="21"/>
      <c r="J65" s="22" t="n">
        <v>57</v>
      </c>
      <c r="K65" s="22"/>
      <c r="L65" s="22" t="n">
        <v>50</v>
      </c>
      <c r="M65" s="22" t="n">
        <v>54</v>
      </c>
      <c r="N65" s="22"/>
      <c r="O65" s="22" t="n">
        <v>6</v>
      </c>
      <c r="P65" s="22"/>
      <c r="Q65" s="22"/>
      <c r="R65" s="22"/>
      <c r="S65" s="22"/>
      <c r="T65" s="23" t="n">
        <f aca="false">IF(AND(J65="",K65="",N65=""),"",N(J65)+N(K65)+2*N(N65))</f>
        <v>57</v>
      </c>
      <c r="U65" s="24" t="n">
        <f aca="false">IF(OR(L65="",T65=""),"",L65-T65)</f>
        <v>-7</v>
      </c>
      <c r="V65" s="25"/>
    </row>
    <row r="66" customFormat="false" ht="15" hidden="false" customHeight="false" outlineLevel="0" collapsed="false">
      <c r="A66" s="20" t="s">
        <v>203</v>
      </c>
      <c r="B66" s="20" t="s">
        <v>196</v>
      </c>
      <c r="C66" s="20" t="s">
        <v>204</v>
      </c>
      <c r="D66" s="20" t="s">
        <v>205</v>
      </c>
      <c r="E66" s="21" t="n">
        <v>327.5</v>
      </c>
      <c r="F66" s="21"/>
      <c r="G66" s="21"/>
      <c r="H66" s="21"/>
      <c r="I66" s="21"/>
      <c r="J66" s="22" t="n">
        <v>131</v>
      </c>
      <c r="K66" s="22"/>
      <c r="L66" s="22" t="n">
        <v>127</v>
      </c>
      <c r="M66" s="22" t="n">
        <v>126</v>
      </c>
      <c r="N66" s="22"/>
      <c r="O66" s="22"/>
      <c r="P66" s="22"/>
      <c r="Q66" s="22"/>
      <c r="R66" s="22"/>
      <c r="S66" s="22"/>
      <c r="T66" s="23" t="n">
        <f aca="false">IF(AND(J66="",K66="",N66=""),"",N(J66)+N(K66)+2*N(N66))</f>
        <v>131</v>
      </c>
      <c r="U66" s="24" t="n">
        <f aca="false">IF(OR(L66="",T66=""),"",L66-T66)</f>
        <v>-4</v>
      </c>
      <c r="V66" s="25"/>
    </row>
    <row r="67" customFormat="false" ht="15" hidden="false" customHeight="false" outlineLevel="0" collapsed="false">
      <c r="A67" s="20" t="s">
        <v>203</v>
      </c>
      <c r="B67" s="20" t="s">
        <v>196</v>
      </c>
      <c r="C67" s="20" t="s">
        <v>206</v>
      </c>
      <c r="D67" s="20" t="s">
        <v>207</v>
      </c>
      <c r="E67" s="21"/>
      <c r="F67" s="21"/>
      <c r="G67" s="21"/>
      <c r="H67" s="21" t="n">
        <v>150</v>
      </c>
      <c r="I67" s="21"/>
      <c r="J67" s="22"/>
      <c r="K67" s="22"/>
      <c r="L67" s="22"/>
      <c r="M67" s="22"/>
      <c r="N67" s="22"/>
      <c r="O67" s="22"/>
      <c r="P67" s="22" t="n">
        <v>60</v>
      </c>
      <c r="Q67" s="22"/>
      <c r="R67" s="22"/>
      <c r="S67" s="22"/>
      <c r="T67" s="23" t="str">
        <f aca="false">IF(AND(J67="",K67="",N67=""),"",N(J67)+N(K67)+2*N(N67))</f>
        <v/>
      </c>
      <c r="U67" s="24" t="str">
        <f aca="false">IF(OR(L67="",T67=""),"",L67-T67)</f>
        <v/>
      </c>
      <c r="V67" s="25"/>
    </row>
    <row r="68" customFormat="false" ht="15" hidden="false" customHeight="false" outlineLevel="0" collapsed="false">
      <c r="A68" s="20" t="s">
        <v>203</v>
      </c>
      <c r="B68" s="20" t="s">
        <v>196</v>
      </c>
      <c r="C68" s="20" t="s">
        <v>208</v>
      </c>
      <c r="D68" s="20" t="s">
        <v>209</v>
      </c>
      <c r="E68" s="21" t="n">
        <v>40</v>
      </c>
      <c r="F68" s="21" t="n">
        <v>40</v>
      </c>
      <c r="G68" s="21"/>
      <c r="H68" s="21"/>
      <c r="I68" s="21"/>
      <c r="J68" s="22" t="n">
        <v>16</v>
      </c>
      <c r="K68" s="22"/>
      <c r="L68" s="22" t="n">
        <v>32</v>
      </c>
      <c r="M68" s="22" t="n">
        <v>29</v>
      </c>
      <c r="N68" s="22" t="n">
        <v>8</v>
      </c>
      <c r="O68" s="22"/>
      <c r="P68" s="22"/>
      <c r="Q68" s="22"/>
      <c r="R68" s="22"/>
      <c r="S68" s="22"/>
      <c r="T68" s="23" t="n">
        <f aca="false">IF(AND(J68="",K68="",N68=""),"",N(J68)+N(K68)+2*N(N68))</f>
        <v>32</v>
      </c>
      <c r="U68" s="24" t="n">
        <f aca="false">IF(OR(L68="",T68=""),"",L68-T68)</f>
        <v>0</v>
      </c>
      <c r="V68" s="25"/>
    </row>
    <row r="69" customFormat="false" ht="15" hidden="false" customHeight="false" outlineLevel="0" collapsed="false">
      <c r="A69" s="20" t="s">
        <v>203</v>
      </c>
      <c r="B69" s="20" t="s">
        <v>196</v>
      </c>
      <c r="C69" s="20" t="s">
        <v>210</v>
      </c>
      <c r="D69" s="20" t="s">
        <v>211</v>
      </c>
      <c r="E69" s="21" t="n">
        <v>25</v>
      </c>
      <c r="F69" s="21"/>
      <c r="G69" s="21"/>
      <c r="H69" s="21"/>
      <c r="I69" s="21"/>
      <c r="J69" s="22" t="n">
        <v>10</v>
      </c>
      <c r="K69" s="22"/>
      <c r="L69" s="22" t="n">
        <v>9</v>
      </c>
      <c r="M69" s="22" t="n">
        <v>9</v>
      </c>
      <c r="N69" s="22"/>
      <c r="O69" s="22"/>
      <c r="P69" s="22"/>
      <c r="Q69" s="22"/>
      <c r="R69" s="22"/>
      <c r="S69" s="22"/>
      <c r="T69" s="23" t="n">
        <f aca="false">IF(AND(J69="",K69="",N69=""),"",N(J69)+N(K69)+2*N(N69))</f>
        <v>10</v>
      </c>
      <c r="U69" s="24" t="n">
        <f aca="false">IF(OR(L69="",T69=""),"",L69-T69)</f>
        <v>-1</v>
      </c>
      <c r="V69" s="25"/>
    </row>
    <row r="70" customFormat="false" ht="15" hidden="false" customHeight="false" outlineLevel="0" collapsed="false">
      <c r="A70" s="14" t="s">
        <v>212</v>
      </c>
      <c r="B70" s="14" t="s">
        <v>196</v>
      </c>
      <c r="C70" s="14" t="s">
        <v>213</v>
      </c>
      <c r="D70" s="14" t="s">
        <v>214</v>
      </c>
      <c r="E70" s="15"/>
      <c r="F70" s="15" t="n">
        <v>270</v>
      </c>
      <c r="G70" s="15"/>
      <c r="H70" s="15"/>
      <c r="I70" s="15"/>
      <c r="J70" s="16"/>
      <c r="K70" s="16"/>
      <c r="L70" s="16" t="n">
        <v>216</v>
      </c>
      <c r="M70" s="16" t="n">
        <v>216</v>
      </c>
      <c r="N70" s="16" t="n">
        <v>108</v>
      </c>
      <c r="O70" s="16"/>
      <c r="P70" s="16"/>
      <c r="Q70" s="16"/>
      <c r="R70" s="16"/>
      <c r="S70" s="16"/>
      <c r="T70" s="17" t="n">
        <f aca="false">IF(AND(J70="",K70="",N70=""),"",N(J70)+N(K70)+2*N(N70))</f>
        <v>216</v>
      </c>
      <c r="U70" s="18" t="n">
        <f aca="false">IF(OR(L70="",T70=""),"",L70-T70)</f>
        <v>0</v>
      </c>
      <c r="V70" s="19" t="s">
        <v>215</v>
      </c>
    </row>
    <row r="71" customFormat="false" ht="15" hidden="false" customHeight="false" outlineLevel="0" collapsed="false">
      <c r="A71" s="20" t="s">
        <v>212</v>
      </c>
      <c r="B71" s="20" t="s">
        <v>196</v>
      </c>
      <c r="C71" s="20" t="s">
        <v>216</v>
      </c>
      <c r="D71" s="20" t="s">
        <v>217</v>
      </c>
      <c r="E71" s="21"/>
      <c r="F71" s="21"/>
      <c r="G71" s="21" t="n">
        <v>215</v>
      </c>
      <c r="H71" s="21"/>
      <c r="I71" s="21"/>
      <c r="J71" s="22"/>
      <c r="K71" s="22"/>
      <c r="L71" s="22"/>
      <c r="M71" s="22"/>
      <c r="N71" s="22"/>
      <c r="O71" s="22"/>
      <c r="P71" s="22" t="n">
        <v>86</v>
      </c>
      <c r="Q71" s="22"/>
      <c r="R71" s="22"/>
      <c r="S71" s="22"/>
      <c r="T71" s="23" t="str">
        <f aca="false">IF(AND(J71="",K71="",N71=""),"",N(J71)+N(K71)+2*N(N71))</f>
        <v/>
      </c>
      <c r="U71" s="24" t="str">
        <f aca="false">IF(OR(L71="",T71=""),"",L71-T71)</f>
        <v/>
      </c>
      <c r="V71" s="25"/>
    </row>
    <row r="72" customFormat="false" ht="15" hidden="false" customHeight="false" outlineLevel="0" collapsed="false">
      <c r="A72" s="14" t="s">
        <v>218</v>
      </c>
      <c r="B72" s="14" t="s">
        <v>196</v>
      </c>
      <c r="C72" s="14" t="s">
        <v>219</v>
      </c>
      <c r="D72" s="14" t="s">
        <v>220</v>
      </c>
      <c r="E72" s="15" t="n">
        <v>462.5</v>
      </c>
      <c r="F72" s="15" t="n">
        <v>447.5</v>
      </c>
      <c r="G72" s="15"/>
      <c r="H72" s="15" t="n">
        <v>420</v>
      </c>
      <c r="I72" s="15"/>
      <c r="J72" s="16" t="n">
        <v>185</v>
      </c>
      <c r="K72" s="16"/>
      <c r="L72" s="16" t="n">
        <v>474</v>
      </c>
      <c r="M72" s="16" t="n">
        <v>487</v>
      </c>
      <c r="N72" s="16"/>
      <c r="O72" s="16" t="n">
        <v>6</v>
      </c>
      <c r="P72" s="16" t="n">
        <v>168</v>
      </c>
      <c r="Q72" s="16"/>
      <c r="R72" s="16"/>
      <c r="S72" s="16"/>
      <c r="T72" s="17" t="n">
        <f aca="false">IF(AND(J72="",K72="",N72=""),"",N(J72)+N(K72)+2*N(N72))</f>
        <v>185</v>
      </c>
      <c r="U72" s="18" t="n">
        <f aca="false">IF(OR(L72="",T72=""),"",L72-T72)</f>
        <v>289</v>
      </c>
      <c r="V72" s="19" t="s">
        <v>221</v>
      </c>
    </row>
    <row r="73" customFormat="false" ht="15" hidden="false" customHeight="false" outlineLevel="0" collapsed="false">
      <c r="A73" s="20" t="s">
        <v>222</v>
      </c>
      <c r="B73" s="20" t="s">
        <v>196</v>
      </c>
      <c r="C73" s="20" t="s">
        <v>223</v>
      </c>
      <c r="D73" s="20" t="s">
        <v>224</v>
      </c>
      <c r="E73" s="21" t="n">
        <v>82.5</v>
      </c>
      <c r="F73" s="21" t="n">
        <v>65</v>
      </c>
      <c r="G73" s="21"/>
      <c r="H73" s="21"/>
      <c r="I73" s="21"/>
      <c r="J73" s="22" t="n">
        <v>33</v>
      </c>
      <c r="K73" s="22"/>
      <c r="L73" s="22" t="n">
        <v>83</v>
      </c>
      <c r="M73" s="22" t="n">
        <v>85</v>
      </c>
      <c r="N73" s="22" t="n">
        <v>26</v>
      </c>
      <c r="O73" s="22" t="n">
        <v>2</v>
      </c>
      <c r="P73" s="22"/>
      <c r="Q73" s="22"/>
      <c r="R73" s="22"/>
      <c r="S73" s="22"/>
      <c r="T73" s="23" t="n">
        <f aca="false">IF(AND(J73="",K73="",N73=""),"",N(J73)+N(K73)+2*N(N73))</f>
        <v>85</v>
      </c>
      <c r="U73" s="24" t="n">
        <f aca="false">IF(OR(L73="",T73=""),"",L73-T73)</f>
        <v>-2</v>
      </c>
      <c r="V73" s="25"/>
    </row>
    <row r="74" customFormat="false" ht="15" hidden="false" customHeight="false" outlineLevel="0" collapsed="false">
      <c r="A74" s="14" t="s">
        <v>222</v>
      </c>
      <c r="B74" s="14" t="s">
        <v>196</v>
      </c>
      <c r="C74" s="14" t="s">
        <v>225</v>
      </c>
      <c r="D74" s="14" t="s">
        <v>226</v>
      </c>
      <c r="E74" s="15"/>
      <c r="F74" s="15" t="n">
        <v>10</v>
      </c>
      <c r="G74" s="15"/>
      <c r="H74" s="15"/>
      <c r="I74" s="15"/>
      <c r="J74" s="16"/>
      <c r="K74" s="16"/>
      <c r="L74" s="16" t="n">
        <v>8</v>
      </c>
      <c r="M74" s="16" t="n">
        <v>8</v>
      </c>
      <c r="N74" s="16" t="n">
        <v>4</v>
      </c>
      <c r="O74" s="16"/>
      <c r="P74" s="16"/>
      <c r="Q74" s="16"/>
      <c r="R74" s="16"/>
      <c r="S74" s="16"/>
      <c r="T74" s="17" t="n">
        <f aca="false">IF(AND(J74="",K74="",N74=""),"",N(J74)+N(K74)+2*N(N74))</f>
        <v>8</v>
      </c>
      <c r="U74" s="18" t="n">
        <f aca="false">IF(OR(L74="",T74=""),"",L74-T74)</f>
        <v>0</v>
      </c>
      <c r="V74" s="19" t="s">
        <v>78</v>
      </c>
    </row>
    <row r="75" customFormat="false" ht="15" hidden="false" customHeight="false" outlineLevel="0" collapsed="false">
      <c r="A75" s="20" t="s">
        <v>222</v>
      </c>
      <c r="B75" s="20" t="s">
        <v>196</v>
      </c>
      <c r="C75" s="20" t="s">
        <v>227</v>
      </c>
      <c r="D75" s="20" t="s">
        <v>228</v>
      </c>
      <c r="E75" s="21" t="n">
        <v>337.5</v>
      </c>
      <c r="F75" s="21"/>
      <c r="G75" s="21"/>
      <c r="H75" s="21"/>
      <c r="I75" s="21"/>
      <c r="J75" s="22" t="n">
        <v>135</v>
      </c>
      <c r="K75" s="22"/>
      <c r="L75" s="22" t="n">
        <v>129</v>
      </c>
      <c r="M75" s="22" t="n">
        <v>128</v>
      </c>
      <c r="N75" s="22"/>
      <c r="O75" s="22" t="n">
        <v>2</v>
      </c>
      <c r="P75" s="22"/>
      <c r="Q75" s="22"/>
      <c r="R75" s="22"/>
      <c r="S75" s="22"/>
      <c r="T75" s="23" t="n">
        <f aca="false">IF(AND(J75="",K75="",N75=""),"",N(J75)+N(K75)+2*N(N75))</f>
        <v>135</v>
      </c>
      <c r="U75" s="24" t="n">
        <f aca="false">IF(OR(L75="",T75=""),"",L75-T75)</f>
        <v>-6</v>
      </c>
      <c r="V75" s="25"/>
    </row>
    <row r="76" customFormat="false" ht="15" hidden="false" customHeight="false" outlineLevel="0" collapsed="false">
      <c r="A76" s="20" t="s">
        <v>222</v>
      </c>
      <c r="B76" s="20" t="s">
        <v>196</v>
      </c>
      <c r="C76" s="20" t="s">
        <v>229</v>
      </c>
      <c r="D76" s="20" t="s">
        <v>230</v>
      </c>
      <c r="E76" s="21" t="n">
        <v>15</v>
      </c>
      <c r="F76" s="21"/>
      <c r="G76" s="21"/>
      <c r="H76" s="21"/>
      <c r="I76" s="21"/>
      <c r="J76" s="22" t="n">
        <v>6</v>
      </c>
      <c r="K76" s="22"/>
      <c r="L76" s="22" t="n">
        <v>4</v>
      </c>
      <c r="M76" s="22" t="n">
        <v>5</v>
      </c>
      <c r="N76" s="22"/>
      <c r="O76" s="22" t="n">
        <v>2</v>
      </c>
      <c r="P76" s="22"/>
      <c r="Q76" s="22"/>
      <c r="R76" s="22"/>
      <c r="S76" s="22"/>
      <c r="T76" s="23" t="n">
        <f aca="false">IF(AND(J76="",K76="",N76=""),"",N(J76)+N(K76)+2*N(N76))</f>
        <v>6</v>
      </c>
      <c r="U76" s="24" t="n">
        <f aca="false">IF(OR(L76="",T76=""),"",L76-T76)</f>
        <v>-2</v>
      </c>
      <c r="V76" s="25"/>
    </row>
    <row r="77" customFormat="false" ht="15" hidden="false" customHeight="false" outlineLevel="0" collapsed="false">
      <c r="A77" s="20" t="s">
        <v>231</v>
      </c>
      <c r="B77" s="20" t="s">
        <v>232</v>
      </c>
      <c r="C77" s="20" t="s">
        <v>233</v>
      </c>
      <c r="D77" s="20" t="s">
        <v>234</v>
      </c>
      <c r="E77" s="21" t="n">
        <v>97.5</v>
      </c>
      <c r="F77" s="21"/>
      <c r="G77" s="21"/>
      <c r="H77" s="21"/>
      <c r="I77" s="21"/>
      <c r="J77" s="22" t="n">
        <v>39</v>
      </c>
      <c r="K77" s="22"/>
      <c r="L77" s="22" t="n">
        <v>32</v>
      </c>
      <c r="M77" s="22" t="n">
        <v>31</v>
      </c>
      <c r="N77" s="22"/>
      <c r="O77" s="22"/>
      <c r="P77" s="22"/>
      <c r="Q77" s="22"/>
      <c r="R77" s="22"/>
      <c r="S77" s="22"/>
      <c r="T77" s="23" t="n">
        <f aca="false">IF(AND(J77="",K77="",N77=""),"",N(J77)+N(K77)+2*N(N77))</f>
        <v>39</v>
      </c>
      <c r="U77" s="24" t="n">
        <f aca="false">IF(OR(L77="",T77=""),"",L77-T77)</f>
        <v>-7</v>
      </c>
      <c r="V77" s="25"/>
    </row>
    <row r="78" customFormat="false" ht="15" hidden="false" customHeight="false" outlineLevel="0" collapsed="false">
      <c r="A78" s="20" t="s">
        <v>231</v>
      </c>
      <c r="B78" s="20" t="s">
        <v>232</v>
      </c>
      <c r="C78" s="20" t="s">
        <v>235</v>
      </c>
      <c r="D78" s="20" t="s">
        <v>236</v>
      </c>
      <c r="E78" s="21" t="n">
        <v>177.5</v>
      </c>
      <c r="F78" s="21" t="n">
        <v>10</v>
      </c>
      <c r="G78" s="21"/>
      <c r="H78" s="21"/>
      <c r="I78" s="21"/>
      <c r="J78" s="22" t="n">
        <v>71</v>
      </c>
      <c r="K78" s="22"/>
      <c r="L78" s="22" t="n">
        <v>76</v>
      </c>
      <c r="M78" s="22" t="n">
        <v>80</v>
      </c>
      <c r="N78" s="22" t="n">
        <v>4</v>
      </c>
      <c r="O78" s="22" t="n">
        <v>2</v>
      </c>
      <c r="P78" s="22"/>
      <c r="Q78" s="22"/>
      <c r="R78" s="22"/>
      <c r="S78" s="22"/>
      <c r="T78" s="23" t="n">
        <f aca="false">IF(AND(J78="",K78="",N78=""),"",N(J78)+N(K78)+2*N(N78))</f>
        <v>79</v>
      </c>
      <c r="U78" s="24" t="n">
        <f aca="false">IF(OR(L78="",T78=""),"",L78-T78)</f>
        <v>-3</v>
      </c>
      <c r="V78" s="25"/>
    </row>
    <row r="79" customFormat="false" ht="15" hidden="false" customHeight="false" outlineLevel="0" collapsed="false">
      <c r="A79" s="14" t="s">
        <v>231</v>
      </c>
      <c r="B79" s="14" t="s">
        <v>232</v>
      </c>
      <c r="C79" s="14" t="s">
        <v>237</v>
      </c>
      <c r="D79" s="14" t="s">
        <v>238</v>
      </c>
      <c r="E79" s="15" t="n">
        <v>135</v>
      </c>
      <c r="F79" s="15"/>
      <c r="G79" s="15"/>
      <c r="H79" s="15"/>
      <c r="I79" s="15"/>
      <c r="J79" s="16" t="n">
        <v>54</v>
      </c>
      <c r="K79" s="16"/>
      <c r="L79" s="16"/>
      <c r="M79" s="16" t="n">
        <v>24</v>
      </c>
      <c r="N79" s="16"/>
      <c r="O79" s="16" t="n">
        <v>6</v>
      </c>
      <c r="P79" s="16"/>
      <c r="Q79" s="16"/>
      <c r="R79" s="16"/>
      <c r="S79" s="16"/>
      <c r="T79" s="17" t="n">
        <f aca="false">IF(AND(J79="",K79="",N79=""),"",N(J79)+N(K79)+2*N(N79))</f>
        <v>54</v>
      </c>
      <c r="U79" s="18" t="str">
        <f aca="false">IF(OR(L79="",T79=""),"",L79-T79)</f>
        <v/>
      </c>
      <c r="V79" s="19" t="s">
        <v>132</v>
      </c>
    </row>
    <row r="80" customFormat="false" ht="15" hidden="false" customHeight="false" outlineLevel="0" collapsed="false">
      <c r="A80" s="20" t="s">
        <v>231</v>
      </c>
      <c r="B80" s="20" t="s">
        <v>232</v>
      </c>
      <c r="C80" s="20" t="s">
        <v>239</v>
      </c>
      <c r="D80" s="20" t="s">
        <v>240</v>
      </c>
      <c r="E80" s="21" t="n">
        <v>2.5</v>
      </c>
      <c r="F80" s="21" t="n">
        <v>2.5</v>
      </c>
      <c r="G80" s="21"/>
      <c r="H80" s="21"/>
      <c r="I80" s="21"/>
      <c r="J80" s="22" t="n">
        <v>1</v>
      </c>
      <c r="K80" s="22"/>
      <c r="L80" s="22" t="n">
        <v>6</v>
      </c>
      <c r="M80" s="22" t="n">
        <v>4</v>
      </c>
      <c r="N80" s="22" t="n">
        <v>2</v>
      </c>
      <c r="O80" s="22"/>
      <c r="P80" s="22"/>
      <c r="Q80" s="22"/>
      <c r="R80" s="22"/>
      <c r="S80" s="22"/>
      <c r="T80" s="23" t="n">
        <f aca="false">IF(AND(J80="",K80="",N80=""),"",N(J80)+N(K80)+2*N(N80))</f>
        <v>5</v>
      </c>
      <c r="U80" s="24" t="n">
        <f aca="false">IF(OR(L80="",T80=""),"",L80-T80)</f>
        <v>1</v>
      </c>
      <c r="V80" s="25"/>
    </row>
    <row r="81" customFormat="false" ht="15" hidden="false" customHeight="false" outlineLevel="0" collapsed="false">
      <c r="A81" s="20" t="s">
        <v>231</v>
      </c>
      <c r="B81" s="20" t="s">
        <v>232</v>
      </c>
      <c r="C81" s="20" t="s">
        <v>241</v>
      </c>
      <c r="D81" s="20" t="s">
        <v>242</v>
      </c>
      <c r="E81" s="21" t="n">
        <v>30</v>
      </c>
      <c r="F81" s="21" t="n">
        <v>25</v>
      </c>
      <c r="G81" s="21"/>
      <c r="H81" s="21"/>
      <c r="I81" s="21"/>
      <c r="J81" s="22" t="n">
        <v>12</v>
      </c>
      <c r="K81" s="22"/>
      <c r="L81" s="22" t="n">
        <v>25</v>
      </c>
      <c r="M81" s="22" t="n">
        <v>25</v>
      </c>
      <c r="N81" s="22" t="n">
        <v>7</v>
      </c>
      <c r="O81" s="22" t="n">
        <v>2</v>
      </c>
      <c r="P81" s="22"/>
      <c r="Q81" s="22"/>
      <c r="R81" s="22"/>
      <c r="S81" s="22"/>
      <c r="T81" s="23" t="n">
        <f aca="false">IF(AND(J81="",K81="",N81=""),"",N(J81)+N(K81)+2*N(N81))</f>
        <v>26</v>
      </c>
      <c r="U81" s="24" t="n">
        <f aca="false">IF(OR(L81="",T81=""),"",L81-T81)</f>
        <v>-1</v>
      </c>
      <c r="V81" s="25"/>
    </row>
    <row r="82" customFormat="false" ht="15" hidden="false" customHeight="false" outlineLevel="0" collapsed="false">
      <c r="A82" s="20" t="s">
        <v>231</v>
      </c>
      <c r="B82" s="20" t="s">
        <v>232</v>
      </c>
      <c r="C82" s="20" t="s">
        <v>243</v>
      </c>
      <c r="D82" s="20" t="s">
        <v>244</v>
      </c>
      <c r="E82" s="21" t="n">
        <v>75</v>
      </c>
      <c r="F82" s="21"/>
      <c r="G82" s="21"/>
      <c r="H82" s="21"/>
      <c r="I82" s="21"/>
      <c r="J82" s="22" t="n">
        <v>30</v>
      </c>
      <c r="K82" s="22"/>
      <c r="L82" s="22" t="n">
        <v>30</v>
      </c>
      <c r="M82" s="22" t="n">
        <v>20</v>
      </c>
      <c r="N82" s="22"/>
      <c r="O82" s="22"/>
      <c r="P82" s="22"/>
      <c r="Q82" s="22"/>
      <c r="R82" s="22"/>
      <c r="S82" s="22"/>
      <c r="T82" s="23" t="n">
        <f aca="false">IF(AND(J82="",K82="",N82=""),"",N(J82)+N(K82)+2*N(N82))</f>
        <v>30</v>
      </c>
      <c r="U82" s="24" t="n">
        <f aca="false">IF(OR(L82="",T82=""),"",L82-T82)</f>
        <v>0</v>
      </c>
      <c r="V82" s="25"/>
    </row>
    <row r="83" customFormat="false" ht="15" hidden="false" customHeight="false" outlineLevel="0" collapsed="false">
      <c r="A83" s="20" t="s">
        <v>245</v>
      </c>
      <c r="B83" s="20" t="s">
        <v>232</v>
      </c>
      <c r="C83" s="20" t="s">
        <v>246</v>
      </c>
      <c r="D83" s="20" t="s">
        <v>247</v>
      </c>
      <c r="E83" s="21" t="n">
        <v>177.5</v>
      </c>
      <c r="F83" s="21" t="n">
        <v>122.5</v>
      </c>
      <c r="G83" s="21"/>
      <c r="H83" s="21"/>
      <c r="I83" s="21"/>
      <c r="J83" s="22" t="n">
        <v>71</v>
      </c>
      <c r="K83" s="22"/>
      <c r="L83" s="22" t="n">
        <v>163</v>
      </c>
      <c r="M83" s="22" t="n">
        <v>160</v>
      </c>
      <c r="N83" s="22" t="n">
        <v>49</v>
      </c>
      <c r="O83" s="22" t="n">
        <v>8</v>
      </c>
      <c r="P83" s="22"/>
      <c r="Q83" s="22"/>
      <c r="R83" s="22"/>
      <c r="S83" s="22" t="n">
        <v>2</v>
      </c>
      <c r="T83" s="23" t="n">
        <f aca="false">IF(AND(J83="",K83="",N83=""),"",N(J83)+N(K83)+2*N(N83))</f>
        <v>169</v>
      </c>
      <c r="U83" s="24" t="n">
        <f aca="false">IF(OR(L83="",T83=""),"",L83-T83)</f>
        <v>-6</v>
      </c>
      <c r="V83" s="25"/>
    </row>
    <row r="84" customFormat="false" ht="15" hidden="false" customHeight="false" outlineLevel="0" collapsed="false">
      <c r="A84" s="14" t="s">
        <v>245</v>
      </c>
      <c r="B84" s="14" t="s">
        <v>232</v>
      </c>
      <c r="C84" s="14" t="s">
        <v>248</v>
      </c>
      <c r="D84" s="14" t="s">
        <v>249</v>
      </c>
      <c r="E84" s="15" t="n">
        <v>150</v>
      </c>
      <c r="F84" s="15"/>
      <c r="G84" s="15"/>
      <c r="H84" s="15"/>
      <c r="I84" s="15"/>
      <c r="J84" s="16" t="n">
        <v>60</v>
      </c>
      <c r="K84" s="16"/>
      <c r="L84" s="16"/>
      <c r="M84" s="16"/>
      <c r="N84" s="16"/>
      <c r="O84" s="16"/>
      <c r="P84" s="16"/>
      <c r="Q84" s="16"/>
      <c r="R84" s="16"/>
      <c r="S84" s="16"/>
      <c r="T84" s="17" t="n">
        <f aca="false">IF(AND(J84="",K84="",N84=""),"",N(J84)+N(K84)+2*N(N84))</f>
        <v>60</v>
      </c>
      <c r="U84" s="18" t="str">
        <f aca="false">IF(OR(L84="",T84=""),"",L84-T84)</f>
        <v/>
      </c>
      <c r="V84" s="19" t="s">
        <v>132</v>
      </c>
    </row>
    <row r="85" customFormat="false" ht="15" hidden="false" customHeight="false" outlineLevel="0" collapsed="false">
      <c r="A85" s="14" t="s">
        <v>245</v>
      </c>
      <c r="B85" s="14" t="s">
        <v>232</v>
      </c>
      <c r="C85" s="14" t="s">
        <v>250</v>
      </c>
      <c r="D85" s="14" t="s">
        <v>251</v>
      </c>
      <c r="E85" s="15"/>
      <c r="F85" s="15" t="n">
        <v>72.5</v>
      </c>
      <c r="G85" s="15"/>
      <c r="H85" s="15"/>
      <c r="I85" s="15"/>
      <c r="J85" s="16"/>
      <c r="K85" s="16"/>
      <c r="L85" s="16" t="n">
        <v>58</v>
      </c>
      <c r="M85" s="16" t="n">
        <v>58</v>
      </c>
      <c r="N85" s="16" t="n">
        <v>29</v>
      </c>
      <c r="O85" s="16"/>
      <c r="P85" s="16"/>
      <c r="Q85" s="16"/>
      <c r="R85" s="16"/>
      <c r="S85" s="16"/>
      <c r="T85" s="17" t="n">
        <f aca="false">IF(AND(J85="",K85="",N85=""),"",N(J85)+N(K85)+2*N(N85))</f>
        <v>58</v>
      </c>
      <c r="U85" s="18" t="n">
        <f aca="false">IF(OR(L85="",T85=""),"",L85-T85)</f>
        <v>0</v>
      </c>
      <c r="V85" s="19" t="s">
        <v>78</v>
      </c>
    </row>
    <row r="86" customFormat="false" ht="15" hidden="false" customHeight="false" outlineLevel="0" collapsed="false">
      <c r="A86" s="20" t="s">
        <v>245</v>
      </c>
      <c r="B86" s="20" t="s">
        <v>232</v>
      </c>
      <c r="C86" s="20" t="s">
        <v>252</v>
      </c>
      <c r="D86" s="20" t="s">
        <v>253</v>
      </c>
      <c r="E86" s="21" t="n">
        <v>82.5</v>
      </c>
      <c r="F86" s="21"/>
      <c r="G86" s="21"/>
      <c r="H86" s="21"/>
      <c r="I86" s="21"/>
      <c r="J86" s="22" t="n">
        <v>33</v>
      </c>
      <c r="K86" s="22"/>
      <c r="L86" s="22" t="n">
        <v>31</v>
      </c>
      <c r="M86" s="22" t="n">
        <v>30</v>
      </c>
      <c r="N86" s="22"/>
      <c r="O86" s="22" t="n">
        <v>2</v>
      </c>
      <c r="P86" s="22"/>
      <c r="Q86" s="22"/>
      <c r="R86" s="22"/>
      <c r="S86" s="22"/>
      <c r="T86" s="23" t="n">
        <f aca="false">IF(AND(J86="",K86="",N86=""),"",N(J86)+N(K86)+2*N(N86))</f>
        <v>33</v>
      </c>
      <c r="U86" s="24" t="n">
        <f aca="false">IF(OR(L86="",T86=""),"",L86-T86)</f>
        <v>-2</v>
      </c>
      <c r="V86" s="25"/>
    </row>
    <row r="87" customFormat="false" ht="15" hidden="false" customHeight="false" outlineLevel="0" collapsed="false">
      <c r="A87" s="20" t="s">
        <v>254</v>
      </c>
      <c r="B87" s="20" t="s">
        <v>232</v>
      </c>
      <c r="C87" s="20" t="s">
        <v>255</v>
      </c>
      <c r="D87" s="20" t="s">
        <v>256</v>
      </c>
      <c r="E87" s="21" t="n">
        <v>215</v>
      </c>
      <c r="F87" s="21" t="n">
        <v>55</v>
      </c>
      <c r="G87" s="21"/>
      <c r="H87" s="21"/>
      <c r="I87" s="21"/>
      <c r="J87" s="22" t="n">
        <v>86</v>
      </c>
      <c r="K87" s="22"/>
      <c r="L87" s="22" t="n">
        <v>129</v>
      </c>
      <c r="M87" s="22" t="n">
        <v>128</v>
      </c>
      <c r="N87" s="22" t="n">
        <v>22</v>
      </c>
      <c r="O87" s="22" t="n">
        <v>6</v>
      </c>
      <c r="P87" s="22"/>
      <c r="Q87" s="22"/>
      <c r="R87" s="22"/>
      <c r="S87" s="22"/>
      <c r="T87" s="23" t="n">
        <f aca="false">IF(AND(J87="",K87="",N87=""),"",N(J87)+N(K87)+2*N(N87))</f>
        <v>130</v>
      </c>
      <c r="U87" s="24" t="n">
        <f aca="false">IF(OR(L87="",T87=""),"",L87-T87)</f>
        <v>-1</v>
      </c>
      <c r="V87" s="25"/>
    </row>
    <row r="88" customFormat="false" ht="15" hidden="false" customHeight="false" outlineLevel="0" collapsed="false">
      <c r="A88" s="20" t="s">
        <v>254</v>
      </c>
      <c r="B88" s="20" t="s">
        <v>232</v>
      </c>
      <c r="C88" s="20" t="s">
        <v>257</v>
      </c>
      <c r="D88" s="20" t="s">
        <v>258</v>
      </c>
      <c r="E88" s="21" t="n">
        <v>7.5</v>
      </c>
      <c r="F88" s="21" t="n">
        <v>7.5</v>
      </c>
      <c r="G88" s="21"/>
      <c r="H88" s="21"/>
      <c r="I88" s="21"/>
      <c r="J88" s="22" t="n">
        <v>3</v>
      </c>
      <c r="K88" s="22"/>
      <c r="L88" s="22" t="n">
        <v>6</v>
      </c>
      <c r="M88" s="22" t="n">
        <v>3</v>
      </c>
      <c r="N88" s="22" t="n">
        <v>1</v>
      </c>
      <c r="O88" s="22"/>
      <c r="P88" s="22"/>
      <c r="Q88" s="22"/>
      <c r="R88" s="22"/>
      <c r="S88" s="22"/>
      <c r="T88" s="23" t="n">
        <f aca="false">IF(AND(J88="",K88="",N88=""),"",N(J88)+N(K88)+2*N(N88))</f>
        <v>5</v>
      </c>
      <c r="U88" s="24" t="n">
        <f aca="false">IF(OR(L88="",T88=""),"",L88-T88)</f>
        <v>1</v>
      </c>
      <c r="V88" s="25"/>
    </row>
    <row r="89" customFormat="false" ht="15" hidden="false" customHeight="false" outlineLevel="0" collapsed="false">
      <c r="A89" s="20" t="s">
        <v>254</v>
      </c>
      <c r="B89" s="20" t="s">
        <v>232</v>
      </c>
      <c r="C89" s="20" t="s">
        <v>259</v>
      </c>
      <c r="D89" s="20" t="s">
        <v>260</v>
      </c>
      <c r="E89" s="21" t="n">
        <v>45</v>
      </c>
      <c r="F89" s="21" t="n">
        <v>45</v>
      </c>
      <c r="G89" s="21"/>
      <c r="H89" s="21"/>
      <c r="I89" s="21"/>
      <c r="J89" s="22" t="n">
        <v>18</v>
      </c>
      <c r="K89" s="22"/>
      <c r="L89" s="22" t="n">
        <v>53</v>
      </c>
      <c r="M89" s="22" t="n">
        <v>51</v>
      </c>
      <c r="N89" s="22" t="n">
        <v>17</v>
      </c>
      <c r="O89" s="22"/>
      <c r="P89" s="22"/>
      <c r="Q89" s="22"/>
      <c r="R89" s="22"/>
      <c r="S89" s="22" t="n">
        <v>1</v>
      </c>
      <c r="T89" s="23" t="n">
        <f aca="false">IF(AND(J89="",K89="",N89=""),"",N(J89)+N(K89)+2*N(N89))</f>
        <v>52</v>
      </c>
      <c r="U89" s="24" t="n">
        <f aca="false">IF(OR(L89="",T89=""),"",L89-T89)</f>
        <v>1</v>
      </c>
      <c r="V89" s="25"/>
    </row>
    <row r="90" customFormat="false" ht="15" hidden="false" customHeight="false" outlineLevel="0" collapsed="false">
      <c r="A90" s="20" t="s">
        <v>254</v>
      </c>
      <c r="B90" s="20" t="s">
        <v>232</v>
      </c>
      <c r="C90" s="20" t="s">
        <v>261</v>
      </c>
      <c r="D90" s="20" t="s">
        <v>262</v>
      </c>
      <c r="E90" s="21" t="n">
        <v>25</v>
      </c>
      <c r="F90" s="21" t="n">
        <v>25</v>
      </c>
      <c r="G90" s="21"/>
      <c r="H90" s="21"/>
      <c r="I90" s="21"/>
      <c r="J90" s="22" t="n">
        <v>10</v>
      </c>
      <c r="K90" s="22"/>
      <c r="L90" s="22" t="n">
        <v>30</v>
      </c>
      <c r="M90" s="22" t="n">
        <v>30</v>
      </c>
      <c r="N90" s="22" t="n">
        <v>10</v>
      </c>
      <c r="O90" s="22"/>
      <c r="P90" s="22"/>
      <c r="Q90" s="22"/>
      <c r="R90" s="22"/>
      <c r="S90" s="22"/>
      <c r="T90" s="23" t="n">
        <f aca="false">IF(AND(J90="",K90="",N90=""),"",N(J90)+N(K90)+2*N(N90))</f>
        <v>30</v>
      </c>
      <c r="U90" s="24" t="n">
        <f aca="false">IF(OR(L90="",T90=""),"",L90-T90)</f>
        <v>0</v>
      </c>
      <c r="V90" s="25"/>
    </row>
    <row r="91" customFormat="false" ht="15" hidden="false" customHeight="false" outlineLevel="0" collapsed="false">
      <c r="A91" s="20" t="s">
        <v>263</v>
      </c>
      <c r="B91" s="20" t="s">
        <v>232</v>
      </c>
      <c r="C91" s="20" t="s">
        <v>264</v>
      </c>
      <c r="D91" s="20" t="s">
        <v>265</v>
      </c>
      <c r="E91" s="21" t="n">
        <v>30</v>
      </c>
      <c r="F91" s="21" t="n">
        <v>22.5</v>
      </c>
      <c r="G91" s="21"/>
      <c r="H91" s="21"/>
      <c r="I91" s="21"/>
      <c r="J91" s="22" t="n">
        <v>12</v>
      </c>
      <c r="K91" s="22"/>
      <c r="L91" s="22" t="n">
        <v>20</v>
      </c>
      <c r="M91" s="22" t="n">
        <v>20</v>
      </c>
      <c r="N91" s="22" t="n">
        <v>5</v>
      </c>
      <c r="O91" s="22" t="n">
        <v>3</v>
      </c>
      <c r="P91" s="22"/>
      <c r="Q91" s="22"/>
      <c r="R91" s="22"/>
      <c r="S91" s="22"/>
      <c r="T91" s="23" t="n">
        <f aca="false">IF(AND(J91="",K91="",N91=""),"",N(J91)+N(K91)+2*N(N91))</f>
        <v>22</v>
      </c>
      <c r="U91" s="24" t="n">
        <f aca="false">IF(OR(L91="",T91=""),"",L91-T91)</f>
        <v>-2</v>
      </c>
      <c r="V91" s="25"/>
    </row>
    <row r="92" customFormat="false" ht="15" hidden="false" customHeight="false" outlineLevel="0" collapsed="false">
      <c r="A92" s="20" t="s">
        <v>263</v>
      </c>
      <c r="B92" s="20" t="s">
        <v>232</v>
      </c>
      <c r="C92" s="20" t="s">
        <v>266</v>
      </c>
      <c r="D92" s="20" t="s">
        <v>267</v>
      </c>
      <c r="E92" s="21" t="n">
        <v>95</v>
      </c>
      <c r="F92" s="21" t="n">
        <v>62.5</v>
      </c>
      <c r="G92" s="21"/>
      <c r="H92" s="21"/>
      <c r="I92" s="21"/>
      <c r="J92" s="22" t="n">
        <v>38</v>
      </c>
      <c r="K92" s="22"/>
      <c r="L92" s="22" t="n">
        <v>85</v>
      </c>
      <c r="M92" s="22" t="n">
        <v>65</v>
      </c>
      <c r="N92" s="22" t="n">
        <v>25</v>
      </c>
      <c r="O92" s="22"/>
      <c r="P92" s="22"/>
      <c r="Q92" s="22"/>
      <c r="R92" s="22"/>
      <c r="S92" s="22"/>
      <c r="T92" s="23" t="n">
        <f aca="false">IF(AND(J92="",K92="",N92=""),"",N(J92)+N(K92)+2*N(N92))</f>
        <v>88</v>
      </c>
      <c r="U92" s="24" t="n">
        <f aca="false">IF(OR(L92="",T92=""),"",L92-T92)</f>
        <v>-3</v>
      </c>
      <c r="V92" s="25"/>
    </row>
    <row r="93" customFormat="false" ht="15" hidden="false" customHeight="false" outlineLevel="0" collapsed="false">
      <c r="A93" s="20" t="s">
        <v>263</v>
      </c>
      <c r="B93" s="20" t="s">
        <v>232</v>
      </c>
      <c r="C93" s="20" t="s">
        <v>268</v>
      </c>
      <c r="D93" s="20" t="s">
        <v>269</v>
      </c>
      <c r="E93" s="21" t="n">
        <v>15</v>
      </c>
      <c r="F93" s="21" t="n">
        <v>15</v>
      </c>
      <c r="G93" s="21"/>
      <c r="H93" s="21"/>
      <c r="I93" s="21"/>
      <c r="J93" s="22" t="n">
        <v>6</v>
      </c>
      <c r="K93" s="22"/>
      <c r="L93" s="22" t="n">
        <v>12</v>
      </c>
      <c r="M93" s="22" t="n">
        <v>12</v>
      </c>
      <c r="N93" s="22" t="n">
        <v>3</v>
      </c>
      <c r="O93" s="22"/>
      <c r="P93" s="22"/>
      <c r="Q93" s="22"/>
      <c r="R93" s="22"/>
      <c r="S93" s="22"/>
      <c r="T93" s="23" t="n">
        <f aca="false">IF(AND(J93="",K93="",N93=""),"",N(J93)+N(K93)+2*N(N93))</f>
        <v>12</v>
      </c>
      <c r="U93" s="24" t="n">
        <f aca="false">IF(OR(L93="",T93=""),"",L93-T93)</f>
        <v>0</v>
      </c>
      <c r="V93" s="25"/>
    </row>
    <row r="94" customFormat="false" ht="15" hidden="false" customHeight="false" outlineLevel="0" collapsed="false">
      <c r="A94" s="20" t="s">
        <v>263</v>
      </c>
      <c r="B94" s="20" t="s">
        <v>232</v>
      </c>
      <c r="C94" s="20" t="s">
        <v>270</v>
      </c>
      <c r="D94" s="20" t="s">
        <v>271</v>
      </c>
      <c r="E94" s="21" t="n">
        <v>107.5</v>
      </c>
      <c r="F94" s="21"/>
      <c r="G94" s="21"/>
      <c r="H94" s="21"/>
      <c r="I94" s="21"/>
      <c r="J94" s="22" t="n">
        <v>43</v>
      </c>
      <c r="K94" s="22"/>
      <c r="L94" s="22" t="n">
        <v>40</v>
      </c>
      <c r="M94" s="22" t="n">
        <v>29</v>
      </c>
      <c r="N94" s="22"/>
      <c r="O94" s="22" t="n">
        <v>4</v>
      </c>
      <c r="P94" s="22"/>
      <c r="Q94" s="22"/>
      <c r="R94" s="22"/>
      <c r="S94" s="22"/>
      <c r="T94" s="23" t="n">
        <f aca="false">IF(AND(J94="",K94="",N94=""),"",N(J94)+N(K94)+2*N(N94))</f>
        <v>43</v>
      </c>
      <c r="U94" s="24" t="n">
        <f aca="false">IF(OR(L94="",T94=""),"",L94-T94)</f>
        <v>-3</v>
      </c>
      <c r="V94" s="25"/>
    </row>
    <row r="95" customFormat="false" ht="15" hidden="false" customHeight="false" outlineLevel="0" collapsed="false">
      <c r="A95" s="14" t="s">
        <v>263</v>
      </c>
      <c r="B95" s="14" t="s">
        <v>232</v>
      </c>
      <c r="C95" s="14" t="s">
        <v>272</v>
      </c>
      <c r="D95" s="14" t="s">
        <v>273</v>
      </c>
      <c r="E95" s="15"/>
      <c r="F95" s="15"/>
      <c r="G95" s="15" t="n">
        <v>105</v>
      </c>
      <c r="H95" s="15"/>
      <c r="I95" s="15" t="n">
        <v>42</v>
      </c>
      <c r="J95" s="16"/>
      <c r="K95" s="16"/>
      <c r="L95" s="16" t="n">
        <v>19</v>
      </c>
      <c r="M95" s="16"/>
      <c r="N95" s="16"/>
      <c r="O95" s="16"/>
      <c r="P95" s="16" t="n">
        <v>42</v>
      </c>
      <c r="Q95" s="16" t="n">
        <v>19</v>
      </c>
      <c r="R95" s="16"/>
      <c r="S95" s="16"/>
      <c r="T95" s="17" t="str">
        <f aca="false">IF(AND(J95="",K95="",N95=""),"",N(J95)+N(K95)+2*N(N95))</f>
        <v/>
      </c>
      <c r="U95" s="18" t="str">
        <f aca="false">IF(OR(L95="",T95=""),"",L95-T95)</f>
        <v/>
      </c>
      <c r="V95" s="19" t="s">
        <v>274</v>
      </c>
    </row>
    <row r="96" customFormat="false" ht="15" hidden="false" customHeight="false" outlineLevel="0" collapsed="false">
      <c r="A96" s="20" t="s">
        <v>263</v>
      </c>
      <c r="B96" s="20" t="s">
        <v>232</v>
      </c>
      <c r="C96" s="20" t="s">
        <v>275</v>
      </c>
      <c r="D96" s="20" t="s">
        <v>276</v>
      </c>
      <c r="E96" s="21" t="n">
        <v>137.5</v>
      </c>
      <c r="F96" s="21"/>
      <c r="G96" s="21"/>
      <c r="H96" s="21"/>
      <c r="I96" s="21"/>
      <c r="J96" s="22" t="n">
        <v>55</v>
      </c>
      <c r="K96" s="22"/>
      <c r="L96" s="22" t="n">
        <v>53</v>
      </c>
      <c r="M96" s="22" t="n">
        <v>53</v>
      </c>
      <c r="N96" s="22"/>
      <c r="O96" s="22"/>
      <c r="P96" s="22"/>
      <c r="Q96" s="22"/>
      <c r="R96" s="22"/>
      <c r="S96" s="22"/>
      <c r="T96" s="23" t="n">
        <f aca="false">IF(AND(J96="",K96="",N96=""),"",N(J96)+N(K96)+2*N(N96))</f>
        <v>55</v>
      </c>
      <c r="U96" s="24" t="n">
        <f aca="false">IF(OR(L96="",T96=""),"",L96-T96)</f>
        <v>-2</v>
      </c>
      <c r="V96" s="25"/>
    </row>
    <row r="97" customFormat="false" ht="15" hidden="false" customHeight="false" outlineLevel="0" collapsed="false">
      <c r="A97" s="14" t="s">
        <v>263</v>
      </c>
      <c r="B97" s="14" t="s">
        <v>232</v>
      </c>
      <c r="C97" s="14" t="s">
        <v>277</v>
      </c>
      <c r="D97" s="14" t="s">
        <v>278</v>
      </c>
      <c r="E97" s="15" t="n">
        <v>90</v>
      </c>
      <c r="F97" s="15"/>
      <c r="G97" s="15"/>
      <c r="H97" s="15"/>
      <c r="I97" s="15"/>
      <c r="J97" s="16" t="n">
        <v>36</v>
      </c>
      <c r="K97" s="16"/>
      <c r="L97" s="16"/>
      <c r="M97" s="16"/>
      <c r="N97" s="16"/>
      <c r="O97" s="16"/>
      <c r="P97" s="16"/>
      <c r="Q97" s="16"/>
      <c r="R97" s="16"/>
      <c r="S97" s="16"/>
      <c r="T97" s="17" t="n">
        <f aca="false">IF(AND(J97="",K97="",N97=""),"",N(J97)+N(K97)+2*N(N97))</f>
        <v>36</v>
      </c>
      <c r="U97" s="18" t="str">
        <f aca="false">IF(OR(L97="",T97=""),"",L97-T97)</f>
        <v/>
      </c>
      <c r="V97" s="19" t="s">
        <v>132</v>
      </c>
    </row>
    <row r="98" customFormat="false" ht="15" hidden="false" customHeight="false" outlineLevel="0" collapsed="false">
      <c r="A98" s="20" t="s">
        <v>263</v>
      </c>
      <c r="B98" s="20" t="s">
        <v>232</v>
      </c>
      <c r="C98" s="20" t="s">
        <v>279</v>
      </c>
      <c r="D98" s="20" t="s">
        <v>280</v>
      </c>
      <c r="E98" s="21"/>
      <c r="F98" s="21"/>
      <c r="G98" s="21" t="n">
        <v>22.5</v>
      </c>
      <c r="H98" s="21"/>
      <c r="I98" s="21"/>
      <c r="J98" s="22"/>
      <c r="K98" s="22"/>
      <c r="L98" s="22"/>
      <c r="M98" s="22"/>
      <c r="N98" s="22"/>
      <c r="O98" s="22"/>
      <c r="P98" s="22" t="n">
        <v>9</v>
      </c>
      <c r="Q98" s="22"/>
      <c r="R98" s="22"/>
      <c r="S98" s="22"/>
      <c r="T98" s="23" t="str">
        <f aca="false">IF(AND(J98="",K98="",N98=""),"",N(J98)+N(K98)+2*N(N98))</f>
        <v/>
      </c>
      <c r="U98" s="24" t="str">
        <f aca="false">IF(OR(L98="",T98=""),"",L98-T98)</f>
        <v/>
      </c>
      <c r="V98" s="25"/>
    </row>
    <row r="99" customFormat="false" ht="15" hidden="false" customHeight="false" outlineLevel="0" collapsed="false">
      <c r="A99" s="20" t="s">
        <v>263</v>
      </c>
      <c r="B99" s="20" t="s">
        <v>232</v>
      </c>
      <c r="C99" s="20" t="s">
        <v>281</v>
      </c>
      <c r="D99" s="20" t="s">
        <v>282</v>
      </c>
      <c r="E99" s="21"/>
      <c r="F99" s="21"/>
      <c r="G99" s="21" t="n">
        <v>10</v>
      </c>
      <c r="H99" s="21"/>
      <c r="I99" s="21"/>
      <c r="J99" s="22"/>
      <c r="K99" s="22"/>
      <c r="L99" s="22"/>
      <c r="M99" s="22"/>
      <c r="N99" s="22"/>
      <c r="O99" s="22"/>
      <c r="P99" s="22" t="n">
        <v>4</v>
      </c>
      <c r="Q99" s="22"/>
      <c r="R99" s="22"/>
      <c r="S99" s="22"/>
      <c r="T99" s="23" t="str">
        <f aca="false">IF(AND(J99="",K99="",N99=""),"",N(J99)+N(K99)+2*N(N99))</f>
        <v/>
      </c>
      <c r="U99" s="24" t="str">
        <f aca="false">IF(OR(L99="",T99=""),"",L99-T99)</f>
        <v/>
      </c>
      <c r="V99" s="25"/>
    </row>
    <row r="100" customFormat="false" ht="15" hidden="false" customHeight="false" outlineLevel="0" collapsed="false">
      <c r="A100" s="20" t="s">
        <v>283</v>
      </c>
      <c r="B100" s="20" t="s">
        <v>284</v>
      </c>
      <c r="C100" s="20" t="s">
        <v>285</v>
      </c>
      <c r="D100" s="20" t="s">
        <v>286</v>
      </c>
      <c r="E100" s="21" t="n">
        <v>385</v>
      </c>
      <c r="F100" s="21"/>
      <c r="G100" s="21"/>
      <c r="H100" s="21" t="n">
        <v>287.5</v>
      </c>
      <c r="I100" s="21"/>
      <c r="J100" s="22" t="n">
        <v>164</v>
      </c>
      <c r="K100" s="22"/>
      <c r="L100" s="22" t="n">
        <v>164</v>
      </c>
      <c r="M100" s="22" t="n">
        <v>160</v>
      </c>
      <c r="N100" s="22"/>
      <c r="O100" s="22" t="n">
        <v>12</v>
      </c>
      <c r="P100" s="22" t="n">
        <v>115</v>
      </c>
      <c r="Q100" s="22"/>
      <c r="R100" s="22"/>
      <c r="S100" s="22" t="n">
        <v>5</v>
      </c>
      <c r="T100" s="23" t="n">
        <f aca="false">IF(AND(J100="",K100="",N100=""),"",N(J100)+N(K100)+2*N(N100))</f>
        <v>164</v>
      </c>
      <c r="U100" s="24" t="n">
        <f aca="false">IF(OR(L100="",T100=""),"",L100-T100)</f>
        <v>0</v>
      </c>
      <c r="V100" s="25"/>
    </row>
    <row r="101" customFormat="false" ht="15" hidden="false" customHeight="false" outlineLevel="0" collapsed="false">
      <c r="A101" s="14" t="s">
        <v>283</v>
      </c>
      <c r="B101" s="14" t="s">
        <v>284</v>
      </c>
      <c r="C101" s="14" t="s">
        <v>287</v>
      </c>
      <c r="D101" s="14" t="s">
        <v>288</v>
      </c>
      <c r="E101" s="15"/>
      <c r="F101" s="15" t="n">
        <v>17.5</v>
      </c>
      <c r="G101" s="15"/>
      <c r="H101" s="15"/>
      <c r="I101" s="15"/>
      <c r="J101" s="16"/>
      <c r="K101" s="16"/>
      <c r="L101" s="16" t="n">
        <v>14</v>
      </c>
      <c r="M101" s="16" t="n">
        <v>14</v>
      </c>
      <c r="N101" s="16" t="n">
        <v>7</v>
      </c>
      <c r="O101" s="16"/>
      <c r="P101" s="16"/>
      <c r="Q101" s="16"/>
      <c r="R101" s="16"/>
      <c r="S101" s="16"/>
      <c r="T101" s="17" t="n">
        <f aca="false">IF(AND(J101="",K101="",N101=""),"",N(J101)+N(K101)+2*N(N101))</f>
        <v>14</v>
      </c>
      <c r="U101" s="18" t="n">
        <f aca="false">IF(OR(L101="",T101=""),"",L101-T101)</f>
        <v>0</v>
      </c>
      <c r="V101" s="19" t="s">
        <v>78</v>
      </c>
    </row>
    <row r="102" customFormat="false" ht="15" hidden="false" customHeight="false" outlineLevel="0" collapsed="false">
      <c r="A102" s="20" t="s">
        <v>283</v>
      </c>
      <c r="B102" s="20" t="s">
        <v>284</v>
      </c>
      <c r="C102" s="20" t="s">
        <v>289</v>
      </c>
      <c r="D102" s="20" t="s">
        <v>290</v>
      </c>
      <c r="E102" s="21" t="n">
        <v>7.5</v>
      </c>
      <c r="F102" s="21" t="n">
        <v>7.5</v>
      </c>
      <c r="G102" s="21"/>
      <c r="H102" s="21"/>
      <c r="I102" s="21"/>
      <c r="J102" s="22" t="n">
        <v>3</v>
      </c>
      <c r="K102" s="22"/>
      <c r="L102" s="22" t="n">
        <v>9</v>
      </c>
      <c r="M102" s="22" t="n">
        <v>7</v>
      </c>
      <c r="N102" s="22" t="n">
        <v>2</v>
      </c>
      <c r="O102" s="22"/>
      <c r="P102" s="22"/>
      <c r="Q102" s="22"/>
      <c r="R102" s="22"/>
      <c r="S102" s="22"/>
      <c r="T102" s="23" t="n">
        <f aca="false">IF(AND(J102="",K102="",N102=""),"",N(J102)+N(K102)+2*N(N102))</f>
        <v>7</v>
      </c>
      <c r="U102" s="24" t="n">
        <f aca="false">IF(OR(L102="",T102=""),"",L102-T102)</f>
        <v>2</v>
      </c>
      <c r="V102" s="25"/>
    </row>
    <row r="103" customFormat="false" ht="15" hidden="false" customHeight="false" outlineLevel="0" collapsed="false">
      <c r="A103" s="20" t="s">
        <v>283</v>
      </c>
      <c r="B103" s="20" t="s">
        <v>284</v>
      </c>
      <c r="C103" s="20" t="s">
        <v>291</v>
      </c>
      <c r="D103" s="20" t="s">
        <v>292</v>
      </c>
      <c r="E103" s="21" t="n">
        <v>147.5</v>
      </c>
      <c r="F103" s="21" t="n">
        <v>147.5</v>
      </c>
      <c r="G103" s="21"/>
      <c r="H103" s="21"/>
      <c r="I103" s="21"/>
      <c r="J103" s="22" t="n">
        <v>59</v>
      </c>
      <c r="K103" s="22"/>
      <c r="L103" s="22" t="n">
        <v>136</v>
      </c>
      <c r="M103" s="22" t="n">
        <v>138</v>
      </c>
      <c r="N103" s="22" t="n">
        <v>42</v>
      </c>
      <c r="O103" s="22"/>
      <c r="P103" s="22"/>
      <c r="Q103" s="22"/>
      <c r="R103" s="22"/>
      <c r="S103" s="22"/>
      <c r="T103" s="23" t="n">
        <f aca="false">IF(AND(J103="",K103="",N103=""),"",N(J103)+N(K103)+2*N(N103))</f>
        <v>143</v>
      </c>
      <c r="U103" s="24" t="n">
        <f aca="false">IF(OR(L103="",T103=""),"",L103-T103)</f>
        <v>-7</v>
      </c>
      <c r="V103" s="25"/>
    </row>
    <row r="104" customFormat="false" ht="15" hidden="false" customHeight="false" outlineLevel="0" collapsed="false">
      <c r="A104" s="14" t="s">
        <v>283</v>
      </c>
      <c r="B104" s="14" t="s">
        <v>284</v>
      </c>
      <c r="C104" s="14" t="s">
        <v>293</v>
      </c>
      <c r="D104" s="14" t="s">
        <v>294</v>
      </c>
      <c r="E104" s="15"/>
      <c r="F104" s="15"/>
      <c r="G104" s="15"/>
      <c r="H104" s="15"/>
      <c r="I104" s="15"/>
      <c r="J104" s="16"/>
      <c r="K104" s="16"/>
      <c r="L104" s="16" t="n">
        <v>200</v>
      </c>
      <c r="M104" s="16"/>
      <c r="N104" s="16"/>
      <c r="O104" s="16"/>
      <c r="P104" s="16"/>
      <c r="Q104" s="16"/>
      <c r="R104" s="16"/>
      <c r="S104" s="16"/>
      <c r="T104" s="17" t="str">
        <f aca="false">IF(AND(J104="",K104="",N104=""),"",N(J104)+N(K104)+2*N(N104))</f>
        <v/>
      </c>
      <c r="U104" s="18" t="str">
        <f aca="false">IF(OR(L104="",T104=""),"",L104-T104)</f>
        <v/>
      </c>
      <c r="V104" s="19" t="s">
        <v>295</v>
      </c>
    </row>
    <row r="105" customFormat="false" ht="15" hidden="false" customHeight="false" outlineLevel="0" collapsed="false">
      <c r="A105" s="20" t="s">
        <v>283</v>
      </c>
      <c r="B105" s="20" t="s">
        <v>284</v>
      </c>
      <c r="C105" s="20" t="s">
        <v>296</v>
      </c>
      <c r="D105" s="20" t="s">
        <v>297</v>
      </c>
      <c r="E105" s="21" t="n">
        <v>25</v>
      </c>
      <c r="F105" s="21" t="n">
        <v>25</v>
      </c>
      <c r="G105" s="21"/>
      <c r="H105" s="21"/>
      <c r="I105" s="21"/>
      <c r="J105" s="22" t="n">
        <v>10</v>
      </c>
      <c r="K105" s="22"/>
      <c r="L105" s="22" t="n">
        <v>26</v>
      </c>
      <c r="M105" s="22" t="n">
        <v>26</v>
      </c>
      <c r="N105" s="22" t="n">
        <v>8</v>
      </c>
      <c r="O105" s="22"/>
      <c r="P105" s="22"/>
      <c r="Q105" s="22"/>
      <c r="R105" s="22"/>
      <c r="S105" s="22"/>
      <c r="T105" s="23" t="n">
        <f aca="false">IF(AND(J105="",K105="",N105=""),"",N(J105)+N(K105)+2*N(N105))</f>
        <v>26</v>
      </c>
      <c r="U105" s="24" t="n">
        <f aca="false">IF(OR(L105="",T105=""),"",L105-T105)</f>
        <v>0</v>
      </c>
      <c r="V105" s="25"/>
    </row>
    <row r="106" customFormat="false" ht="15" hidden="false" customHeight="false" outlineLevel="0" collapsed="false">
      <c r="A106" s="20" t="s">
        <v>283</v>
      </c>
      <c r="B106" s="20" t="s">
        <v>284</v>
      </c>
      <c r="C106" s="20" t="s">
        <v>298</v>
      </c>
      <c r="D106" s="20" t="s">
        <v>299</v>
      </c>
      <c r="E106" s="21" t="n">
        <v>45</v>
      </c>
      <c r="F106" s="21" t="n">
        <v>45</v>
      </c>
      <c r="G106" s="21"/>
      <c r="H106" s="21"/>
      <c r="I106" s="21"/>
      <c r="J106" s="22" t="n">
        <v>18</v>
      </c>
      <c r="K106" s="22"/>
      <c r="L106" s="22" t="n">
        <v>46</v>
      </c>
      <c r="M106" s="22" t="n">
        <v>46</v>
      </c>
      <c r="N106" s="22" t="n">
        <v>14</v>
      </c>
      <c r="O106" s="22"/>
      <c r="P106" s="22"/>
      <c r="Q106" s="22"/>
      <c r="R106" s="22"/>
      <c r="S106" s="22"/>
      <c r="T106" s="23" t="n">
        <f aca="false">IF(AND(J106="",K106="",N106=""),"",N(J106)+N(K106)+2*N(N106))</f>
        <v>46</v>
      </c>
      <c r="U106" s="24" t="n">
        <f aca="false">IF(OR(L106="",T106=""),"",L106-T106)</f>
        <v>0</v>
      </c>
      <c r="V106" s="25"/>
    </row>
    <row r="107" customFormat="false" ht="15" hidden="false" customHeight="false" outlineLevel="0" collapsed="false">
      <c r="A107" s="20" t="s">
        <v>300</v>
      </c>
      <c r="B107" s="20" t="s">
        <v>284</v>
      </c>
      <c r="C107" s="20" t="s">
        <v>301</v>
      </c>
      <c r="D107" s="20" t="s">
        <v>302</v>
      </c>
      <c r="E107" s="21" t="n">
        <v>537.5</v>
      </c>
      <c r="F107" s="21" t="n">
        <v>52.5</v>
      </c>
      <c r="G107" s="21"/>
      <c r="H107" s="21" t="n">
        <v>672.5</v>
      </c>
      <c r="I107" s="21"/>
      <c r="J107" s="22" t="n">
        <v>215</v>
      </c>
      <c r="K107" s="22"/>
      <c r="L107" s="22" t="n">
        <v>209</v>
      </c>
      <c r="M107" s="22" t="n">
        <v>240</v>
      </c>
      <c r="N107" s="22" t="n">
        <v>21</v>
      </c>
      <c r="O107" s="22" t="n">
        <v>14</v>
      </c>
      <c r="P107" s="22" t="n">
        <v>269</v>
      </c>
      <c r="Q107" s="22"/>
      <c r="R107" s="22"/>
      <c r="S107" s="22" t="n">
        <v>4</v>
      </c>
      <c r="T107" s="23" t="n">
        <f aca="false">IF(AND(J107="",K107="",N107=""),"",N(J107)+N(K107)+2*N(N107))</f>
        <v>257</v>
      </c>
      <c r="U107" s="24" t="n">
        <f aca="false">IF(OR(L107="",T107=""),"",L107-T107)</f>
        <v>-48</v>
      </c>
      <c r="V107" s="25"/>
    </row>
    <row r="108" customFormat="false" ht="15" hidden="false" customHeight="false" outlineLevel="0" collapsed="false">
      <c r="A108" s="20" t="s">
        <v>300</v>
      </c>
      <c r="B108" s="20" t="s">
        <v>284</v>
      </c>
      <c r="C108" s="20" t="s">
        <v>303</v>
      </c>
      <c r="D108" s="20" t="s">
        <v>304</v>
      </c>
      <c r="E108" s="21"/>
      <c r="F108" s="21"/>
      <c r="G108" s="21"/>
      <c r="H108" s="21"/>
      <c r="I108" s="21" t="n">
        <v>105</v>
      </c>
      <c r="J108" s="22"/>
      <c r="K108" s="22"/>
      <c r="L108" s="22"/>
      <c r="M108" s="22"/>
      <c r="N108" s="22"/>
      <c r="O108" s="22"/>
      <c r="P108" s="22"/>
      <c r="Q108" s="22" t="n">
        <v>42</v>
      </c>
      <c r="R108" s="22"/>
      <c r="S108" s="22"/>
      <c r="T108" s="23" t="str">
        <f aca="false">IF(AND(J108="",K108="",N108=""),"",N(J108)+N(K108)+2*N(N108))</f>
        <v/>
      </c>
      <c r="U108" s="24" t="str">
        <f aca="false">IF(OR(L108="",T108=""),"",L108-T108)</f>
        <v/>
      </c>
      <c r="V108" s="25"/>
    </row>
    <row r="109" customFormat="false" ht="15" hidden="false" customHeight="false" outlineLevel="0" collapsed="false">
      <c r="A109" s="20" t="s">
        <v>300</v>
      </c>
      <c r="B109" s="20" t="s">
        <v>284</v>
      </c>
      <c r="C109" s="20" t="s">
        <v>305</v>
      </c>
      <c r="D109" s="20" t="s">
        <v>306</v>
      </c>
      <c r="E109" s="21" t="n">
        <v>95</v>
      </c>
      <c r="F109" s="21"/>
      <c r="G109" s="21"/>
      <c r="H109" s="21"/>
      <c r="I109" s="21"/>
      <c r="J109" s="22" t="n">
        <v>38</v>
      </c>
      <c r="K109" s="22"/>
      <c r="L109" s="22" t="n">
        <v>38</v>
      </c>
      <c r="M109" s="22" t="n">
        <v>37</v>
      </c>
      <c r="N109" s="22"/>
      <c r="O109" s="22"/>
      <c r="P109" s="22"/>
      <c r="Q109" s="22"/>
      <c r="R109" s="22"/>
      <c r="S109" s="22"/>
      <c r="T109" s="23" t="n">
        <f aca="false">IF(AND(J109="",K109="",N109=""),"",N(J109)+N(K109)+2*N(N109))</f>
        <v>38</v>
      </c>
      <c r="U109" s="24" t="n">
        <f aca="false">IF(OR(L109="",T109=""),"",L109-T109)</f>
        <v>0</v>
      </c>
      <c r="V109" s="25"/>
    </row>
    <row r="110" customFormat="false" ht="15" hidden="false" customHeight="false" outlineLevel="0" collapsed="false">
      <c r="A110" s="20" t="s">
        <v>300</v>
      </c>
      <c r="B110" s="20" t="s">
        <v>284</v>
      </c>
      <c r="C110" s="20" t="s">
        <v>307</v>
      </c>
      <c r="D110" s="20" t="s">
        <v>308</v>
      </c>
      <c r="E110" s="21" t="n">
        <v>10</v>
      </c>
      <c r="F110" s="21"/>
      <c r="G110" s="21"/>
      <c r="H110" s="21"/>
      <c r="I110" s="21"/>
      <c r="J110" s="22" t="n">
        <v>4</v>
      </c>
      <c r="K110" s="22"/>
      <c r="L110" s="22" t="n">
        <v>4</v>
      </c>
      <c r="M110" s="22" t="n">
        <v>3</v>
      </c>
      <c r="N110" s="22"/>
      <c r="O110" s="22"/>
      <c r="P110" s="22"/>
      <c r="Q110" s="22"/>
      <c r="R110" s="22"/>
      <c r="S110" s="22"/>
      <c r="T110" s="23" t="n">
        <f aca="false">IF(AND(J110="",K110="",N110=""),"",N(J110)+N(K110)+2*N(N110))</f>
        <v>4</v>
      </c>
      <c r="U110" s="24" t="n">
        <f aca="false">IF(OR(L110="",T110=""),"",L110-T110)</f>
        <v>0</v>
      </c>
      <c r="V110" s="25"/>
    </row>
    <row r="111" customFormat="false" ht="15" hidden="false" customHeight="false" outlineLevel="0" collapsed="false">
      <c r="A111" s="20" t="s">
        <v>309</v>
      </c>
      <c r="B111" s="20" t="s">
        <v>284</v>
      </c>
      <c r="C111" s="20" t="s">
        <v>310</v>
      </c>
      <c r="D111" s="20" t="s">
        <v>311</v>
      </c>
      <c r="E111" s="21" t="n">
        <v>47.5</v>
      </c>
      <c r="F111" s="21"/>
      <c r="G111" s="21"/>
      <c r="H111" s="21"/>
      <c r="I111" s="21"/>
      <c r="J111" s="22" t="n">
        <v>19</v>
      </c>
      <c r="K111" s="22"/>
      <c r="L111" s="22" t="n">
        <v>20</v>
      </c>
      <c r="M111" s="22" t="n">
        <v>19</v>
      </c>
      <c r="N111" s="22"/>
      <c r="O111" s="22"/>
      <c r="P111" s="22"/>
      <c r="Q111" s="22"/>
      <c r="R111" s="22"/>
      <c r="S111" s="22"/>
      <c r="T111" s="23" t="n">
        <f aca="false">IF(AND(J111="",K111="",N111=""),"",N(J111)+N(K111)+2*N(N111))</f>
        <v>19</v>
      </c>
      <c r="U111" s="24" t="n">
        <f aca="false">IF(OR(L111="",T111=""),"",L111-T111)</f>
        <v>1</v>
      </c>
      <c r="V111" s="25"/>
    </row>
    <row r="112" customFormat="false" ht="15" hidden="false" customHeight="false" outlineLevel="0" collapsed="false">
      <c r="A112" s="20" t="s">
        <v>309</v>
      </c>
      <c r="B112" s="20" t="s">
        <v>284</v>
      </c>
      <c r="C112" s="20" t="s">
        <v>312</v>
      </c>
      <c r="D112" s="20" t="s">
        <v>313</v>
      </c>
      <c r="E112" s="21" t="n">
        <v>117.5</v>
      </c>
      <c r="F112" s="21"/>
      <c r="G112" s="21"/>
      <c r="H112" s="21" t="n">
        <v>192.5</v>
      </c>
      <c r="I112" s="21"/>
      <c r="J112" s="22" t="n">
        <v>47</v>
      </c>
      <c r="K112" s="22"/>
      <c r="L112" s="22" t="n">
        <v>40</v>
      </c>
      <c r="M112" s="22" t="n">
        <v>40</v>
      </c>
      <c r="N112" s="22"/>
      <c r="O112" s="22" t="n">
        <v>8</v>
      </c>
      <c r="P112" s="22" t="n">
        <v>77</v>
      </c>
      <c r="Q112" s="22"/>
      <c r="R112" s="22"/>
      <c r="S112" s="22"/>
      <c r="T112" s="23" t="n">
        <f aca="false">IF(AND(J112="",K112="",N112=""),"",N(J112)+N(K112)+2*N(N112))</f>
        <v>47</v>
      </c>
      <c r="U112" s="24" t="n">
        <f aca="false">IF(OR(L112="",T112=""),"",L112-T112)</f>
        <v>-7</v>
      </c>
      <c r="V112" s="25"/>
    </row>
    <row r="113" customFormat="false" ht="15" hidden="false" customHeight="false" outlineLevel="0" collapsed="false">
      <c r="A113" s="20" t="s">
        <v>309</v>
      </c>
      <c r="B113" s="20" t="s">
        <v>284</v>
      </c>
      <c r="C113" s="20" t="s">
        <v>314</v>
      </c>
      <c r="D113" s="20" t="s">
        <v>315</v>
      </c>
      <c r="E113" s="21" t="n">
        <v>420</v>
      </c>
      <c r="F113" s="21" t="n">
        <v>420</v>
      </c>
      <c r="G113" s="21"/>
      <c r="H113" s="21"/>
      <c r="I113" s="21"/>
      <c r="J113" s="22" t="n">
        <v>168</v>
      </c>
      <c r="K113" s="22"/>
      <c r="L113" s="22" t="n">
        <v>265</v>
      </c>
      <c r="M113" s="22" t="n">
        <v>264</v>
      </c>
      <c r="N113" s="22" t="n">
        <v>50</v>
      </c>
      <c r="O113" s="22" t="n">
        <v>4</v>
      </c>
      <c r="P113" s="22"/>
      <c r="Q113" s="22"/>
      <c r="R113" s="22"/>
      <c r="S113" s="22"/>
      <c r="T113" s="23" t="n">
        <f aca="false">IF(AND(J113="",K113="",N113=""),"",N(J113)+N(K113)+2*N(N113))</f>
        <v>268</v>
      </c>
      <c r="U113" s="24" t="n">
        <f aca="false">IF(OR(L113="",T113=""),"",L113-T113)</f>
        <v>-3</v>
      </c>
      <c r="V113" s="25"/>
    </row>
    <row r="114" customFormat="false" ht="15" hidden="false" customHeight="false" outlineLevel="0" collapsed="false">
      <c r="A114" s="20" t="s">
        <v>309</v>
      </c>
      <c r="B114" s="20" t="s">
        <v>284</v>
      </c>
      <c r="C114" s="20" t="s">
        <v>316</v>
      </c>
      <c r="D114" s="20" t="s">
        <v>317</v>
      </c>
      <c r="E114" s="21" t="n">
        <v>367.5</v>
      </c>
      <c r="F114" s="21"/>
      <c r="G114" s="21"/>
      <c r="H114" s="21" t="n">
        <v>200</v>
      </c>
      <c r="I114" s="21"/>
      <c r="J114" s="22" t="n">
        <v>147</v>
      </c>
      <c r="K114" s="22"/>
      <c r="L114" s="22" t="n">
        <v>136</v>
      </c>
      <c r="M114" s="22" t="n">
        <v>136</v>
      </c>
      <c r="N114" s="22"/>
      <c r="O114" s="22" t="n">
        <v>8</v>
      </c>
      <c r="P114" s="22" t="n">
        <v>80</v>
      </c>
      <c r="Q114" s="22"/>
      <c r="R114" s="22"/>
      <c r="S114" s="22" t="n">
        <v>2</v>
      </c>
      <c r="T114" s="23" t="n">
        <f aca="false">IF(AND(J114="",K114="",N114=""),"",N(J114)+N(K114)+2*N(N114))</f>
        <v>147</v>
      </c>
      <c r="U114" s="24" t="n">
        <f aca="false">IF(OR(L114="",T114=""),"",L114-T114)</f>
        <v>-11</v>
      </c>
      <c r="V114" s="25"/>
    </row>
    <row r="115" customFormat="false" ht="15" hidden="false" customHeight="false" outlineLevel="0" collapsed="false">
      <c r="A115" s="20" t="s">
        <v>318</v>
      </c>
      <c r="B115" s="20" t="s">
        <v>284</v>
      </c>
      <c r="C115" s="20" t="s">
        <v>319</v>
      </c>
      <c r="D115" s="20" t="s">
        <v>320</v>
      </c>
      <c r="E115" s="21" t="n">
        <v>165</v>
      </c>
      <c r="F115" s="21" t="n">
        <v>30</v>
      </c>
      <c r="G115" s="21" t="n">
        <v>130</v>
      </c>
      <c r="H115" s="21"/>
      <c r="I115" s="21"/>
      <c r="J115" s="22" t="n">
        <v>66</v>
      </c>
      <c r="K115" s="22"/>
      <c r="L115" s="22" t="n">
        <v>90</v>
      </c>
      <c r="M115" s="22" t="n">
        <v>88</v>
      </c>
      <c r="N115" s="22" t="n">
        <v>12</v>
      </c>
      <c r="O115" s="22" t="n">
        <v>4</v>
      </c>
      <c r="P115" s="22" t="n">
        <v>52</v>
      </c>
      <c r="Q115" s="22"/>
      <c r="R115" s="22"/>
      <c r="S115" s="22"/>
      <c r="T115" s="23" t="n">
        <f aca="false">IF(AND(J115="",K115="",N115=""),"",N(J115)+N(K115)+2*N(N115))</f>
        <v>90</v>
      </c>
      <c r="U115" s="24" t="n">
        <f aca="false">IF(OR(L115="",T115=""),"",L115-T115)</f>
        <v>0</v>
      </c>
      <c r="V115" s="25"/>
    </row>
    <row r="116" customFormat="false" ht="15" hidden="false" customHeight="false" outlineLevel="0" collapsed="false">
      <c r="A116" s="20" t="s">
        <v>318</v>
      </c>
      <c r="B116" s="20" t="s">
        <v>284</v>
      </c>
      <c r="C116" s="20" t="s">
        <v>321</v>
      </c>
      <c r="D116" s="20" t="s">
        <v>322</v>
      </c>
      <c r="E116" s="21" t="n">
        <v>315</v>
      </c>
      <c r="F116" s="21"/>
      <c r="G116" s="21"/>
      <c r="H116" s="21"/>
      <c r="I116" s="21"/>
      <c r="J116" s="22" t="n">
        <v>126</v>
      </c>
      <c r="K116" s="22"/>
      <c r="L116" s="22" t="n">
        <v>122</v>
      </c>
      <c r="M116" s="22" t="n">
        <v>120</v>
      </c>
      <c r="N116" s="22"/>
      <c r="O116" s="22" t="n">
        <v>16</v>
      </c>
      <c r="P116" s="22"/>
      <c r="Q116" s="22"/>
      <c r="R116" s="22"/>
      <c r="S116" s="22" t="n">
        <v>3</v>
      </c>
      <c r="T116" s="23" t="n">
        <f aca="false">IF(AND(J116="",K116="",N116=""),"",N(J116)+N(K116)+2*N(N116))</f>
        <v>126</v>
      </c>
      <c r="U116" s="24" t="n">
        <f aca="false">IF(OR(L116="",T116=""),"",L116-T116)</f>
        <v>-4</v>
      </c>
      <c r="V116" s="25"/>
    </row>
    <row r="117" customFormat="false" ht="15" hidden="false" customHeight="false" outlineLevel="0" collapsed="false">
      <c r="A117" s="20" t="s">
        <v>318</v>
      </c>
      <c r="B117" s="20" t="s">
        <v>284</v>
      </c>
      <c r="C117" s="20" t="s">
        <v>323</v>
      </c>
      <c r="D117" s="20" t="s">
        <v>324</v>
      </c>
      <c r="E117" s="21"/>
      <c r="F117" s="21"/>
      <c r="G117" s="21" t="n">
        <v>70</v>
      </c>
      <c r="H117" s="21"/>
      <c r="I117" s="21"/>
      <c r="J117" s="22"/>
      <c r="K117" s="22"/>
      <c r="L117" s="22"/>
      <c r="M117" s="22"/>
      <c r="N117" s="22"/>
      <c r="O117" s="22"/>
      <c r="P117" s="22" t="n">
        <v>28</v>
      </c>
      <c r="Q117" s="22"/>
      <c r="R117" s="22"/>
      <c r="S117" s="22"/>
      <c r="T117" s="23" t="str">
        <f aca="false">IF(AND(J117="",K117="",N117=""),"",N(J117)+N(K117)+2*N(N117))</f>
        <v/>
      </c>
      <c r="U117" s="24" t="str">
        <f aca="false">IF(OR(L117="",T117=""),"",L117-T117)</f>
        <v/>
      </c>
      <c r="V117" s="25"/>
    </row>
    <row r="118" customFormat="false" ht="15" hidden="false" customHeight="false" outlineLevel="0" collapsed="false">
      <c r="A118" s="20" t="s">
        <v>318</v>
      </c>
      <c r="B118" s="20" t="s">
        <v>284</v>
      </c>
      <c r="C118" s="20" t="s">
        <v>325</v>
      </c>
      <c r="D118" s="20" t="s">
        <v>326</v>
      </c>
      <c r="E118" s="21" t="n">
        <v>40</v>
      </c>
      <c r="F118" s="21" t="n">
        <v>85</v>
      </c>
      <c r="G118" s="21"/>
      <c r="H118" s="21"/>
      <c r="I118" s="21"/>
      <c r="J118" s="22" t="n">
        <v>16</v>
      </c>
      <c r="K118" s="22"/>
      <c r="L118" s="22" t="n">
        <v>78</v>
      </c>
      <c r="M118" s="22" t="n">
        <v>38</v>
      </c>
      <c r="N118" s="22" t="n">
        <v>34</v>
      </c>
      <c r="O118" s="22" t="n">
        <v>2</v>
      </c>
      <c r="P118" s="22"/>
      <c r="Q118" s="22"/>
      <c r="R118" s="22"/>
      <c r="S118" s="22"/>
      <c r="T118" s="23" t="n">
        <f aca="false">IF(AND(J118="",K118="",N118=""),"",N(J118)+N(K118)+2*N(N118))</f>
        <v>84</v>
      </c>
      <c r="U118" s="24" t="n">
        <f aca="false">IF(OR(L118="",T118=""),"",L118-T118)</f>
        <v>-6</v>
      </c>
      <c r="V118" s="25"/>
    </row>
    <row r="119" customFormat="false" ht="15" hidden="false" customHeight="false" outlineLevel="0" collapsed="false">
      <c r="A119" s="20" t="s">
        <v>318</v>
      </c>
      <c r="B119" s="20" t="s">
        <v>284</v>
      </c>
      <c r="C119" s="20" t="s">
        <v>327</v>
      </c>
      <c r="D119" s="20" t="s">
        <v>328</v>
      </c>
      <c r="E119" s="21" t="n">
        <v>110</v>
      </c>
      <c r="F119" s="21" t="n">
        <v>40</v>
      </c>
      <c r="G119" s="21"/>
      <c r="H119" s="21"/>
      <c r="I119" s="21"/>
      <c r="J119" s="22" t="n">
        <v>44</v>
      </c>
      <c r="K119" s="22"/>
      <c r="L119" s="22" t="n">
        <v>75</v>
      </c>
      <c r="M119" s="22" t="n">
        <v>70</v>
      </c>
      <c r="N119" s="22" t="n">
        <v>16</v>
      </c>
      <c r="O119" s="22"/>
      <c r="P119" s="22"/>
      <c r="Q119" s="22"/>
      <c r="R119" s="22"/>
      <c r="S119" s="22"/>
      <c r="T119" s="23" t="n">
        <f aca="false">IF(AND(J119="",K119="",N119=""),"",N(J119)+N(K119)+2*N(N119))</f>
        <v>76</v>
      </c>
      <c r="U119" s="24" t="n">
        <f aca="false">IF(OR(L119="",T119=""),"",L119-T119)</f>
        <v>-1</v>
      </c>
      <c r="V119" s="25"/>
    </row>
    <row r="120" customFormat="false" ht="15" hidden="false" customHeight="false" outlineLevel="0" collapsed="false">
      <c r="A120" s="20" t="s">
        <v>318</v>
      </c>
      <c r="B120" s="20" t="s">
        <v>284</v>
      </c>
      <c r="C120" s="20" t="s">
        <v>329</v>
      </c>
      <c r="D120" s="20" t="s">
        <v>330</v>
      </c>
      <c r="E120" s="21" t="n">
        <v>147.5</v>
      </c>
      <c r="F120" s="21"/>
      <c r="G120" s="21"/>
      <c r="H120" s="21"/>
      <c r="I120" s="21"/>
      <c r="J120" s="22" t="n">
        <v>59</v>
      </c>
      <c r="K120" s="22"/>
      <c r="L120" s="22" t="n">
        <v>55</v>
      </c>
      <c r="M120" s="22" t="n">
        <v>54</v>
      </c>
      <c r="N120" s="22"/>
      <c r="O120" s="22" t="n">
        <v>2</v>
      </c>
      <c r="P120" s="22"/>
      <c r="Q120" s="22"/>
      <c r="R120" s="22"/>
      <c r="S120" s="22"/>
      <c r="T120" s="23" t="n">
        <f aca="false">IF(AND(J120="",K120="",N120=""),"",N(J120)+N(K120)+2*N(N120))</f>
        <v>59</v>
      </c>
      <c r="U120" s="24" t="n">
        <f aca="false">IF(OR(L120="",T120=""),"",L120-T120)</f>
        <v>-4</v>
      </c>
      <c r="V120" s="25"/>
    </row>
    <row r="121" customFormat="false" ht="15" hidden="false" customHeight="false" outlineLevel="0" collapsed="false">
      <c r="A121" s="20" t="s">
        <v>331</v>
      </c>
      <c r="B121" s="20" t="s">
        <v>284</v>
      </c>
      <c r="C121" s="20" t="s">
        <v>332</v>
      </c>
      <c r="D121" s="20" t="s">
        <v>333</v>
      </c>
      <c r="E121" s="21" t="n">
        <v>155</v>
      </c>
      <c r="F121" s="21" t="n">
        <v>37.5</v>
      </c>
      <c r="G121" s="21"/>
      <c r="H121" s="21"/>
      <c r="I121" s="21"/>
      <c r="J121" s="22" t="n">
        <v>62</v>
      </c>
      <c r="K121" s="22"/>
      <c r="L121" s="22" t="n">
        <v>93</v>
      </c>
      <c r="M121" s="22" t="n">
        <v>90</v>
      </c>
      <c r="N121" s="22" t="n">
        <v>15</v>
      </c>
      <c r="O121" s="22"/>
      <c r="P121" s="22"/>
      <c r="Q121" s="22"/>
      <c r="R121" s="22"/>
      <c r="S121" s="22"/>
      <c r="T121" s="23" t="n">
        <f aca="false">IF(AND(J121="",K121="",N121=""),"",N(J121)+N(K121)+2*N(N121))</f>
        <v>92</v>
      </c>
      <c r="U121" s="24" t="n">
        <f aca="false">IF(OR(L121="",T121=""),"",L121-T121)</f>
        <v>1</v>
      </c>
      <c r="V121" s="25"/>
    </row>
    <row r="122" customFormat="false" ht="15" hidden="false" customHeight="false" outlineLevel="0" collapsed="false">
      <c r="A122" s="20" t="s">
        <v>331</v>
      </c>
      <c r="B122" s="20" t="s">
        <v>284</v>
      </c>
      <c r="C122" s="20" t="s">
        <v>334</v>
      </c>
      <c r="D122" s="20" t="s">
        <v>87</v>
      </c>
      <c r="E122" s="21" t="n">
        <v>152.5</v>
      </c>
      <c r="F122" s="21"/>
      <c r="G122" s="21"/>
      <c r="H122" s="21"/>
      <c r="I122" s="21"/>
      <c r="J122" s="22" t="n">
        <v>61</v>
      </c>
      <c r="K122" s="22"/>
      <c r="L122" s="22" t="n">
        <v>60</v>
      </c>
      <c r="M122" s="22" t="n">
        <v>60</v>
      </c>
      <c r="N122" s="22"/>
      <c r="O122" s="22" t="n">
        <v>4</v>
      </c>
      <c r="P122" s="22"/>
      <c r="Q122" s="22"/>
      <c r="R122" s="22"/>
      <c r="S122" s="22"/>
      <c r="T122" s="23" t="n">
        <f aca="false">IF(AND(J122="",K122="",N122=""),"",N(J122)+N(K122)+2*N(N122))</f>
        <v>61</v>
      </c>
      <c r="U122" s="24" t="n">
        <f aca="false">IF(OR(L122="",T122=""),"",L122-T122)</f>
        <v>-1</v>
      </c>
      <c r="V122" s="25"/>
    </row>
    <row r="123" customFormat="false" ht="15" hidden="false" customHeight="false" outlineLevel="0" collapsed="false">
      <c r="A123" s="20" t="s">
        <v>331</v>
      </c>
      <c r="B123" s="20" t="s">
        <v>284</v>
      </c>
      <c r="C123" s="20" t="s">
        <v>335</v>
      </c>
      <c r="D123" s="20" t="s">
        <v>336</v>
      </c>
      <c r="E123" s="21" t="n">
        <v>262.5</v>
      </c>
      <c r="F123" s="21"/>
      <c r="G123" s="21" t="n">
        <v>302.5</v>
      </c>
      <c r="H123" s="21"/>
      <c r="I123" s="21"/>
      <c r="J123" s="22" t="n">
        <v>105</v>
      </c>
      <c r="K123" s="22"/>
      <c r="L123" s="22" t="n">
        <v>101</v>
      </c>
      <c r="M123" s="22" t="n">
        <v>108</v>
      </c>
      <c r="N123" s="22"/>
      <c r="O123" s="22" t="n">
        <v>8</v>
      </c>
      <c r="P123" s="22" t="n">
        <v>121</v>
      </c>
      <c r="Q123" s="22"/>
      <c r="R123" s="22"/>
      <c r="S123" s="22"/>
      <c r="T123" s="23" t="n">
        <f aca="false">IF(AND(J123="",K123="",N123=""),"",N(J123)+N(K123)+2*N(N123))</f>
        <v>105</v>
      </c>
      <c r="U123" s="24" t="n">
        <f aca="false">IF(OR(L123="",T123=""),"",L123-T123)</f>
        <v>-4</v>
      </c>
      <c r="V123" s="25"/>
    </row>
    <row r="124" customFormat="false" ht="15" hidden="false" customHeight="false" outlineLevel="0" collapsed="false">
      <c r="A124" s="14" t="s">
        <v>331</v>
      </c>
      <c r="B124" s="14" t="s">
        <v>284</v>
      </c>
      <c r="C124" s="14" t="s">
        <v>337</v>
      </c>
      <c r="D124" s="14" t="s">
        <v>294</v>
      </c>
      <c r="E124" s="15"/>
      <c r="F124" s="15"/>
      <c r="G124" s="15"/>
      <c r="H124" s="15"/>
      <c r="I124" s="15"/>
      <c r="J124" s="16"/>
      <c r="K124" s="16"/>
      <c r="L124" s="16" t="n">
        <v>100</v>
      </c>
      <c r="M124" s="16"/>
      <c r="N124" s="16"/>
      <c r="O124" s="16"/>
      <c r="P124" s="16"/>
      <c r="Q124" s="16"/>
      <c r="R124" s="16"/>
      <c r="S124" s="16"/>
      <c r="T124" s="17" t="str">
        <f aca="false">IF(AND(J124="",K124="",N124=""),"",N(J124)+N(K124)+2*N(N124))</f>
        <v/>
      </c>
      <c r="U124" s="18" t="str">
        <f aca="false">IF(OR(L124="",T124=""),"",L124-T124)</f>
        <v/>
      </c>
      <c r="V124" s="19" t="s">
        <v>295</v>
      </c>
    </row>
    <row r="125" customFormat="false" ht="15" hidden="false" customHeight="false" outlineLevel="0" collapsed="false">
      <c r="A125" s="14" t="s">
        <v>331</v>
      </c>
      <c r="B125" s="14" t="s">
        <v>284</v>
      </c>
      <c r="C125" s="14" t="s">
        <v>338</v>
      </c>
      <c r="D125" s="14" t="s">
        <v>339</v>
      </c>
      <c r="E125" s="15" t="n">
        <v>2.5</v>
      </c>
      <c r="F125" s="15"/>
      <c r="G125" s="15"/>
      <c r="H125" s="15"/>
      <c r="I125" s="15"/>
      <c r="J125" s="16" t="n">
        <v>1</v>
      </c>
      <c r="K125" s="16"/>
      <c r="L125" s="16"/>
      <c r="M125" s="16"/>
      <c r="N125" s="16"/>
      <c r="O125" s="16"/>
      <c r="P125" s="16"/>
      <c r="Q125" s="16"/>
      <c r="R125" s="16"/>
      <c r="S125" s="16"/>
      <c r="T125" s="17" t="n">
        <f aca="false">IF(AND(J125="",K125="",N125=""),"",N(J125)+N(K125)+2*N(N125))</f>
        <v>1</v>
      </c>
      <c r="U125" s="18" t="str">
        <f aca="false">IF(OR(L125="",T125=""),"",L125-T125)</f>
        <v/>
      </c>
      <c r="V125" s="19" t="s">
        <v>132</v>
      </c>
    </row>
    <row r="126" customFormat="false" ht="15" hidden="false" customHeight="false" outlineLevel="0" collapsed="false">
      <c r="A126" s="20" t="s">
        <v>331</v>
      </c>
      <c r="B126" s="20" t="s">
        <v>284</v>
      </c>
      <c r="C126" s="20" t="s">
        <v>340</v>
      </c>
      <c r="D126" s="20" t="s">
        <v>341</v>
      </c>
      <c r="E126" s="21" t="n">
        <v>130</v>
      </c>
      <c r="F126" s="21"/>
      <c r="G126" s="21"/>
      <c r="H126" s="21"/>
      <c r="I126" s="21"/>
      <c r="J126" s="22" t="n">
        <v>52</v>
      </c>
      <c r="K126" s="22"/>
      <c r="L126" s="22" t="n">
        <v>50</v>
      </c>
      <c r="M126" s="22" t="n">
        <v>50</v>
      </c>
      <c r="N126" s="22"/>
      <c r="O126" s="22" t="n">
        <v>6</v>
      </c>
      <c r="P126" s="22"/>
      <c r="Q126" s="22"/>
      <c r="R126" s="22"/>
      <c r="S126" s="22"/>
      <c r="T126" s="23" t="n">
        <f aca="false">IF(AND(J126="",K126="",N126=""),"",N(J126)+N(K126)+2*N(N126))</f>
        <v>52</v>
      </c>
      <c r="U126" s="24" t="n">
        <f aca="false">IF(OR(L126="",T126=""),"",L126-T126)</f>
        <v>-2</v>
      </c>
      <c r="V126" s="25"/>
    </row>
    <row r="127" customFormat="false" ht="15" hidden="false" customHeight="false" outlineLevel="0" collapsed="false">
      <c r="A127" s="20" t="s">
        <v>342</v>
      </c>
      <c r="B127" s="20" t="s">
        <v>343</v>
      </c>
      <c r="C127" s="20" t="s">
        <v>344</v>
      </c>
      <c r="D127" s="20" t="s">
        <v>345</v>
      </c>
      <c r="E127" s="21" t="n">
        <v>97.5</v>
      </c>
      <c r="F127" s="21"/>
      <c r="G127" s="21"/>
      <c r="H127" s="21" t="n">
        <v>100</v>
      </c>
      <c r="I127" s="21"/>
      <c r="J127" s="22" t="n">
        <v>39</v>
      </c>
      <c r="K127" s="22" t="n">
        <v>41</v>
      </c>
      <c r="L127" s="22" t="n">
        <v>149</v>
      </c>
      <c r="M127" s="22" t="n">
        <v>148</v>
      </c>
      <c r="N127" s="22" t="n">
        <v>37</v>
      </c>
      <c r="O127" s="22" t="n">
        <v>4</v>
      </c>
      <c r="P127" s="22" t="n">
        <v>40</v>
      </c>
      <c r="Q127" s="22"/>
      <c r="R127" s="22"/>
      <c r="S127" s="22"/>
      <c r="T127" s="23" t="n">
        <f aca="false">IF(AND(J127="",K127="",N127=""),"",N(J127)+N(K127)+2*N(N127))</f>
        <v>154</v>
      </c>
      <c r="U127" s="24" t="n">
        <f aca="false">IF(OR(L127="",T127=""),"",L127-T127)</f>
        <v>-5</v>
      </c>
      <c r="V127" s="25"/>
    </row>
    <row r="128" customFormat="false" ht="15" hidden="false" customHeight="false" outlineLevel="0" collapsed="false">
      <c r="A128" s="20" t="s">
        <v>342</v>
      </c>
      <c r="B128" s="20" t="s">
        <v>343</v>
      </c>
      <c r="C128" s="20" t="s">
        <v>346</v>
      </c>
      <c r="D128" s="20" t="s">
        <v>347</v>
      </c>
      <c r="E128" s="21" t="n">
        <v>32.5</v>
      </c>
      <c r="F128" s="21"/>
      <c r="G128" s="21"/>
      <c r="H128" s="21"/>
      <c r="I128" s="21"/>
      <c r="J128" s="22" t="n">
        <v>13</v>
      </c>
      <c r="K128" s="22"/>
      <c r="L128" s="22" t="n">
        <v>58</v>
      </c>
      <c r="M128" s="22" t="n">
        <v>62</v>
      </c>
      <c r="N128" s="22" t="n">
        <v>31</v>
      </c>
      <c r="O128" s="22"/>
      <c r="P128" s="22"/>
      <c r="Q128" s="22"/>
      <c r="R128" s="22"/>
      <c r="S128" s="22"/>
      <c r="T128" s="23" t="n">
        <f aca="false">IF(AND(J128="",K128="",N128=""),"",N(J128)+N(K128)+2*N(N128))</f>
        <v>75</v>
      </c>
      <c r="U128" s="24" t="n">
        <f aca="false">IF(OR(L128="",T128=""),"",L128-T128)</f>
        <v>-17</v>
      </c>
      <c r="V128" s="25"/>
    </row>
    <row r="129" customFormat="false" ht="15" hidden="false" customHeight="false" outlineLevel="0" collapsed="false">
      <c r="A129" s="20" t="s">
        <v>342</v>
      </c>
      <c r="B129" s="20" t="s">
        <v>343</v>
      </c>
      <c r="C129" s="20" t="s">
        <v>348</v>
      </c>
      <c r="D129" s="20" t="s">
        <v>349</v>
      </c>
      <c r="E129" s="21" t="n">
        <v>285</v>
      </c>
      <c r="F129" s="21" t="n">
        <v>285</v>
      </c>
      <c r="G129" s="21"/>
      <c r="H129" s="21"/>
      <c r="I129" s="21"/>
      <c r="J129" s="22" t="n">
        <v>114</v>
      </c>
      <c r="K129" s="22"/>
      <c r="L129" s="22" t="n">
        <v>331</v>
      </c>
      <c r="M129" s="22" t="n">
        <v>330</v>
      </c>
      <c r="N129" s="22" t="n">
        <v>110</v>
      </c>
      <c r="O129" s="22"/>
      <c r="P129" s="22"/>
      <c r="Q129" s="22"/>
      <c r="R129" s="22"/>
      <c r="S129" s="22"/>
      <c r="T129" s="23" t="n">
        <f aca="false">IF(AND(J129="",K129="",N129=""),"",N(J129)+N(K129)+2*N(N129))</f>
        <v>334</v>
      </c>
      <c r="U129" s="24" t="n">
        <f aca="false">IF(OR(L129="",T129=""),"",L129-T129)</f>
        <v>-3</v>
      </c>
      <c r="V129" s="25"/>
    </row>
    <row r="130" customFormat="false" ht="15" hidden="false" customHeight="false" outlineLevel="0" collapsed="false">
      <c r="A130" s="20" t="s">
        <v>342</v>
      </c>
      <c r="B130" s="20" t="s">
        <v>343</v>
      </c>
      <c r="C130" s="20" t="s">
        <v>350</v>
      </c>
      <c r="D130" s="20" t="s">
        <v>351</v>
      </c>
      <c r="E130" s="21" t="n">
        <v>492.5</v>
      </c>
      <c r="F130" s="21"/>
      <c r="G130" s="21"/>
      <c r="H130" s="21"/>
      <c r="I130" s="21"/>
      <c r="J130" s="22" t="n">
        <v>197</v>
      </c>
      <c r="K130" s="22"/>
      <c r="L130" s="22" t="n">
        <v>278</v>
      </c>
      <c r="M130" s="22" t="n">
        <v>270</v>
      </c>
      <c r="N130" s="22" t="n">
        <v>44</v>
      </c>
      <c r="O130" s="22"/>
      <c r="P130" s="22"/>
      <c r="Q130" s="22"/>
      <c r="R130" s="22"/>
      <c r="S130" s="22"/>
      <c r="T130" s="23" t="n">
        <f aca="false">IF(AND(J130="",K130="",N130=""),"",N(J130)+N(K130)+2*N(N130))</f>
        <v>285</v>
      </c>
      <c r="U130" s="24" t="n">
        <f aca="false">IF(OR(L130="",T130=""),"",L130-T130)</f>
        <v>-7</v>
      </c>
      <c r="V130" s="25"/>
    </row>
    <row r="131" customFormat="false" ht="15" hidden="false" customHeight="false" outlineLevel="0" collapsed="false">
      <c r="A131" s="20" t="s">
        <v>352</v>
      </c>
      <c r="B131" s="20" t="s">
        <v>343</v>
      </c>
      <c r="C131" s="20" t="s">
        <v>353</v>
      </c>
      <c r="D131" s="20" t="s">
        <v>354</v>
      </c>
      <c r="E131" s="21"/>
      <c r="F131" s="21"/>
      <c r="G131" s="21" t="n">
        <v>125</v>
      </c>
      <c r="H131" s="21" t="n">
        <v>7.5</v>
      </c>
      <c r="I131" s="21"/>
      <c r="J131" s="22"/>
      <c r="K131" s="22"/>
      <c r="L131" s="22"/>
      <c r="M131" s="22"/>
      <c r="N131" s="22"/>
      <c r="O131" s="22"/>
      <c r="P131" s="22" t="n">
        <v>53</v>
      </c>
      <c r="Q131" s="22"/>
      <c r="R131" s="22"/>
      <c r="S131" s="22"/>
      <c r="T131" s="23" t="str">
        <f aca="false">IF(AND(J131="",K131="",N131=""),"",N(J131)+N(K131)+2*N(N131))</f>
        <v/>
      </c>
      <c r="U131" s="24" t="str">
        <f aca="false">IF(OR(L131="",T131=""),"",L131-T131)</f>
        <v/>
      </c>
      <c r="V131" s="25"/>
    </row>
    <row r="132" customFormat="false" ht="15" hidden="false" customHeight="false" outlineLevel="0" collapsed="false">
      <c r="A132" s="20" t="s">
        <v>352</v>
      </c>
      <c r="B132" s="20" t="s">
        <v>343</v>
      </c>
      <c r="C132" s="20" t="s">
        <v>355</v>
      </c>
      <c r="D132" s="20" t="s">
        <v>356</v>
      </c>
      <c r="E132" s="21" t="n">
        <v>25</v>
      </c>
      <c r="F132" s="21" t="n">
        <v>25</v>
      </c>
      <c r="G132" s="21"/>
      <c r="H132" s="21"/>
      <c r="I132" s="21"/>
      <c r="J132" s="22" t="n">
        <v>10</v>
      </c>
      <c r="K132" s="22"/>
      <c r="L132" s="22" t="n">
        <v>10</v>
      </c>
      <c r="M132" s="22" t="n">
        <v>10</v>
      </c>
      <c r="N132" s="22"/>
      <c r="O132" s="22"/>
      <c r="P132" s="22"/>
      <c r="Q132" s="22"/>
      <c r="R132" s="22"/>
      <c r="S132" s="22"/>
      <c r="T132" s="23" t="n">
        <f aca="false">IF(AND(J132="",K132="",N132=""),"",N(J132)+N(K132)+2*N(N132))</f>
        <v>10</v>
      </c>
      <c r="U132" s="24" t="n">
        <f aca="false">IF(OR(L132="",T132=""),"",L132-T132)</f>
        <v>0</v>
      </c>
      <c r="V132" s="25"/>
    </row>
    <row r="133" customFormat="false" ht="15" hidden="false" customHeight="false" outlineLevel="0" collapsed="false">
      <c r="A133" s="14" t="s">
        <v>352</v>
      </c>
      <c r="B133" s="14" t="s">
        <v>343</v>
      </c>
      <c r="C133" s="14" t="s">
        <v>357</v>
      </c>
      <c r="D133" s="14" t="s">
        <v>358</v>
      </c>
      <c r="E133" s="15"/>
      <c r="F133" s="15" t="n">
        <v>80</v>
      </c>
      <c r="G133" s="15" t="n">
        <v>237.5</v>
      </c>
      <c r="H133" s="15" t="n">
        <v>182.5</v>
      </c>
      <c r="I133" s="15"/>
      <c r="J133" s="16"/>
      <c r="K133" s="16"/>
      <c r="L133" s="16"/>
      <c r="M133" s="16"/>
      <c r="N133" s="16" t="n">
        <v>11</v>
      </c>
      <c r="O133" s="16"/>
      <c r="P133" s="16" t="n">
        <v>168</v>
      </c>
      <c r="Q133" s="16"/>
      <c r="R133" s="16"/>
      <c r="S133" s="16"/>
      <c r="T133" s="17" t="n">
        <f aca="false">IF(AND(J133="",K133="",N133=""),"",N(J133)+N(K133)+2*N(N133))</f>
        <v>22</v>
      </c>
      <c r="U133" s="18" t="str">
        <f aca="false">IF(OR(L133="",T133=""),"",L133-T133)</f>
        <v/>
      </c>
      <c r="V133" s="19" t="s">
        <v>132</v>
      </c>
    </row>
    <row r="134" customFormat="false" ht="15" hidden="false" customHeight="false" outlineLevel="0" collapsed="false">
      <c r="A134" s="20" t="s">
        <v>352</v>
      </c>
      <c r="B134" s="20" t="s">
        <v>343</v>
      </c>
      <c r="C134" s="20" t="s">
        <v>359</v>
      </c>
      <c r="D134" s="20" t="s">
        <v>360</v>
      </c>
      <c r="E134" s="21" t="n">
        <v>30</v>
      </c>
      <c r="F134" s="21"/>
      <c r="G134" s="21"/>
      <c r="H134" s="21"/>
      <c r="I134" s="21"/>
      <c r="J134" s="22" t="n">
        <v>12</v>
      </c>
      <c r="K134" s="22"/>
      <c r="L134" s="22" t="n">
        <v>25</v>
      </c>
      <c r="M134" s="22" t="n">
        <v>28</v>
      </c>
      <c r="N134" s="22" t="n">
        <v>7</v>
      </c>
      <c r="O134" s="22" t="n">
        <v>3</v>
      </c>
      <c r="P134" s="22"/>
      <c r="Q134" s="22"/>
      <c r="R134" s="22"/>
      <c r="S134" s="22"/>
      <c r="T134" s="23" t="n">
        <f aca="false">IF(AND(J134="",K134="",N134=""),"",N(J134)+N(K134)+2*N(N134))</f>
        <v>26</v>
      </c>
      <c r="U134" s="24" t="n">
        <f aca="false">IF(OR(L134="",T134=""),"",L134-T134)</f>
        <v>-1</v>
      </c>
      <c r="V134" s="25"/>
    </row>
    <row r="135" customFormat="false" ht="15" hidden="false" customHeight="false" outlineLevel="0" collapsed="false">
      <c r="A135" s="14" t="s">
        <v>352</v>
      </c>
      <c r="B135" s="14" t="s">
        <v>343</v>
      </c>
      <c r="C135" s="14" t="s">
        <v>361</v>
      </c>
      <c r="D135" s="14" t="s">
        <v>260</v>
      </c>
      <c r="E135" s="15" t="n">
        <v>5</v>
      </c>
      <c r="F135" s="15" t="n">
        <v>5</v>
      </c>
      <c r="G135" s="15"/>
      <c r="H135" s="15"/>
      <c r="I135" s="15"/>
      <c r="J135" s="16" t="n">
        <v>2</v>
      </c>
      <c r="K135" s="16"/>
      <c r="L135" s="16"/>
      <c r="M135" s="16"/>
      <c r="N135" s="16"/>
      <c r="O135" s="16"/>
      <c r="P135" s="16"/>
      <c r="Q135" s="16"/>
      <c r="R135" s="16"/>
      <c r="S135" s="16"/>
      <c r="T135" s="17" t="n">
        <f aca="false">IF(AND(J135="",K135="",N135=""),"",N(J135)+N(K135)+2*N(N135))</f>
        <v>2</v>
      </c>
      <c r="U135" s="18" t="str">
        <f aca="false">IF(OR(L135="",T135=""),"",L135-T135)</f>
        <v/>
      </c>
      <c r="V135" s="19" t="s">
        <v>132</v>
      </c>
    </row>
    <row r="136" customFormat="false" ht="15" hidden="false" customHeight="false" outlineLevel="0" collapsed="false">
      <c r="A136" s="14" t="s">
        <v>352</v>
      </c>
      <c r="B136" s="14" t="s">
        <v>343</v>
      </c>
      <c r="C136" s="14" t="s">
        <v>362</v>
      </c>
      <c r="D136" s="14" t="s">
        <v>363</v>
      </c>
      <c r="E136" s="15"/>
      <c r="F136" s="15"/>
      <c r="G136" s="15"/>
      <c r="H136" s="15"/>
      <c r="I136" s="15"/>
      <c r="J136" s="16"/>
      <c r="K136" s="16"/>
      <c r="L136" s="16" t="n">
        <v>16</v>
      </c>
      <c r="M136" s="16" t="n">
        <v>16</v>
      </c>
      <c r="N136" s="16" t="n">
        <v>8</v>
      </c>
      <c r="O136" s="16"/>
      <c r="P136" s="16"/>
      <c r="Q136" s="16"/>
      <c r="R136" s="16"/>
      <c r="S136" s="16"/>
      <c r="T136" s="17" t="n">
        <f aca="false">IF(AND(J136="",K136="",N136=""),"",N(J136)+N(K136)+2*N(N136))</f>
        <v>16</v>
      </c>
      <c r="U136" s="18" t="n">
        <f aca="false">IF(OR(L136="",T136=""),"",L136-T136)</f>
        <v>0</v>
      </c>
      <c r="V136" s="19" t="s">
        <v>78</v>
      </c>
    </row>
    <row r="137" customFormat="false" ht="15" hidden="false" customHeight="false" outlineLevel="0" collapsed="false">
      <c r="A137" s="20" t="s">
        <v>352</v>
      </c>
      <c r="B137" s="20" t="s">
        <v>343</v>
      </c>
      <c r="C137" s="20" t="s">
        <v>364</v>
      </c>
      <c r="D137" s="20" t="s">
        <v>365</v>
      </c>
      <c r="E137" s="21" t="n">
        <v>17.5</v>
      </c>
      <c r="F137" s="21"/>
      <c r="G137" s="21"/>
      <c r="H137" s="21"/>
      <c r="I137" s="21"/>
      <c r="J137" s="22" t="n">
        <v>7</v>
      </c>
      <c r="K137" s="22"/>
      <c r="L137" s="22" t="n">
        <v>7</v>
      </c>
      <c r="M137" s="22" t="n">
        <v>5</v>
      </c>
      <c r="N137" s="22"/>
      <c r="O137" s="22"/>
      <c r="P137" s="22"/>
      <c r="Q137" s="22"/>
      <c r="R137" s="22"/>
      <c r="S137" s="22"/>
      <c r="T137" s="23" t="n">
        <f aca="false">IF(AND(J137="",K137="",N137=""),"",N(J137)+N(K137)+2*N(N137))</f>
        <v>7</v>
      </c>
      <c r="U137" s="24" t="n">
        <f aca="false">IF(OR(L137="",T137=""),"",L137-T137)</f>
        <v>0</v>
      </c>
      <c r="V137" s="25"/>
    </row>
    <row r="138" customFormat="false" ht="15" hidden="false" customHeight="false" outlineLevel="0" collapsed="false">
      <c r="A138" s="20" t="s">
        <v>352</v>
      </c>
      <c r="B138" s="20" t="s">
        <v>343</v>
      </c>
      <c r="C138" s="20" t="s">
        <v>366</v>
      </c>
      <c r="D138" s="20" t="s">
        <v>367</v>
      </c>
      <c r="E138" s="21"/>
      <c r="F138" s="21"/>
      <c r="G138" s="21"/>
      <c r="H138" s="21" t="n">
        <v>12.5</v>
      </c>
      <c r="I138" s="21"/>
      <c r="J138" s="22"/>
      <c r="K138" s="22"/>
      <c r="L138" s="22"/>
      <c r="M138" s="22"/>
      <c r="N138" s="22"/>
      <c r="O138" s="22"/>
      <c r="P138" s="22" t="n">
        <v>5</v>
      </c>
      <c r="Q138" s="22"/>
      <c r="R138" s="22"/>
      <c r="S138" s="22"/>
      <c r="T138" s="23" t="str">
        <f aca="false">IF(AND(J138="",K138="",N138=""),"",N(J138)+N(K138)+2*N(N138))</f>
        <v/>
      </c>
      <c r="U138" s="24" t="str">
        <f aca="false">IF(OR(L138="",T138=""),"",L138-T138)</f>
        <v/>
      </c>
      <c r="V138" s="25"/>
    </row>
    <row r="139" customFormat="false" ht="15" hidden="false" customHeight="false" outlineLevel="0" collapsed="false">
      <c r="A139" s="20" t="s">
        <v>352</v>
      </c>
      <c r="B139" s="20" t="s">
        <v>343</v>
      </c>
      <c r="C139" s="20" t="s">
        <v>368</v>
      </c>
      <c r="D139" s="20" t="s">
        <v>369</v>
      </c>
      <c r="E139" s="21"/>
      <c r="F139" s="21"/>
      <c r="G139" s="21" t="n">
        <v>37.5</v>
      </c>
      <c r="H139" s="21"/>
      <c r="I139" s="21" t="n">
        <v>35</v>
      </c>
      <c r="J139" s="22"/>
      <c r="K139" s="22"/>
      <c r="L139" s="22"/>
      <c r="M139" s="22"/>
      <c r="N139" s="22"/>
      <c r="O139" s="22"/>
      <c r="P139" s="22" t="n">
        <v>15</v>
      </c>
      <c r="Q139" s="22" t="n">
        <v>16</v>
      </c>
      <c r="R139" s="22"/>
      <c r="S139" s="22"/>
      <c r="T139" s="23" t="str">
        <f aca="false">IF(AND(J139="",K139="",N139=""),"",N(J139)+N(K139)+2*N(N139))</f>
        <v/>
      </c>
      <c r="U139" s="24" t="str">
        <f aca="false">IF(OR(L139="",T139=""),"",L139-T139)</f>
        <v/>
      </c>
      <c r="V139" s="25"/>
    </row>
    <row r="140" customFormat="false" ht="15" hidden="false" customHeight="false" outlineLevel="0" collapsed="false">
      <c r="A140" s="20" t="s">
        <v>352</v>
      </c>
      <c r="B140" s="20" t="s">
        <v>343</v>
      </c>
      <c r="C140" s="20" t="s">
        <v>370</v>
      </c>
      <c r="D140" s="20" t="s">
        <v>371</v>
      </c>
      <c r="E140" s="21"/>
      <c r="F140" s="21"/>
      <c r="G140" s="21"/>
      <c r="H140" s="21" t="n">
        <v>205</v>
      </c>
      <c r="I140" s="21"/>
      <c r="J140" s="22"/>
      <c r="K140" s="22"/>
      <c r="L140" s="22"/>
      <c r="M140" s="22"/>
      <c r="N140" s="22"/>
      <c r="O140" s="22"/>
      <c r="P140" s="22" t="n">
        <v>82</v>
      </c>
      <c r="Q140" s="22"/>
      <c r="R140" s="22"/>
      <c r="S140" s="22"/>
      <c r="T140" s="23" t="str">
        <f aca="false">IF(AND(J140="",K140="",N140=""),"",N(J140)+N(K140)+2*N(N140))</f>
        <v/>
      </c>
      <c r="U140" s="24" t="str">
        <f aca="false">IF(OR(L140="",T140=""),"",L140-T140)</f>
        <v/>
      </c>
      <c r="V140" s="25"/>
    </row>
    <row r="141" customFormat="false" ht="15" hidden="false" customHeight="false" outlineLevel="0" collapsed="false">
      <c r="A141" s="20" t="s">
        <v>352</v>
      </c>
      <c r="B141" s="20" t="s">
        <v>343</v>
      </c>
      <c r="C141" s="20" t="s">
        <v>372</v>
      </c>
      <c r="D141" s="20" t="s">
        <v>373</v>
      </c>
      <c r="E141" s="21"/>
      <c r="F141" s="21"/>
      <c r="G141" s="21" t="n">
        <v>25</v>
      </c>
      <c r="H141" s="21"/>
      <c r="I141" s="21"/>
      <c r="J141" s="22"/>
      <c r="K141" s="22"/>
      <c r="L141" s="22"/>
      <c r="M141" s="22"/>
      <c r="N141" s="22"/>
      <c r="O141" s="22"/>
      <c r="P141" s="22" t="n">
        <v>10</v>
      </c>
      <c r="Q141" s="22"/>
      <c r="R141" s="22"/>
      <c r="S141" s="22"/>
      <c r="T141" s="23" t="str">
        <f aca="false">IF(AND(J141="",K141="",N141=""),"",N(J141)+N(K141)+2*N(N141))</f>
        <v/>
      </c>
      <c r="U141" s="24" t="str">
        <f aca="false">IF(OR(L141="",T141=""),"",L141-T141)</f>
        <v/>
      </c>
      <c r="V141" s="25"/>
    </row>
    <row r="142" customFormat="false" ht="15" hidden="false" customHeight="false" outlineLevel="0" collapsed="false">
      <c r="A142" s="20" t="s">
        <v>352</v>
      </c>
      <c r="B142" s="20" t="s">
        <v>343</v>
      </c>
      <c r="C142" s="20" t="s">
        <v>374</v>
      </c>
      <c r="D142" s="20" t="s">
        <v>375</v>
      </c>
      <c r="E142" s="21"/>
      <c r="F142" s="21"/>
      <c r="G142" s="21"/>
      <c r="H142" s="21"/>
      <c r="I142" s="21" t="n">
        <v>88</v>
      </c>
      <c r="J142" s="22"/>
      <c r="K142" s="22"/>
      <c r="L142" s="22"/>
      <c r="M142" s="22"/>
      <c r="N142" s="22"/>
      <c r="O142" s="22"/>
      <c r="P142" s="22"/>
      <c r="Q142" s="22" t="n">
        <v>40</v>
      </c>
      <c r="R142" s="22"/>
      <c r="S142" s="22"/>
      <c r="T142" s="23" t="str">
        <f aca="false">IF(AND(J142="",K142="",N142=""),"",N(J142)+N(K142)+2*N(N142))</f>
        <v/>
      </c>
      <c r="U142" s="24" t="str">
        <f aca="false">IF(OR(L142="",T142=""),"",L142-T142)</f>
        <v/>
      </c>
      <c r="V142" s="25"/>
    </row>
    <row r="143" customFormat="false" ht="15" hidden="false" customHeight="false" outlineLevel="0" collapsed="false">
      <c r="A143" s="20" t="s">
        <v>376</v>
      </c>
      <c r="B143" s="20" t="s">
        <v>343</v>
      </c>
      <c r="C143" s="20" t="s">
        <v>377</v>
      </c>
      <c r="D143" s="20" t="s">
        <v>378</v>
      </c>
      <c r="E143" s="21" t="n">
        <v>15</v>
      </c>
      <c r="F143" s="21" t="n">
        <v>15</v>
      </c>
      <c r="G143" s="21"/>
      <c r="H143" s="21"/>
      <c r="I143" s="21"/>
      <c r="J143" s="22" t="n">
        <v>6</v>
      </c>
      <c r="K143" s="22"/>
      <c r="L143" s="22" t="n">
        <v>5</v>
      </c>
      <c r="M143" s="22" t="n">
        <v>5</v>
      </c>
      <c r="N143" s="22"/>
      <c r="O143" s="22" t="n">
        <v>2</v>
      </c>
      <c r="P143" s="22"/>
      <c r="Q143" s="22"/>
      <c r="R143" s="22"/>
      <c r="S143" s="22"/>
      <c r="T143" s="23" t="n">
        <f aca="false">IF(AND(J143="",K143="",N143=""),"",N(J143)+N(K143)+2*N(N143))</f>
        <v>6</v>
      </c>
      <c r="U143" s="24" t="n">
        <f aca="false">IF(OR(L143="",T143=""),"",L143-T143)</f>
        <v>-1</v>
      </c>
      <c r="V143" s="25"/>
    </row>
    <row r="144" customFormat="false" ht="15" hidden="false" customHeight="false" outlineLevel="0" collapsed="false">
      <c r="A144" s="20" t="s">
        <v>376</v>
      </c>
      <c r="B144" s="20" t="s">
        <v>343</v>
      </c>
      <c r="C144" s="20" t="s">
        <v>379</v>
      </c>
      <c r="D144" s="20" t="s">
        <v>380</v>
      </c>
      <c r="E144" s="21" t="n">
        <v>47.5</v>
      </c>
      <c r="F144" s="21"/>
      <c r="G144" s="21"/>
      <c r="H144" s="21"/>
      <c r="I144" s="21"/>
      <c r="J144" s="22" t="n">
        <v>17</v>
      </c>
      <c r="K144" s="22"/>
      <c r="L144" s="22" t="n">
        <v>15</v>
      </c>
      <c r="M144" s="22" t="n">
        <v>15</v>
      </c>
      <c r="N144" s="22"/>
      <c r="O144" s="22" t="n">
        <v>4</v>
      </c>
      <c r="P144" s="22"/>
      <c r="Q144" s="22"/>
      <c r="R144" s="22"/>
      <c r="S144" s="22"/>
      <c r="T144" s="23" t="n">
        <f aca="false">IF(AND(J144="",K144="",N144=""),"",N(J144)+N(K144)+2*N(N144))</f>
        <v>17</v>
      </c>
      <c r="U144" s="24" t="n">
        <f aca="false">IF(OR(L144="",T144=""),"",L144-T144)</f>
        <v>-2</v>
      </c>
      <c r="V144" s="25"/>
    </row>
    <row r="145" customFormat="false" ht="15" hidden="false" customHeight="false" outlineLevel="0" collapsed="false">
      <c r="A145" s="20" t="s">
        <v>376</v>
      </c>
      <c r="B145" s="20" t="s">
        <v>343</v>
      </c>
      <c r="C145" s="20" t="s">
        <v>381</v>
      </c>
      <c r="D145" s="20" t="s">
        <v>382</v>
      </c>
      <c r="E145" s="21" t="n">
        <v>7.5</v>
      </c>
      <c r="F145" s="21" t="n">
        <v>7.5</v>
      </c>
      <c r="G145" s="21"/>
      <c r="H145" s="21"/>
      <c r="I145" s="21"/>
      <c r="J145" s="22" t="n">
        <v>3</v>
      </c>
      <c r="K145" s="22"/>
      <c r="L145" s="22" t="n">
        <v>4</v>
      </c>
      <c r="M145" s="22" t="n">
        <v>5</v>
      </c>
      <c r="N145" s="22" t="n">
        <v>1</v>
      </c>
      <c r="O145" s="22"/>
      <c r="P145" s="22"/>
      <c r="Q145" s="22"/>
      <c r="R145" s="22"/>
      <c r="S145" s="22"/>
      <c r="T145" s="23" t="n">
        <f aca="false">IF(AND(J145="",K145="",N145=""),"",N(J145)+N(K145)+2*N(N145))</f>
        <v>5</v>
      </c>
      <c r="U145" s="24" t="n">
        <f aca="false">IF(OR(L145="",T145=""),"",L145-T145)</f>
        <v>-1</v>
      </c>
      <c r="V145" s="25"/>
    </row>
    <row r="146" customFormat="false" ht="15" hidden="false" customHeight="false" outlineLevel="0" collapsed="false">
      <c r="A146" s="20" t="s">
        <v>376</v>
      </c>
      <c r="B146" s="20" t="s">
        <v>343</v>
      </c>
      <c r="C146" s="20" t="s">
        <v>383</v>
      </c>
      <c r="D146" s="20" t="s">
        <v>384</v>
      </c>
      <c r="E146" s="21" t="n">
        <v>32.5</v>
      </c>
      <c r="F146" s="21" t="n">
        <v>47.5</v>
      </c>
      <c r="G146" s="21" t="n">
        <v>20</v>
      </c>
      <c r="H146" s="21"/>
      <c r="I146" s="21"/>
      <c r="J146" s="22" t="n">
        <v>13</v>
      </c>
      <c r="K146" s="22"/>
      <c r="L146" s="22" t="n">
        <v>29</v>
      </c>
      <c r="M146" s="22" t="n">
        <v>27</v>
      </c>
      <c r="N146" s="22" t="n">
        <v>8</v>
      </c>
      <c r="O146" s="22" t="n">
        <v>2</v>
      </c>
      <c r="P146" s="22" t="n">
        <v>8</v>
      </c>
      <c r="Q146" s="22"/>
      <c r="R146" s="22"/>
      <c r="S146" s="22"/>
      <c r="T146" s="23" t="n">
        <f aca="false">IF(AND(J146="",K146="",N146=""),"",N(J146)+N(K146)+2*N(N146))</f>
        <v>29</v>
      </c>
      <c r="U146" s="24" t="n">
        <f aca="false">IF(OR(L146="",T146=""),"",L146-T146)</f>
        <v>0</v>
      </c>
      <c r="V146" s="25"/>
    </row>
    <row r="147" customFormat="false" ht="15" hidden="false" customHeight="false" outlineLevel="0" collapsed="false">
      <c r="A147" s="14" t="s">
        <v>376</v>
      </c>
      <c r="B147" s="14" t="s">
        <v>343</v>
      </c>
      <c r="C147" s="14" t="s">
        <v>385</v>
      </c>
      <c r="D147" s="14" t="s">
        <v>386</v>
      </c>
      <c r="E147" s="15"/>
      <c r="F147" s="15"/>
      <c r="G147" s="15"/>
      <c r="H147" s="15"/>
      <c r="I147" s="15"/>
      <c r="J147" s="16"/>
      <c r="K147" s="16"/>
      <c r="L147" s="16" t="n">
        <v>184</v>
      </c>
      <c r="M147" s="16" t="n">
        <v>176</v>
      </c>
      <c r="N147" s="16" t="n">
        <v>88</v>
      </c>
      <c r="O147" s="16"/>
      <c r="P147" s="16"/>
      <c r="Q147" s="16"/>
      <c r="R147" s="16"/>
      <c r="S147" s="16"/>
      <c r="T147" s="17" t="n">
        <f aca="false">IF(AND(J147="",K147="",N147=""),"",N(J147)+N(K147)+2*N(N147))</f>
        <v>176</v>
      </c>
      <c r="U147" s="18" t="n">
        <f aca="false">IF(OR(L147="",T147=""),"",L147-T147)</f>
        <v>8</v>
      </c>
      <c r="V147" s="19" t="s">
        <v>78</v>
      </c>
    </row>
    <row r="148" customFormat="false" ht="15" hidden="false" customHeight="false" outlineLevel="0" collapsed="false">
      <c r="A148" s="20" t="s">
        <v>376</v>
      </c>
      <c r="B148" s="20" t="s">
        <v>343</v>
      </c>
      <c r="C148" s="20" t="s">
        <v>387</v>
      </c>
      <c r="D148" s="20" t="s">
        <v>388</v>
      </c>
      <c r="E148" s="21"/>
      <c r="F148" s="21"/>
      <c r="G148" s="21"/>
      <c r="H148" s="21" t="n">
        <v>12.5</v>
      </c>
      <c r="I148" s="21"/>
      <c r="J148" s="22"/>
      <c r="K148" s="22"/>
      <c r="L148" s="22"/>
      <c r="M148" s="22"/>
      <c r="N148" s="22"/>
      <c r="O148" s="22"/>
      <c r="P148" s="22" t="n">
        <v>5</v>
      </c>
      <c r="Q148" s="22"/>
      <c r="R148" s="22"/>
      <c r="S148" s="22"/>
      <c r="T148" s="23" t="str">
        <f aca="false">IF(AND(J148="",K148="",N148=""),"",N(J148)+N(K148)+2*N(N148))</f>
        <v/>
      </c>
      <c r="U148" s="24" t="str">
        <f aca="false">IF(OR(L148="",T148=""),"",L148-T148)</f>
        <v/>
      </c>
      <c r="V148" s="25"/>
    </row>
    <row r="149" customFormat="false" ht="15" hidden="false" customHeight="false" outlineLevel="0" collapsed="false">
      <c r="A149" s="20" t="s">
        <v>376</v>
      </c>
      <c r="B149" s="20" t="s">
        <v>343</v>
      </c>
      <c r="C149" s="20" t="s">
        <v>389</v>
      </c>
      <c r="D149" s="20" t="s">
        <v>390</v>
      </c>
      <c r="E149" s="21" t="n">
        <v>15</v>
      </c>
      <c r="F149" s="21"/>
      <c r="G149" s="21"/>
      <c r="H149" s="21"/>
      <c r="I149" s="21"/>
      <c r="J149" s="22" t="n">
        <v>6</v>
      </c>
      <c r="K149" s="22"/>
      <c r="L149" s="22" t="n">
        <v>5</v>
      </c>
      <c r="M149" s="22" t="n">
        <v>5</v>
      </c>
      <c r="N149" s="22"/>
      <c r="O149" s="22"/>
      <c r="P149" s="22"/>
      <c r="Q149" s="22"/>
      <c r="R149" s="22"/>
      <c r="S149" s="22"/>
      <c r="T149" s="23" t="n">
        <f aca="false">IF(AND(J149="",K149="",N149=""),"",N(J149)+N(K149)+2*N(N149))</f>
        <v>6</v>
      </c>
      <c r="U149" s="24" t="n">
        <f aca="false">IF(OR(L149="",T149=""),"",L149-T149)</f>
        <v>-1</v>
      </c>
      <c r="V149" s="25"/>
    </row>
    <row r="150" customFormat="false" ht="15" hidden="false" customHeight="false" outlineLevel="0" collapsed="false">
      <c r="A150" s="20" t="s">
        <v>376</v>
      </c>
      <c r="B150" s="20" t="s">
        <v>343</v>
      </c>
      <c r="C150" s="20" t="s">
        <v>391</v>
      </c>
      <c r="D150" s="20" t="s">
        <v>392</v>
      </c>
      <c r="E150" s="21"/>
      <c r="F150" s="21"/>
      <c r="G150" s="21" t="n">
        <v>47.5</v>
      </c>
      <c r="H150" s="21"/>
      <c r="I150" s="21"/>
      <c r="J150" s="22"/>
      <c r="K150" s="22"/>
      <c r="L150" s="22"/>
      <c r="M150" s="22"/>
      <c r="N150" s="22"/>
      <c r="O150" s="22"/>
      <c r="P150" s="22" t="n">
        <v>19</v>
      </c>
      <c r="Q150" s="22"/>
      <c r="R150" s="22"/>
      <c r="S150" s="22"/>
      <c r="T150" s="23" t="str">
        <f aca="false">IF(AND(J150="",K150="",N150=""),"",N(J150)+N(K150)+2*N(N150))</f>
        <v/>
      </c>
      <c r="U150" s="24" t="str">
        <f aca="false">IF(OR(L150="",T150=""),"",L150-T150)</f>
        <v/>
      </c>
      <c r="V150" s="25"/>
    </row>
    <row r="151" customFormat="false" ht="15" hidden="false" customHeight="false" outlineLevel="0" collapsed="false">
      <c r="A151" s="14" t="s">
        <v>376</v>
      </c>
      <c r="B151" s="14" t="s">
        <v>343</v>
      </c>
      <c r="C151" s="14" t="s">
        <v>393</v>
      </c>
      <c r="D151" s="14" t="s">
        <v>394</v>
      </c>
      <c r="E151" s="15" t="n">
        <v>10</v>
      </c>
      <c r="F151" s="15"/>
      <c r="G151" s="15"/>
      <c r="H151" s="15"/>
      <c r="I151" s="15"/>
      <c r="J151" s="16" t="n">
        <v>4</v>
      </c>
      <c r="K151" s="16"/>
      <c r="L151" s="16"/>
      <c r="M151" s="16"/>
      <c r="N151" s="16"/>
      <c r="O151" s="16"/>
      <c r="P151" s="16"/>
      <c r="Q151" s="16"/>
      <c r="R151" s="16"/>
      <c r="S151" s="16"/>
      <c r="T151" s="17" t="n">
        <f aca="false">IF(AND(J151="",K151="",N151=""),"",N(J151)+N(K151)+2*N(N151))</f>
        <v>4</v>
      </c>
      <c r="U151" s="18" t="str">
        <f aca="false">IF(OR(L151="",T151=""),"",L151-T151)</f>
        <v/>
      </c>
      <c r="V151" s="19" t="s">
        <v>132</v>
      </c>
    </row>
    <row r="152" customFormat="false" ht="15" hidden="false" customHeight="false" outlineLevel="0" collapsed="false">
      <c r="A152" s="20" t="s">
        <v>376</v>
      </c>
      <c r="B152" s="20" t="s">
        <v>343</v>
      </c>
      <c r="C152" s="20" t="s">
        <v>395</v>
      </c>
      <c r="D152" s="20" t="s">
        <v>396</v>
      </c>
      <c r="E152" s="21" t="n">
        <v>70</v>
      </c>
      <c r="F152" s="21"/>
      <c r="G152" s="21"/>
      <c r="H152" s="21"/>
      <c r="I152" s="21"/>
      <c r="J152" s="22" t="n">
        <v>28</v>
      </c>
      <c r="K152" s="22"/>
      <c r="L152" s="22" t="n">
        <v>22</v>
      </c>
      <c r="M152" s="22" t="n">
        <v>34</v>
      </c>
      <c r="N152" s="22"/>
      <c r="O152" s="22" t="n">
        <v>9</v>
      </c>
      <c r="P152" s="22"/>
      <c r="Q152" s="22"/>
      <c r="R152" s="22"/>
      <c r="S152" s="22"/>
      <c r="T152" s="23" t="n">
        <f aca="false">IF(AND(J152="",K152="",N152=""),"",N(J152)+N(K152)+2*N(N152))</f>
        <v>28</v>
      </c>
      <c r="U152" s="24" t="n">
        <f aca="false">IF(OR(L152="",T152=""),"",L152-T152)</f>
        <v>-6</v>
      </c>
      <c r="V152" s="25"/>
    </row>
    <row r="153" customFormat="false" ht="15" hidden="false" customHeight="false" outlineLevel="0" collapsed="false">
      <c r="A153" s="20" t="s">
        <v>397</v>
      </c>
      <c r="B153" s="20" t="s">
        <v>343</v>
      </c>
      <c r="C153" s="20" t="s">
        <v>398</v>
      </c>
      <c r="D153" s="20" t="s">
        <v>399</v>
      </c>
      <c r="E153" s="21" t="n">
        <v>37.5</v>
      </c>
      <c r="F153" s="21"/>
      <c r="G153" s="21"/>
      <c r="H153" s="21"/>
      <c r="I153" s="21"/>
      <c r="J153" s="22" t="n">
        <v>15</v>
      </c>
      <c r="K153" s="22"/>
      <c r="L153" s="22" t="n">
        <v>14</v>
      </c>
      <c r="M153" s="22" t="n">
        <v>12</v>
      </c>
      <c r="N153" s="22"/>
      <c r="O153" s="22" t="n">
        <v>2</v>
      </c>
      <c r="P153" s="22"/>
      <c r="Q153" s="22"/>
      <c r="R153" s="22"/>
      <c r="S153" s="22"/>
      <c r="T153" s="23" t="n">
        <f aca="false">IF(AND(J153="",K153="",N153=""),"",N(J153)+N(K153)+2*N(N153))</f>
        <v>15</v>
      </c>
      <c r="U153" s="24" t="n">
        <f aca="false">IF(OR(L153="",T153=""),"",L153-T153)</f>
        <v>-1</v>
      </c>
      <c r="V153" s="25"/>
    </row>
    <row r="154" customFormat="false" ht="15" hidden="false" customHeight="false" outlineLevel="0" collapsed="false">
      <c r="A154" s="20" t="s">
        <v>397</v>
      </c>
      <c r="B154" s="20" t="s">
        <v>343</v>
      </c>
      <c r="C154" s="20" t="s">
        <v>400</v>
      </c>
      <c r="D154" s="20" t="s">
        <v>401</v>
      </c>
      <c r="E154" s="21" t="n">
        <v>40</v>
      </c>
      <c r="F154" s="21" t="n">
        <v>40</v>
      </c>
      <c r="G154" s="21"/>
      <c r="H154" s="21"/>
      <c r="I154" s="21"/>
      <c r="J154" s="22" t="n">
        <v>16</v>
      </c>
      <c r="K154" s="22"/>
      <c r="L154" s="22" t="n">
        <v>30</v>
      </c>
      <c r="M154" s="22" t="n">
        <v>30</v>
      </c>
      <c r="N154" s="22" t="n">
        <v>8</v>
      </c>
      <c r="O154" s="22" t="n">
        <v>2</v>
      </c>
      <c r="P154" s="22"/>
      <c r="Q154" s="22"/>
      <c r="R154" s="22"/>
      <c r="S154" s="22"/>
      <c r="T154" s="23" t="n">
        <f aca="false">IF(AND(J154="",K154="",N154=""),"",N(J154)+N(K154)+2*N(N154))</f>
        <v>32</v>
      </c>
      <c r="U154" s="24" t="n">
        <f aca="false">IF(OR(L154="",T154=""),"",L154-T154)</f>
        <v>-2</v>
      </c>
      <c r="V154" s="25"/>
    </row>
    <row r="155" customFormat="false" ht="15" hidden="false" customHeight="false" outlineLevel="0" collapsed="false">
      <c r="A155" s="20" t="s">
        <v>397</v>
      </c>
      <c r="B155" s="20" t="s">
        <v>343</v>
      </c>
      <c r="C155" s="20" t="s">
        <v>402</v>
      </c>
      <c r="D155" s="20" t="s">
        <v>403</v>
      </c>
      <c r="E155" s="21" t="n">
        <v>5</v>
      </c>
      <c r="F155" s="21"/>
      <c r="G155" s="21"/>
      <c r="H155" s="21"/>
      <c r="I155" s="21"/>
      <c r="J155" s="22" t="n">
        <v>2</v>
      </c>
      <c r="K155" s="22"/>
      <c r="L155" s="22" t="n">
        <v>2</v>
      </c>
      <c r="M155" s="22" t="n">
        <v>2</v>
      </c>
      <c r="N155" s="22"/>
      <c r="O155" s="22"/>
      <c r="P155" s="22"/>
      <c r="Q155" s="22"/>
      <c r="R155" s="22"/>
      <c r="S155" s="22"/>
      <c r="T155" s="23" t="n">
        <f aca="false">IF(AND(J155="",K155="",N155=""),"",N(J155)+N(K155)+2*N(N155))</f>
        <v>2</v>
      </c>
      <c r="U155" s="24" t="n">
        <f aca="false">IF(OR(L155="",T155=""),"",L155-T155)</f>
        <v>0</v>
      </c>
      <c r="V155" s="25"/>
    </row>
    <row r="156" customFormat="false" ht="15" hidden="false" customHeight="false" outlineLevel="0" collapsed="false">
      <c r="A156" s="20" t="s">
        <v>397</v>
      </c>
      <c r="B156" s="20" t="s">
        <v>343</v>
      </c>
      <c r="C156" s="20" t="s">
        <v>404</v>
      </c>
      <c r="D156" s="20" t="s">
        <v>405</v>
      </c>
      <c r="E156" s="21" t="n">
        <v>147.5</v>
      </c>
      <c r="F156" s="21"/>
      <c r="G156" s="21" t="n">
        <v>315</v>
      </c>
      <c r="H156" s="21"/>
      <c r="I156" s="21"/>
      <c r="J156" s="22" t="n">
        <v>59</v>
      </c>
      <c r="K156" s="22"/>
      <c r="L156" s="22" t="n">
        <v>54</v>
      </c>
      <c r="M156" s="22" t="n">
        <v>54</v>
      </c>
      <c r="N156" s="22"/>
      <c r="O156" s="22" t="n">
        <v>8</v>
      </c>
      <c r="P156" s="22" t="n">
        <v>126</v>
      </c>
      <c r="Q156" s="22"/>
      <c r="R156" s="22"/>
      <c r="S156" s="22"/>
      <c r="T156" s="23" t="n">
        <f aca="false">IF(AND(J156="",K156="",N156=""),"",N(J156)+N(K156)+2*N(N156))</f>
        <v>59</v>
      </c>
      <c r="U156" s="24" t="n">
        <f aca="false">IF(OR(L156="",T156=""),"",L156-T156)</f>
        <v>-5</v>
      </c>
      <c r="V156" s="25"/>
    </row>
    <row r="157" customFormat="false" ht="15" hidden="false" customHeight="false" outlineLevel="0" collapsed="false">
      <c r="A157" s="20" t="s">
        <v>397</v>
      </c>
      <c r="B157" s="20" t="s">
        <v>343</v>
      </c>
      <c r="C157" s="20" t="s">
        <v>406</v>
      </c>
      <c r="D157" s="20" t="s">
        <v>407</v>
      </c>
      <c r="E157" s="21" t="n">
        <v>20</v>
      </c>
      <c r="F157" s="21"/>
      <c r="G157" s="21"/>
      <c r="H157" s="21"/>
      <c r="I157" s="21"/>
      <c r="J157" s="22" t="n">
        <v>8</v>
      </c>
      <c r="K157" s="22"/>
      <c r="L157" s="22" t="n">
        <v>6</v>
      </c>
      <c r="M157" s="22" t="n">
        <v>8</v>
      </c>
      <c r="N157" s="22"/>
      <c r="O157" s="22" t="n">
        <v>2</v>
      </c>
      <c r="P157" s="22"/>
      <c r="Q157" s="22"/>
      <c r="R157" s="22"/>
      <c r="S157" s="22"/>
      <c r="T157" s="23" t="n">
        <f aca="false">IF(AND(J157="",K157="",N157=""),"",N(J157)+N(K157)+2*N(N157))</f>
        <v>8</v>
      </c>
      <c r="U157" s="24" t="n">
        <f aca="false">IF(OR(L157="",T157=""),"",L157-T157)</f>
        <v>-2</v>
      </c>
      <c r="V157" s="25"/>
    </row>
    <row r="158" customFormat="false" ht="15" hidden="false" customHeight="false" outlineLevel="0" collapsed="false">
      <c r="A158" s="20" t="s">
        <v>397</v>
      </c>
      <c r="B158" s="20" t="s">
        <v>343</v>
      </c>
      <c r="C158" s="20" t="s">
        <v>408</v>
      </c>
      <c r="D158" s="20" t="s">
        <v>409</v>
      </c>
      <c r="E158" s="21" t="n">
        <v>17.5</v>
      </c>
      <c r="F158" s="21"/>
      <c r="G158" s="21"/>
      <c r="H158" s="21"/>
      <c r="I158" s="21"/>
      <c r="J158" s="22" t="n">
        <v>7</v>
      </c>
      <c r="K158" s="22"/>
      <c r="L158" s="22" t="n">
        <v>7</v>
      </c>
      <c r="M158" s="22" t="n">
        <v>5</v>
      </c>
      <c r="N158" s="22"/>
      <c r="O158" s="22" t="n">
        <v>2</v>
      </c>
      <c r="P158" s="22"/>
      <c r="Q158" s="22"/>
      <c r="R158" s="22"/>
      <c r="S158" s="22"/>
      <c r="T158" s="23" t="n">
        <f aca="false">IF(AND(J158="",K158="",N158=""),"",N(J158)+N(K158)+2*N(N158))</f>
        <v>7</v>
      </c>
      <c r="U158" s="24" t="n">
        <f aca="false">IF(OR(L158="",T158=""),"",L158-T158)</f>
        <v>0</v>
      </c>
      <c r="V158" s="25"/>
    </row>
    <row r="159" customFormat="false" ht="15" hidden="false" customHeight="false" outlineLevel="0" collapsed="false">
      <c r="A159" s="20" t="s">
        <v>397</v>
      </c>
      <c r="B159" s="20" t="s">
        <v>343</v>
      </c>
      <c r="C159" s="20" t="s">
        <v>410</v>
      </c>
      <c r="D159" s="20" t="s">
        <v>411</v>
      </c>
      <c r="E159" s="21" t="n">
        <v>37.5</v>
      </c>
      <c r="F159" s="21"/>
      <c r="G159" s="21"/>
      <c r="H159" s="21"/>
      <c r="I159" s="21"/>
      <c r="J159" s="22" t="n">
        <v>15</v>
      </c>
      <c r="K159" s="22"/>
      <c r="L159" s="22" t="n">
        <v>14</v>
      </c>
      <c r="M159" s="22" t="n">
        <v>13</v>
      </c>
      <c r="N159" s="22"/>
      <c r="O159" s="22" t="n">
        <v>2</v>
      </c>
      <c r="P159" s="22"/>
      <c r="Q159" s="22"/>
      <c r="R159" s="22"/>
      <c r="S159" s="22"/>
      <c r="T159" s="23" t="n">
        <f aca="false">IF(AND(J159="",K159="",N159=""),"",N(J159)+N(K159)+2*N(N159))</f>
        <v>15</v>
      </c>
      <c r="U159" s="24" t="n">
        <f aca="false">IF(OR(L159="",T159=""),"",L159-T159)</f>
        <v>-1</v>
      </c>
      <c r="V159" s="25"/>
    </row>
    <row r="160" customFormat="false" ht="15" hidden="false" customHeight="false" outlineLevel="0" collapsed="false">
      <c r="A160" s="20" t="s">
        <v>397</v>
      </c>
      <c r="B160" s="20" t="s">
        <v>343</v>
      </c>
      <c r="C160" s="20" t="s">
        <v>412</v>
      </c>
      <c r="D160" s="20" t="s">
        <v>413</v>
      </c>
      <c r="E160" s="21" t="n">
        <v>35</v>
      </c>
      <c r="F160" s="21"/>
      <c r="G160" s="21" t="n">
        <v>45</v>
      </c>
      <c r="H160" s="21"/>
      <c r="I160" s="21"/>
      <c r="J160" s="22" t="n">
        <v>14</v>
      </c>
      <c r="K160" s="22"/>
      <c r="L160" s="22" t="n">
        <v>14</v>
      </c>
      <c r="M160" s="22" t="n">
        <v>14</v>
      </c>
      <c r="N160" s="22"/>
      <c r="O160" s="22"/>
      <c r="P160" s="22" t="n">
        <v>18</v>
      </c>
      <c r="Q160" s="22"/>
      <c r="R160" s="22"/>
      <c r="S160" s="22"/>
      <c r="T160" s="23" t="n">
        <f aca="false">IF(AND(J160="",K160="",N160=""),"",N(J160)+N(K160)+2*N(N160))</f>
        <v>14</v>
      </c>
      <c r="U160" s="24" t="n">
        <f aca="false">IF(OR(L160="",T160=""),"",L160-T160)</f>
        <v>0</v>
      </c>
      <c r="V160" s="25"/>
    </row>
    <row r="161" customFormat="false" ht="15" hidden="false" customHeight="false" outlineLevel="0" collapsed="false">
      <c r="A161" s="20" t="s">
        <v>397</v>
      </c>
      <c r="B161" s="20" t="s">
        <v>343</v>
      </c>
      <c r="C161" s="20" t="s">
        <v>414</v>
      </c>
      <c r="D161" s="20" t="s">
        <v>415</v>
      </c>
      <c r="E161" s="21" t="n">
        <v>30</v>
      </c>
      <c r="F161" s="21"/>
      <c r="G161" s="21"/>
      <c r="H161" s="21"/>
      <c r="I161" s="21"/>
      <c r="J161" s="22" t="n">
        <v>12</v>
      </c>
      <c r="K161" s="22"/>
      <c r="L161" s="22" t="n">
        <v>19</v>
      </c>
      <c r="M161" s="22" t="n">
        <v>19</v>
      </c>
      <c r="N161" s="22" t="n">
        <v>1</v>
      </c>
      <c r="O161" s="22"/>
      <c r="P161" s="22"/>
      <c r="Q161" s="22"/>
      <c r="R161" s="22"/>
      <c r="S161" s="22"/>
      <c r="T161" s="23" t="n">
        <f aca="false">IF(AND(J161="",K161="",N161=""),"",N(J161)+N(K161)+2*N(N161))</f>
        <v>14</v>
      </c>
      <c r="U161" s="24" t="n">
        <f aca="false">IF(OR(L161="",T161=""),"",L161-T161)</f>
        <v>5</v>
      </c>
      <c r="V161" s="25"/>
    </row>
    <row r="162" customFormat="false" ht="15" hidden="false" customHeight="false" outlineLevel="0" collapsed="false">
      <c r="A162" s="20" t="s">
        <v>397</v>
      </c>
      <c r="B162" s="20" t="s">
        <v>343</v>
      </c>
      <c r="C162" s="20" t="s">
        <v>416</v>
      </c>
      <c r="D162" s="20" t="s">
        <v>417</v>
      </c>
      <c r="E162" s="21" t="n">
        <v>72.5</v>
      </c>
      <c r="F162" s="21" t="n">
        <v>72.5</v>
      </c>
      <c r="G162" s="21"/>
      <c r="H162" s="21"/>
      <c r="I162" s="21"/>
      <c r="J162" s="22" t="n">
        <v>29</v>
      </c>
      <c r="K162" s="22"/>
      <c r="L162" s="22" t="n">
        <v>78</v>
      </c>
      <c r="M162" s="22" t="n">
        <v>76</v>
      </c>
      <c r="N162" s="22" t="n">
        <v>25</v>
      </c>
      <c r="O162" s="22" t="n">
        <v>1</v>
      </c>
      <c r="P162" s="22"/>
      <c r="Q162" s="22"/>
      <c r="R162" s="22"/>
      <c r="S162" s="22"/>
      <c r="T162" s="23" t="n">
        <f aca="false">IF(AND(J162="",K162="",N162=""),"",N(J162)+N(K162)+2*N(N162))</f>
        <v>79</v>
      </c>
      <c r="U162" s="24" t="n">
        <f aca="false">IF(OR(L162="",T162=""),"",L162-T162)</f>
        <v>-1</v>
      </c>
      <c r="V162" s="25"/>
    </row>
    <row r="163" customFormat="false" ht="15" hidden="false" customHeight="false" outlineLevel="0" collapsed="false">
      <c r="A163" s="20" t="s">
        <v>397</v>
      </c>
      <c r="B163" s="20" t="s">
        <v>343</v>
      </c>
      <c r="C163" s="20" t="s">
        <v>418</v>
      </c>
      <c r="D163" s="20" t="s">
        <v>419</v>
      </c>
      <c r="E163" s="21"/>
      <c r="F163" s="21"/>
      <c r="G163" s="21"/>
      <c r="H163" s="21" t="n">
        <v>10</v>
      </c>
      <c r="I163" s="21"/>
      <c r="J163" s="22"/>
      <c r="K163" s="22"/>
      <c r="L163" s="22"/>
      <c r="M163" s="22"/>
      <c r="N163" s="22"/>
      <c r="O163" s="22"/>
      <c r="P163" s="22" t="n">
        <v>4</v>
      </c>
      <c r="Q163" s="22"/>
      <c r="R163" s="22"/>
      <c r="S163" s="22"/>
      <c r="T163" s="23" t="str">
        <f aca="false">IF(AND(J163="",K163="",N163=""),"",N(J163)+N(K163)+2*N(N163))</f>
        <v/>
      </c>
      <c r="U163" s="24" t="str">
        <f aca="false">IF(OR(L163="",T163=""),"",L163-T163)</f>
        <v/>
      </c>
      <c r="V163" s="25"/>
    </row>
    <row r="164" customFormat="false" ht="15" hidden="false" customHeight="false" outlineLevel="0" collapsed="false">
      <c r="A164" s="20" t="s">
        <v>397</v>
      </c>
      <c r="B164" s="20" t="s">
        <v>343</v>
      </c>
      <c r="C164" s="20" t="s">
        <v>420</v>
      </c>
      <c r="D164" s="20" t="s">
        <v>421</v>
      </c>
      <c r="E164" s="21" t="n">
        <v>35</v>
      </c>
      <c r="F164" s="21" t="n">
        <v>32.5</v>
      </c>
      <c r="G164" s="21"/>
      <c r="H164" s="21"/>
      <c r="I164" s="21"/>
      <c r="J164" s="22" t="n">
        <v>14</v>
      </c>
      <c r="K164" s="22"/>
      <c r="L164" s="22" t="n">
        <v>24</v>
      </c>
      <c r="M164" s="22" t="n">
        <v>24</v>
      </c>
      <c r="N164" s="22" t="n">
        <v>6</v>
      </c>
      <c r="O164" s="22"/>
      <c r="P164" s="22"/>
      <c r="Q164" s="22"/>
      <c r="R164" s="22"/>
      <c r="S164" s="22"/>
      <c r="T164" s="23" t="n">
        <f aca="false">IF(AND(J164="",K164="",N164=""),"",N(J164)+N(K164)+2*N(N164))</f>
        <v>26</v>
      </c>
      <c r="U164" s="24" t="n">
        <f aca="false">IF(OR(L164="",T164=""),"",L164-T164)</f>
        <v>-2</v>
      </c>
      <c r="V164" s="25"/>
    </row>
    <row r="165" customFormat="false" ht="15" hidden="false" customHeight="false" outlineLevel="0" collapsed="false">
      <c r="A165" s="20" t="s">
        <v>397</v>
      </c>
      <c r="B165" s="20" t="s">
        <v>343</v>
      </c>
      <c r="C165" s="20" t="s">
        <v>422</v>
      </c>
      <c r="D165" s="20" t="s">
        <v>423</v>
      </c>
      <c r="E165" s="21" t="n">
        <v>20</v>
      </c>
      <c r="F165" s="21"/>
      <c r="G165" s="21"/>
      <c r="H165" s="21"/>
      <c r="I165" s="21"/>
      <c r="J165" s="22" t="n">
        <v>8</v>
      </c>
      <c r="K165" s="22"/>
      <c r="L165" s="22" t="n">
        <v>9</v>
      </c>
      <c r="M165" s="22" t="n">
        <v>10</v>
      </c>
      <c r="N165" s="22" t="n">
        <v>1</v>
      </c>
      <c r="O165" s="22"/>
      <c r="P165" s="22"/>
      <c r="Q165" s="22"/>
      <c r="R165" s="22"/>
      <c r="S165" s="22"/>
      <c r="T165" s="23" t="n">
        <f aca="false">IF(AND(J165="",K165="",N165=""),"",N(J165)+N(K165)+2*N(N165))</f>
        <v>10</v>
      </c>
      <c r="U165" s="24" t="n">
        <f aca="false">IF(OR(L165="",T165=""),"",L165-T165)</f>
        <v>-1</v>
      </c>
      <c r="V165" s="25"/>
    </row>
    <row r="166" customFormat="false" ht="15" hidden="false" customHeight="false" outlineLevel="0" collapsed="false">
      <c r="A166" s="14" t="s">
        <v>397</v>
      </c>
      <c r="B166" s="14" t="s">
        <v>343</v>
      </c>
      <c r="C166" s="14" t="s">
        <v>424</v>
      </c>
      <c r="D166" s="14" t="s">
        <v>425</v>
      </c>
      <c r="E166" s="15"/>
      <c r="F166" s="15"/>
      <c r="G166" s="15"/>
      <c r="H166" s="15"/>
      <c r="I166" s="15"/>
      <c r="J166" s="16"/>
      <c r="K166" s="16"/>
      <c r="L166" s="16" t="n">
        <v>34</v>
      </c>
      <c r="M166" s="16" t="n">
        <v>34</v>
      </c>
      <c r="N166" s="16" t="n">
        <v>17</v>
      </c>
      <c r="O166" s="16"/>
      <c r="P166" s="16"/>
      <c r="Q166" s="16"/>
      <c r="R166" s="16"/>
      <c r="S166" s="16"/>
      <c r="T166" s="17" t="n">
        <f aca="false">IF(AND(J166="",K166="",N166=""),"",N(J166)+N(K166)+2*N(N166))</f>
        <v>34</v>
      </c>
      <c r="U166" s="18" t="n">
        <f aca="false">IF(OR(L166="",T166=""),"",L166-T166)</f>
        <v>0</v>
      </c>
      <c r="V166" s="19" t="s">
        <v>78</v>
      </c>
    </row>
    <row r="167" customFormat="false" ht="15" hidden="false" customHeight="false" outlineLevel="0" collapsed="false">
      <c r="A167" s="20" t="s">
        <v>397</v>
      </c>
      <c r="B167" s="20" t="s">
        <v>343</v>
      </c>
      <c r="C167" s="20" t="s">
        <v>426</v>
      </c>
      <c r="D167" s="20" t="s">
        <v>427</v>
      </c>
      <c r="E167" s="21"/>
      <c r="F167" s="21"/>
      <c r="G167" s="21" t="n">
        <v>15</v>
      </c>
      <c r="H167" s="21"/>
      <c r="I167" s="21"/>
      <c r="J167" s="22"/>
      <c r="K167" s="22"/>
      <c r="L167" s="22"/>
      <c r="M167" s="22"/>
      <c r="N167" s="22"/>
      <c r="O167" s="22"/>
      <c r="P167" s="22" t="n">
        <v>6</v>
      </c>
      <c r="Q167" s="22"/>
      <c r="R167" s="22"/>
      <c r="S167" s="22"/>
      <c r="T167" s="23" t="str">
        <f aca="false">IF(AND(J167="",K167="",N167=""),"",N(J167)+N(K167)+2*N(N167))</f>
        <v/>
      </c>
      <c r="U167" s="24" t="str">
        <f aca="false">IF(OR(L167="",T167=""),"",L167-T167)</f>
        <v/>
      </c>
      <c r="V167" s="25"/>
    </row>
    <row r="168" customFormat="false" ht="15" hidden="false" customHeight="false" outlineLevel="0" collapsed="false">
      <c r="A168" s="14" t="s">
        <v>428</v>
      </c>
      <c r="B168" s="14" t="s">
        <v>343</v>
      </c>
      <c r="C168" s="14" t="s">
        <v>429</v>
      </c>
      <c r="D168" s="14" t="s">
        <v>430</v>
      </c>
      <c r="E168" s="15" t="n">
        <v>5</v>
      </c>
      <c r="F168" s="15"/>
      <c r="G168" s="15"/>
      <c r="H168" s="15"/>
      <c r="I168" s="15"/>
      <c r="J168" s="16" t="n">
        <v>2</v>
      </c>
      <c r="K168" s="16"/>
      <c r="L168" s="16"/>
      <c r="M168" s="16" t="n">
        <v>4</v>
      </c>
      <c r="N168" s="16"/>
      <c r="O168" s="16" t="n">
        <v>2</v>
      </c>
      <c r="P168" s="16"/>
      <c r="Q168" s="16"/>
      <c r="R168" s="16"/>
      <c r="S168" s="16"/>
      <c r="T168" s="17" t="n">
        <f aca="false">IF(AND(J168="",K168="",N168=""),"",N(J168)+N(K168)+2*N(N168))</f>
        <v>2</v>
      </c>
      <c r="U168" s="18" t="str">
        <f aca="false">IF(OR(L168="",T168=""),"",L168-T168)</f>
        <v/>
      </c>
      <c r="V168" s="19" t="s">
        <v>132</v>
      </c>
    </row>
    <row r="169" customFormat="false" ht="15" hidden="false" customHeight="false" outlineLevel="0" collapsed="false">
      <c r="A169" s="20" t="s">
        <v>428</v>
      </c>
      <c r="B169" s="20" t="s">
        <v>343</v>
      </c>
      <c r="C169" s="20" t="s">
        <v>431</v>
      </c>
      <c r="D169" s="20" t="s">
        <v>432</v>
      </c>
      <c r="E169" s="21"/>
      <c r="F169" s="21"/>
      <c r="G169" s="21" t="n">
        <v>10</v>
      </c>
      <c r="H169" s="21"/>
      <c r="I169" s="21"/>
      <c r="J169" s="22"/>
      <c r="K169" s="22"/>
      <c r="L169" s="22"/>
      <c r="M169" s="22"/>
      <c r="N169" s="22"/>
      <c r="O169" s="22"/>
      <c r="P169" s="22" t="n">
        <v>4</v>
      </c>
      <c r="Q169" s="22"/>
      <c r="R169" s="22"/>
      <c r="S169" s="22"/>
      <c r="T169" s="23" t="str">
        <f aca="false">IF(AND(J169="",K169="",N169=""),"",N(J169)+N(K169)+2*N(N169))</f>
        <v/>
      </c>
      <c r="U169" s="24" t="str">
        <f aca="false">IF(OR(L169="",T169=""),"",L169-T169)</f>
        <v/>
      </c>
      <c r="V169" s="25"/>
    </row>
    <row r="170" customFormat="false" ht="15" hidden="false" customHeight="false" outlineLevel="0" collapsed="false">
      <c r="A170" s="20" t="s">
        <v>428</v>
      </c>
      <c r="B170" s="20" t="s">
        <v>343</v>
      </c>
      <c r="C170" s="20" t="s">
        <v>433</v>
      </c>
      <c r="D170" s="20" t="s">
        <v>434</v>
      </c>
      <c r="E170" s="21" t="n">
        <v>7.5</v>
      </c>
      <c r="F170" s="21"/>
      <c r="G170" s="21"/>
      <c r="H170" s="21"/>
      <c r="I170" s="21"/>
      <c r="J170" s="22" t="n">
        <v>3</v>
      </c>
      <c r="K170" s="22"/>
      <c r="L170" s="22" t="n">
        <v>3</v>
      </c>
      <c r="M170" s="22" t="n">
        <v>3</v>
      </c>
      <c r="N170" s="22"/>
      <c r="O170" s="22"/>
      <c r="P170" s="22"/>
      <c r="Q170" s="22"/>
      <c r="R170" s="22"/>
      <c r="S170" s="22"/>
      <c r="T170" s="23" t="n">
        <f aca="false">IF(AND(J170="",K170="",N170=""),"",N(J170)+N(K170)+2*N(N170))</f>
        <v>3</v>
      </c>
      <c r="U170" s="24" t="n">
        <f aca="false">IF(OR(L170="",T170=""),"",L170-T170)</f>
        <v>0</v>
      </c>
      <c r="V170" s="25"/>
    </row>
    <row r="171" customFormat="false" ht="15" hidden="false" customHeight="false" outlineLevel="0" collapsed="false">
      <c r="A171" s="20" t="s">
        <v>428</v>
      </c>
      <c r="B171" s="20" t="s">
        <v>343</v>
      </c>
      <c r="C171" s="20" t="s">
        <v>435</v>
      </c>
      <c r="D171" s="20" t="s">
        <v>436</v>
      </c>
      <c r="E171" s="21"/>
      <c r="F171" s="21"/>
      <c r="G171" s="21" t="n">
        <v>50</v>
      </c>
      <c r="H171" s="21"/>
      <c r="I171" s="21"/>
      <c r="J171" s="22"/>
      <c r="K171" s="22"/>
      <c r="L171" s="22"/>
      <c r="M171" s="22"/>
      <c r="N171" s="22"/>
      <c r="O171" s="22"/>
      <c r="P171" s="22" t="n">
        <v>20</v>
      </c>
      <c r="Q171" s="22"/>
      <c r="R171" s="22"/>
      <c r="S171" s="22"/>
      <c r="T171" s="23" t="str">
        <f aca="false">IF(AND(J171="",K171="",N171=""),"",N(J171)+N(K171)+2*N(N171))</f>
        <v/>
      </c>
      <c r="U171" s="24" t="str">
        <f aca="false">IF(OR(L171="",T171=""),"",L171-T171)</f>
        <v/>
      </c>
      <c r="V171" s="25"/>
    </row>
    <row r="172" customFormat="false" ht="15" hidden="false" customHeight="false" outlineLevel="0" collapsed="false">
      <c r="A172" s="26"/>
      <c r="B172" s="26"/>
      <c r="C172" s="26"/>
      <c r="D172" s="27" t="s">
        <v>437</v>
      </c>
      <c r="E172" s="28" t="n">
        <f aca="false">SUM(E5:E171)</f>
        <v>13270</v>
      </c>
      <c r="F172" s="28" t="n">
        <f aca="false">SUM(F5:F171)</f>
        <v>3977.5</v>
      </c>
      <c r="G172" s="28" t="n">
        <f aca="false">SUM(G5:G171)</f>
        <v>2195</v>
      </c>
      <c r="H172" s="28" t="n">
        <f aca="false">SUM(H5:H171)</f>
        <v>5062.5</v>
      </c>
      <c r="I172" s="28" t="n">
        <f aca="false">SUM(I5:I171)</f>
        <v>270</v>
      </c>
      <c r="J172" s="29" t="n">
        <f aca="false">SUM(J5:J171)</f>
        <v>5223</v>
      </c>
      <c r="K172" s="29" t="n">
        <f aca="false">SUM(K5:K171)</f>
        <v>41</v>
      </c>
      <c r="L172" s="29" t="n">
        <f aca="false">SUM(L5:L171)</f>
        <v>8235</v>
      </c>
      <c r="M172" s="29" t="n">
        <f aca="false">SUM(M5:M171)</f>
        <v>7977</v>
      </c>
      <c r="N172" s="29" t="n">
        <f aca="false">SUM(N5:N171)</f>
        <v>1426</v>
      </c>
      <c r="O172" s="29" t="n">
        <f aca="false">SUM(O5:O171)</f>
        <v>278</v>
      </c>
      <c r="P172" s="29" t="n">
        <f aca="false">SUM(P5:P171)</f>
        <v>2903</v>
      </c>
      <c r="Q172" s="29" t="n">
        <f aca="false">SUM(Q5:Q171)</f>
        <v>117</v>
      </c>
      <c r="R172" s="29" t="n">
        <f aca="false">SUM(R5:R171)</f>
        <v>3</v>
      </c>
      <c r="S172" s="29" t="n">
        <f aca="false">SUM(S5:S171)</f>
        <v>22</v>
      </c>
      <c r="T172" s="29" t="n">
        <f aca="false">SUM(T5:T171)</f>
        <v>8116</v>
      </c>
      <c r="U172" s="29" t="n">
        <f aca="false">SUM(U5:U171)</f>
        <v>60</v>
      </c>
      <c r="V172" s="30" t="s">
        <v>438</v>
      </c>
    </row>
  </sheetData>
  <autoFilter ref="A4:V1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9"/>
    <col collapsed="false" customWidth="true" hidden="false" outlineLevel="0" max="3" min="3" style="0" width="9"/>
    <col collapsed="false" customWidth="true" hidden="false" outlineLevel="0" max="4" min="4" style="0" width="36"/>
    <col collapsed="false" customWidth="true" hidden="false" outlineLevel="0" max="5" min="5" style="0" width="8"/>
    <col collapsed="false" customWidth="true" hidden="false" outlineLevel="0" max="6" min="6" style="0" width="9"/>
    <col collapsed="false" customWidth="true" hidden="false" outlineLevel="0" max="7" min="7" style="0" width="26"/>
    <col collapsed="false" customWidth="true" hidden="false" outlineLevel="0" max="8" min="8" style="0" width="90"/>
  </cols>
  <sheetData>
    <row r="1" customFormat="false" ht="17.35" hidden="false" customHeight="false" outlineLevel="0" collapsed="false">
      <c r="A1" s="11" t="s">
        <v>439</v>
      </c>
    </row>
    <row r="3" customFormat="false" ht="31.5" hidden="false" customHeight="true" outlineLevel="0" collapsed="false">
      <c r="A3" s="12" t="s">
        <v>52</v>
      </c>
      <c r="B3" s="13" t="s">
        <v>53</v>
      </c>
      <c r="C3" s="13" t="s">
        <v>67</v>
      </c>
      <c r="D3" s="13" t="s">
        <v>440</v>
      </c>
      <c r="E3" s="13" t="s">
        <v>441</v>
      </c>
      <c r="F3" s="13" t="s">
        <v>442</v>
      </c>
      <c r="G3" s="13" t="s">
        <v>443</v>
      </c>
      <c r="H3" s="13" t="s">
        <v>444</v>
      </c>
    </row>
    <row r="4" customFormat="false" ht="15" hidden="false" customHeight="false" outlineLevel="0" collapsed="false">
      <c r="A4" s="20" t="s">
        <v>99</v>
      </c>
      <c r="B4" s="20" t="s">
        <v>85</v>
      </c>
      <c r="C4" s="20" t="s">
        <v>445</v>
      </c>
      <c r="D4" s="20" t="s">
        <v>446</v>
      </c>
      <c r="E4" s="31" t="n">
        <v>0.5</v>
      </c>
      <c r="F4" s="31"/>
      <c r="G4" s="20" t="s">
        <v>447</v>
      </c>
      <c r="H4" s="20" t="s">
        <v>448</v>
      </c>
    </row>
    <row r="5" customFormat="false" ht="15" hidden="false" customHeight="false" outlineLevel="0" collapsed="false">
      <c r="A5" s="20" t="s">
        <v>99</v>
      </c>
      <c r="B5" s="20" t="s">
        <v>85</v>
      </c>
      <c r="C5" s="20" t="s">
        <v>449</v>
      </c>
      <c r="D5" s="20" t="s">
        <v>446</v>
      </c>
      <c r="E5" s="31" t="n">
        <v>0.5</v>
      </c>
      <c r="F5" s="31"/>
      <c r="G5" s="20" t="s">
        <v>447</v>
      </c>
      <c r="H5" s="20" t="s">
        <v>450</v>
      </c>
    </row>
    <row r="6" customFormat="false" ht="15" hidden="false" customHeight="false" outlineLevel="0" collapsed="false">
      <c r="A6" s="20" t="s">
        <v>108</v>
      </c>
      <c r="B6" s="20" t="s">
        <v>85</v>
      </c>
      <c r="C6" s="20" t="s">
        <v>451</v>
      </c>
      <c r="D6" s="20" t="s">
        <v>452</v>
      </c>
      <c r="E6" s="31" t="n">
        <v>1.5</v>
      </c>
      <c r="F6" s="31"/>
      <c r="G6" s="20"/>
      <c r="H6" s="20" t="s">
        <v>453</v>
      </c>
    </row>
    <row r="7" customFormat="false" ht="15" hidden="false" customHeight="false" outlineLevel="0" collapsed="false">
      <c r="A7" s="20" t="s">
        <v>121</v>
      </c>
      <c r="B7" s="20" t="s">
        <v>85</v>
      </c>
      <c r="C7" s="20" t="s">
        <v>454</v>
      </c>
      <c r="D7" s="20" t="s">
        <v>452</v>
      </c>
      <c r="E7" s="31" t="n">
        <v>1</v>
      </c>
      <c r="F7" s="31"/>
      <c r="G7" s="20"/>
      <c r="H7" s="20" t="s">
        <v>455</v>
      </c>
    </row>
    <row r="8" customFormat="false" ht="15" hidden="false" customHeight="false" outlineLevel="0" collapsed="false">
      <c r="A8" s="20" t="s">
        <v>137</v>
      </c>
      <c r="B8" s="20" t="s">
        <v>85</v>
      </c>
      <c r="C8" s="20" t="s">
        <v>456</v>
      </c>
      <c r="D8" s="20" t="s">
        <v>457</v>
      </c>
      <c r="E8" s="31" t="n">
        <v>0.75</v>
      </c>
      <c r="F8" s="31"/>
      <c r="G8" s="20" t="s">
        <v>458</v>
      </c>
      <c r="H8" s="20" t="s">
        <v>459</v>
      </c>
    </row>
    <row r="9" customFormat="false" ht="15" hidden="false" customHeight="false" outlineLevel="0" collapsed="false">
      <c r="A9" s="20" t="s">
        <v>146</v>
      </c>
      <c r="B9" s="20" t="s">
        <v>147</v>
      </c>
      <c r="C9" s="20" t="s">
        <v>460</v>
      </c>
      <c r="D9" s="20" t="s">
        <v>457</v>
      </c>
      <c r="E9" s="31" t="n">
        <v>0.75</v>
      </c>
      <c r="F9" s="31"/>
      <c r="G9" s="20" t="s">
        <v>458</v>
      </c>
      <c r="H9" s="20" t="s">
        <v>461</v>
      </c>
    </row>
    <row r="10" customFormat="false" ht="15" hidden="false" customHeight="false" outlineLevel="0" collapsed="false">
      <c r="A10" s="20" t="s">
        <v>146</v>
      </c>
      <c r="B10" s="20" t="s">
        <v>147</v>
      </c>
      <c r="C10" s="20" t="s">
        <v>462</v>
      </c>
      <c r="D10" s="20" t="s">
        <v>452</v>
      </c>
      <c r="E10" s="31" t="n">
        <v>1</v>
      </c>
      <c r="F10" s="31"/>
      <c r="G10" s="20" t="s">
        <v>463</v>
      </c>
      <c r="H10" s="20" t="s">
        <v>464</v>
      </c>
    </row>
    <row r="11" customFormat="false" ht="15" hidden="false" customHeight="false" outlineLevel="0" collapsed="false">
      <c r="A11" s="20" t="s">
        <v>162</v>
      </c>
      <c r="B11" s="20" t="s">
        <v>147</v>
      </c>
      <c r="C11" s="20" t="s">
        <v>465</v>
      </c>
      <c r="D11" s="20" t="s">
        <v>452</v>
      </c>
      <c r="E11" s="31" t="n">
        <v>1</v>
      </c>
      <c r="F11" s="31"/>
      <c r="G11" s="20" t="s">
        <v>463</v>
      </c>
      <c r="H11" s="20" t="s">
        <v>466</v>
      </c>
    </row>
    <row r="12" customFormat="false" ht="15" hidden="false" customHeight="false" outlineLevel="0" collapsed="false">
      <c r="A12" s="20" t="s">
        <v>176</v>
      </c>
      <c r="B12" s="20" t="s">
        <v>147</v>
      </c>
      <c r="C12" s="20" t="s">
        <v>467</v>
      </c>
      <c r="D12" s="20" t="s">
        <v>452</v>
      </c>
      <c r="E12" s="31" t="n">
        <v>1.5</v>
      </c>
      <c r="F12" s="31"/>
      <c r="G12" s="20" t="s">
        <v>468</v>
      </c>
      <c r="H12" s="20" t="s">
        <v>469</v>
      </c>
    </row>
    <row r="13" customFormat="false" ht="15" hidden="false" customHeight="false" outlineLevel="0" collapsed="false">
      <c r="A13" s="20" t="s">
        <v>188</v>
      </c>
      <c r="B13" s="20" t="s">
        <v>147</v>
      </c>
      <c r="C13" s="20" t="s">
        <v>470</v>
      </c>
      <c r="D13" s="20" t="s">
        <v>471</v>
      </c>
      <c r="E13" s="31" t="n">
        <v>1</v>
      </c>
      <c r="F13" s="31"/>
      <c r="G13" s="20" t="s">
        <v>472</v>
      </c>
      <c r="H13" s="20" t="s">
        <v>473</v>
      </c>
    </row>
    <row r="14" customFormat="false" ht="15" hidden="false" customHeight="false" outlineLevel="0" collapsed="false">
      <c r="A14" s="20" t="s">
        <v>203</v>
      </c>
      <c r="B14" s="20" t="s">
        <v>196</v>
      </c>
      <c r="C14" s="20" t="s">
        <v>474</v>
      </c>
      <c r="D14" s="20" t="s">
        <v>475</v>
      </c>
      <c r="E14" s="31" t="n">
        <v>1</v>
      </c>
      <c r="F14" s="31" t="n">
        <v>32.5</v>
      </c>
      <c r="G14" s="20" t="s">
        <v>476</v>
      </c>
      <c r="H14" s="20" t="s">
        <v>477</v>
      </c>
    </row>
    <row r="15" customFormat="false" ht="15" hidden="false" customHeight="false" outlineLevel="0" collapsed="false">
      <c r="A15" s="20" t="s">
        <v>203</v>
      </c>
      <c r="B15" s="20" t="s">
        <v>196</v>
      </c>
      <c r="C15" s="20" t="s">
        <v>478</v>
      </c>
      <c r="D15" s="20" t="s">
        <v>479</v>
      </c>
      <c r="E15" s="31" t="n">
        <v>2</v>
      </c>
      <c r="F15" s="31" t="n">
        <v>100</v>
      </c>
      <c r="G15" s="20" t="s">
        <v>480</v>
      </c>
      <c r="H15" s="20" t="s">
        <v>481</v>
      </c>
    </row>
    <row r="16" customFormat="false" ht="15" hidden="false" customHeight="false" outlineLevel="0" collapsed="false">
      <c r="A16" s="20" t="s">
        <v>212</v>
      </c>
      <c r="B16" s="20" t="s">
        <v>196</v>
      </c>
      <c r="C16" s="20" t="s">
        <v>482</v>
      </c>
      <c r="D16" s="20" t="s">
        <v>483</v>
      </c>
      <c r="E16" s="31" t="n">
        <v>0.75</v>
      </c>
      <c r="F16" s="31" t="n">
        <v>17.5</v>
      </c>
      <c r="G16" s="20" t="s">
        <v>484</v>
      </c>
      <c r="H16" s="20" t="s">
        <v>485</v>
      </c>
    </row>
    <row r="17" customFormat="false" ht="15" hidden="false" customHeight="false" outlineLevel="0" collapsed="false">
      <c r="A17" s="20" t="s">
        <v>212</v>
      </c>
      <c r="B17" s="20" t="s">
        <v>196</v>
      </c>
      <c r="C17" s="20" t="s">
        <v>486</v>
      </c>
      <c r="D17" s="20" t="s">
        <v>487</v>
      </c>
      <c r="E17" s="31" t="n">
        <v>1</v>
      </c>
      <c r="F17" s="31"/>
      <c r="G17" s="20" t="s">
        <v>488</v>
      </c>
      <c r="H17" s="20" t="s">
        <v>489</v>
      </c>
    </row>
    <row r="18" customFormat="false" ht="15" hidden="false" customHeight="false" outlineLevel="0" collapsed="false">
      <c r="A18" s="20" t="s">
        <v>218</v>
      </c>
      <c r="B18" s="20" t="s">
        <v>196</v>
      </c>
      <c r="C18" s="20" t="s">
        <v>490</v>
      </c>
      <c r="D18" s="20" t="s">
        <v>491</v>
      </c>
      <c r="E18" s="31" t="n">
        <v>1</v>
      </c>
      <c r="F18" s="31"/>
      <c r="G18" s="20" t="s">
        <v>492</v>
      </c>
      <c r="H18" s="20" t="s">
        <v>493</v>
      </c>
    </row>
    <row r="19" customFormat="false" ht="15" hidden="false" customHeight="false" outlineLevel="0" collapsed="false">
      <c r="A19" s="20" t="s">
        <v>222</v>
      </c>
      <c r="B19" s="20" t="s">
        <v>196</v>
      </c>
      <c r="C19" s="20" t="s">
        <v>494</v>
      </c>
      <c r="D19" s="20" t="s">
        <v>226</v>
      </c>
      <c r="E19" s="31" t="n">
        <v>0.5</v>
      </c>
      <c r="F19" s="31" t="n">
        <v>25</v>
      </c>
      <c r="G19" s="20" t="s">
        <v>495</v>
      </c>
      <c r="H19" s="20" t="s">
        <v>496</v>
      </c>
    </row>
    <row r="20" customFormat="false" ht="15" hidden="false" customHeight="false" outlineLevel="0" collapsed="false">
      <c r="A20" s="20" t="s">
        <v>222</v>
      </c>
      <c r="B20" s="20" t="s">
        <v>196</v>
      </c>
      <c r="C20" s="20" t="s">
        <v>497</v>
      </c>
      <c r="D20" s="20" t="s">
        <v>491</v>
      </c>
      <c r="E20" s="31" t="n">
        <v>0.25</v>
      </c>
      <c r="F20" s="31"/>
      <c r="G20" s="20" t="s">
        <v>498</v>
      </c>
      <c r="H20" s="20" t="s">
        <v>499</v>
      </c>
    </row>
    <row r="21" customFormat="false" ht="15" hidden="false" customHeight="false" outlineLevel="0" collapsed="false">
      <c r="A21" s="20" t="s">
        <v>231</v>
      </c>
      <c r="B21" s="20" t="s">
        <v>232</v>
      </c>
      <c r="C21" s="20" t="s">
        <v>500</v>
      </c>
      <c r="D21" s="20" t="s">
        <v>501</v>
      </c>
      <c r="E21" s="31" t="n">
        <v>0.25</v>
      </c>
      <c r="F21" s="31"/>
      <c r="G21" s="20" t="s">
        <v>502</v>
      </c>
      <c r="H21" s="20" t="s">
        <v>503</v>
      </c>
    </row>
    <row r="22" customFormat="false" ht="15" hidden="false" customHeight="false" outlineLevel="0" collapsed="false">
      <c r="A22" s="20" t="s">
        <v>231</v>
      </c>
      <c r="B22" s="20" t="s">
        <v>232</v>
      </c>
      <c r="C22" s="20" t="s">
        <v>504</v>
      </c>
      <c r="D22" s="20" t="s">
        <v>505</v>
      </c>
      <c r="E22" s="31" t="n">
        <v>0.75</v>
      </c>
      <c r="F22" s="31" t="n">
        <v>17.5</v>
      </c>
      <c r="G22" s="20" t="s">
        <v>506</v>
      </c>
      <c r="H22" s="20" t="s">
        <v>507</v>
      </c>
    </row>
    <row r="23" customFormat="false" ht="15" hidden="false" customHeight="false" outlineLevel="0" collapsed="false">
      <c r="A23" s="20" t="s">
        <v>245</v>
      </c>
      <c r="B23" s="20" t="s">
        <v>232</v>
      </c>
      <c r="C23" s="20" t="s">
        <v>508</v>
      </c>
      <c r="D23" s="20" t="s">
        <v>501</v>
      </c>
      <c r="E23" s="31" t="n">
        <v>1.5</v>
      </c>
      <c r="F23" s="31"/>
      <c r="G23" s="20" t="s">
        <v>509</v>
      </c>
      <c r="H23" s="20" t="s">
        <v>510</v>
      </c>
    </row>
    <row r="24" customFormat="false" ht="15" hidden="false" customHeight="false" outlineLevel="0" collapsed="false">
      <c r="A24" s="20" t="s">
        <v>245</v>
      </c>
      <c r="B24" s="20" t="s">
        <v>232</v>
      </c>
      <c r="C24" s="20" t="s">
        <v>511</v>
      </c>
      <c r="D24" s="20" t="s">
        <v>512</v>
      </c>
      <c r="E24" s="31" t="n">
        <v>1.5</v>
      </c>
      <c r="F24" s="31" t="n">
        <v>65</v>
      </c>
      <c r="G24" s="20" t="s">
        <v>513</v>
      </c>
      <c r="H24" s="20" t="s">
        <v>514</v>
      </c>
    </row>
    <row r="25" customFormat="false" ht="15" hidden="false" customHeight="false" outlineLevel="0" collapsed="false">
      <c r="A25" s="20" t="s">
        <v>245</v>
      </c>
      <c r="B25" s="20" t="s">
        <v>232</v>
      </c>
      <c r="C25" s="20" t="s">
        <v>515</v>
      </c>
      <c r="D25" s="20" t="s">
        <v>516</v>
      </c>
      <c r="E25" s="31" t="n">
        <v>4</v>
      </c>
      <c r="F25" s="31" t="n">
        <v>150</v>
      </c>
      <c r="G25" s="20" t="s">
        <v>517</v>
      </c>
      <c r="H25" s="20" t="s">
        <v>518</v>
      </c>
    </row>
    <row r="26" customFormat="false" ht="15" hidden="false" customHeight="false" outlineLevel="0" collapsed="false">
      <c r="A26" s="20" t="s">
        <v>254</v>
      </c>
      <c r="B26" s="20" t="s">
        <v>232</v>
      </c>
      <c r="C26" s="20" t="s">
        <v>519</v>
      </c>
      <c r="D26" s="20" t="s">
        <v>520</v>
      </c>
      <c r="E26" s="31" t="n">
        <v>4</v>
      </c>
      <c r="F26" s="31" t="n">
        <v>150</v>
      </c>
      <c r="G26" s="20" t="s">
        <v>521</v>
      </c>
      <c r="H26" s="20" t="s">
        <v>522</v>
      </c>
    </row>
    <row r="27" customFormat="false" ht="15" hidden="false" customHeight="false" outlineLevel="0" collapsed="false">
      <c r="A27" s="20" t="s">
        <v>263</v>
      </c>
      <c r="B27" s="20" t="s">
        <v>232</v>
      </c>
      <c r="C27" s="20" t="s">
        <v>523</v>
      </c>
      <c r="D27" s="20" t="s">
        <v>524</v>
      </c>
      <c r="E27" s="31" t="n">
        <v>0.5</v>
      </c>
      <c r="F27" s="31" t="n">
        <v>25</v>
      </c>
      <c r="G27" s="20" t="s">
        <v>525</v>
      </c>
      <c r="H27" s="20" t="s">
        <v>526</v>
      </c>
    </row>
    <row r="28" customFormat="false" ht="15" hidden="false" customHeight="false" outlineLevel="0" collapsed="false">
      <c r="A28" s="20" t="s">
        <v>283</v>
      </c>
      <c r="B28" s="20" t="s">
        <v>284</v>
      </c>
      <c r="C28" s="20" t="s">
        <v>527</v>
      </c>
      <c r="D28" s="20" t="s">
        <v>528</v>
      </c>
      <c r="E28" s="31" t="n">
        <v>3</v>
      </c>
      <c r="F28" s="31" t="n">
        <v>135</v>
      </c>
      <c r="G28" s="20" t="s">
        <v>529</v>
      </c>
      <c r="H28" s="20" t="s">
        <v>530</v>
      </c>
    </row>
    <row r="29" customFormat="false" ht="15" hidden="false" customHeight="false" outlineLevel="0" collapsed="false">
      <c r="A29" s="20" t="s">
        <v>283</v>
      </c>
      <c r="B29" s="20" t="s">
        <v>284</v>
      </c>
      <c r="C29" s="20" t="s">
        <v>531</v>
      </c>
      <c r="D29" s="20" t="s">
        <v>532</v>
      </c>
      <c r="E29" s="31" t="n">
        <v>0.5</v>
      </c>
      <c r="F29" s="31"/>
      <c r="G29" s="20" t="s">
        <v>533</v>
      </c>
      <c r="H29" s="20" t="s">
        <v>534</v>
      </c>
    </row>
    <row r="30" customFormat="false" ht="15" hidden="false" customHeight="false" outlineLevel="0" collapsed="false">
      <c r="A30" s="20" t="s">
        <v>300</v>
      </c>
      <c r="B30" s="20" t="s">
        <v>284</v>
      </c>
      <c r="C30" s="20" t="s">
        <v>535</v>
      </c>
      <c r="D30" s="20" t="s">
        <v>536</v>
      </c>
      <c r="E30" s="31" t="n">
        <v>2</v>
      </c>
      <c r="F30" s="31" t="n">
        <v>82.5</v>
      </c>
      <c r="G30" s="20" t="s">
        <v>537</v>
      </c>
      <c r="H30" s="20" t="s">
        <v>538</v>
      </c>
    </row>
    <row r="31" customFormat="false" ht="15" hidden="false" customHeight="false" outlineLevel="0" collapsed="false">
      <c r="A31" s="20" t="s">
        <v>300</v>
      </c>
      <c r="B31" s="20" t="s">
        <v>284</v>
      </c>
      <c r="C31" s="20" t="s">
        <v>539</v>
      </c>
      <c r="D31" s="20" t="s">
        <v>540</v>
      </c>
      <c r="E31" s="31" t="n">
        <v>1.5</v>
      </c>
      <c r="F31" s="31" t="n">
        <v>75</v>
      </c>
      <c r="G31" s="20" t="s">
        <v>541</v>
      </c>
      <c r="H31" s="20" t="s">
        <v>542</v>
      </c>
    </row>
    <row r="32" customFormat="false" ht="15" hidden="false" customHeight="false" outlineLevel="0" collapsed="false">
      <c r="A32" s="20" t="s">
        <v>300</v>
      </c>
      <c r="B32" s="20" t="s">
        <v>284</v>
      </c>
      <c r="C32" s="20" t="s">
        <v>543</v>
      </c>
      <c r="D32" s="20" t="s">
        <v>532</v>
      </c>
      <c r="E32" s="31" t="n">
        <v>0.5</v>
      </c>
      <c r="F32" s="31"/>
      <c r="G32" s="20" t="s">
        <v>544</v>
      </c>
      <c r="H32" s="20" t="s">
        <v>545</v>
      </c>
    </row>
    <row r="33" customFormat="false" ht="15" hidden="false" customHeight="false" outlineLevel="0" collapsed="false">
      <c r="A33" s="20" t="s">
        <v>309</v>
      </c>
      <c r="B33" s="20" t="s">
        <v>284</v>
      </c>
      <c r="C33" s="20" t="s">
        <v>546</v>
      </c>
      <c r="D33" s="20" t="s">
        <v>532</v>
      </c>
      <c r="E33" s="31" t="n">
        <v>1.5</v>
      </c>
      <c r="F33" s="31"/>
      <c r="G33" s="20" t="s">
        <v>547</v>
      </c>
      <c r="H33" s="20" t="s">
        <v>548</v>
      </c>
    </row>
    <row r="34" customFormat="false" ht="15" hidden="false" customHeight="false" outlineLevel="0" collapsed="false">
      <c r="A34" s="20" t="s">
        <v>318</v>
      </c>
      <c r="B34" s="20" t="s">
        <v>284</v>
      </c>
      <c r="C34" s="20" t="s">
        <v>549</v>
      </c>
      <c r="D34" s="20" t="s">
        <v>326</v>
      </c>
      <c r="E34" s="31" t="n">
        <v>4</v>
      </c>
      <c r="F34" s="31" t="n">
        <v>65</v>
      </c>
      <c r="G34" s="20" t="s">
        <v>550</v>
      </c>
      <c r="H34" s="20" t="s">
        <v>551</v>
      </c>
    </row>
    <row r="35" customFormat="false" ht="15" hidden="false" customHeight="false" outlineLevel="0" collapsed="false">
      <c r="A35" s="20" t="s">
        <v>342</v>
      </c>
      <c r="B35" s="20" t="s">
        <v>343</v>
      </c>
      <c r="C35" s="20" t="s">
        <v>552</v>
      </c>
      <c r="D35" s="20" t="s">
        <v>553</v>
      </c>
      <c r="E35" s="31" t="n">
        <v>1.25</v>
      </c>
      <c r="F35" s="31"/>
      <c r="G35" s="20" t="s">
        <v>554</v>
      </c>
      <c r="H35" s="20" t="s">
        <v>555</v>
      </c>
    </row>
    <row r="36" customFormat="false" ht="15" hidden="false" customHeight="false" outlineLevel="0" collapsed="false">
      <c r="A36" s="20" t="s">
        <v>352</v>
      </c>
      <c r="B36" s="20" t="s">
        <v>343</v>
      </c>
      <c r="C36" s="20" t="s">
        <v>556</v>
      </c>
      <c r="D36" s="20" t="s">
        <v>557</v>
      </c>
      <c r="E36" s="31" t="n">
        <v>1</v>
      </c>
      <c r="F36" s="31" t="n">
        <v>17.5</v>
      </c>
      <c r="G36" s="20" t="s">
        <v>558</v>
      </c>
      <c r="H36" s="20" t="s">
        <v>559</v>
      </c>
    </row>
    <row r="37" customFormat="false" ht="15" hidden="false" customHeight="false" outlineLevel="0" collapsed="false">
      <c r="A37" s="20" t="s">
        <v>352</v>
      </c>
      <c r="B37" s="20" t="s">
        <v>343</v>
      </c>
      <c r="C37" s="20" t="s">
        <v>560</v>
      </c>
      <c r="D37" s="20" t="s">
        <v>536</v>
      </c>
      <c r="E37" s="31" t="n">
        <v>2</v>
      </c>
      <c r="F37" s="31" t="n">
        <v>80</v>
      </c>
      <c r="G37" s="20" t="s">
        <v>561</v>
      </c>
      <c r="H37" s="20" t="s">
        <v>562</v>
      </c>
    </row>
    <row r="38" customFormat="false" ht="15" hidden="false" customHeight="false" outlineLevel="0" collapsed="false">
      <c r="A38" s="20" t="s">
        <v>352</v>
      </c>
      <c r="B38" s="20" t="s">
        <v>343</v>
      </c>
      <c r="C38" s="20" t="s">
        <v>563</v>
      </c>
      <c r="D38" s="20" t="s">
        <v>564</v>
      </c>
      <c r="E38" s="31" t="n">
        <v>8</v>
      </c>
      <c r="F38" s="31"/>
      <c r="G38" s="20" t="s">
        <v>565</v>
      </c>
      <c r="H38" s="20" t="s">
        <v>566</v>
      </c>
    </row>
    <row r="39" customFormat="false" ht="15" hidden="false" customHeight="false" outlineLevel="0" collapsed="false">
      <c r="A39" s="20" t="s">
        <v>352</v>
      </c>
      <c r="B39" s="20" t="s">
        <v>343</v>
      </c>
      <c r="C39" s="20" t="s">
        <v>567</v>
      </c>
      <c r="D39" s="20" t="s">
        <v>568</v>
      </c>
      <c r="E39" s="31" t="n">
        <v>0.5</v>
      </c>
      <c r="F39" s="31"/>
      <c r="G39" s="20" t="s">
        <v>569</v>
      </c>
      <c r="H39" s="20" t="s">
        <v>570</v>
      </c>
    </row>
    <row r="40" customFormat="false" ht="15" hidden="false" customHeight="false" outlineLevel="0" collapsed="false">
      <c r="A40" s="20" t="s">
        <v>376</v>
      </c>
      <c r="B40" s="20" t="s">
        <v>343</v>
      </c>
      <c r="C40" s="20" t="s">
        <v>571</v>
      </c>
      <c r="D40" s="20" t="s">
        <v>572</v>
      </c>
      <c r="E40" s="31" t="n">
        <v>0.5</v>
      </c>
      <c r="F40" s="31"/>
      <c r="G40" s="20" t="s">
        <v>573</v>
      </c>
      <c r="H40" s="20" t="s">
        <v>574</v>
      </c>
    </row>
    <row r="41" customFormat="false" ht="15" hidden="false" customHeight="false" outlineLevel="0" collapsed="false">
      <c r="A41" s="20" t="s">
        <v>397</v>
      </c>
      <c r="B41" s="20" t="s">
        <v>343</v>
      </c>
      <c r="C41" s="20" t="s">
        <v>575</v>
      </c>
      <c r="D41" s="20" t="s">
        <v>576</v>
      </c>
      <c r="E41" s="31" t="n">
        <v>31.5</v>
      </c>
      <c r="F41" s="31" t="n">
        <v>745</v>
      </c>
      <c r="G41" s="20" t="s">
        <v>577</v>
      </c>
      <c r="H41" s="20" t="s">
        <v>578</v>
      </c>
    </row>
    <row r="42" customFormat="false" ht="15" hidden="false" customHeight="false" outlineLevel="0" collapsed="false">
      <c r="A42" s="20" t="s">
        <v>397</v>
      </c>
      <c r="B42" s="20" t="s">
        <v>343</v>
      </c>
      <c r="C42" s="20" t="s">
        <v>579</v>
      </c>
      <c r="D42" s="20" t="s">
        <v>576</v>
      </c>
      <c r="E42" s="31" t="n">
        <v>20</v>
      </c>
      <c r="F42" s="31" t="n">
        <v>345</v>
      </c>
      <c r="G42" s="20" t="s">
        <v>580</v>
      </c>
      <c r="H42" s="20" t="s">
        <v>581</v>
      </c>
    </row>
    <row r="43" customFormat="false" ht="15" hidden="false" customHeight="false" outlineLevel="0" collapsed="false">
      <c r="A43" s="20" t="s">
        <v>397</v>
      </c>
      <c r="B43" s="20" t="s">
        <v>343</v>
      </c>
      <c r="C43" s="20" t="s">
        <v>582</v>
      </c>
      <c r="D43" s="20" t="s">
        <v>583</v>
      </c>
      <c r="E43" s="31" t="n">
        <v>0.75</v>
      </c>
      <c r="F43" s="31" t="n">
        <v>27.5</v>
      </c>
      <c r="G43" s="20" t="s">
        <v>484</v>
      </c>
      <c r="H43" s="20" t="s">
        <v>584</v>
      </c>
    </row>
    <row r="44" customFormat="false" ht="15" hidden="false" customHeight="false" outlineLevel="0" collapsed="false">
      <c r="A44" s="20" t="s">
        <v>397</v>
      </c>
      <c r="B44" s="20" t="s">
        <v>343</v>
      </c>
      <c r="C44" s="20" t="s">
        <v>585</v>
      </c>
      <c r="D44" s="20" t="s">
        <v>586</v>
      </c>
      <c r="E44" s="31" t="n">
        <v>1</v>
      </c>
      <c r="F44" s="31"/>
      <c r="G44" s="20" t="s">
        <v>587</v>
      </c>
      <c r="H44" s="20" t="s">
        <v>588</v>
      </c>
    </row>
    <row r="45" customFormat="false" ht="15" hidden="false" customHeight="false" outlineLevel="0" collapsed="false">
      <c r="A45" s="20" t="s">
        <v>397</v>
      </c>
      <c r="B45" s="20" t="s">
        <v>343</v>
      </c>
      <c r="C45" s="20" t="s">
        <v>589</v>
      </c>
      <c r="D45" s="20" t="s">
        <v>590</v>
      </c>
      <c r="E45" s="31" t="n">
        <v>0.5</v>
      </c>
      <c r="F45" s="31" t="n">
        <v>30</v>
      </c>
      <c r="G45" s="20" t="s">
        <v>591</v>
      </c>
      <c r="H45" s="20" t="s">
        <v>592</v>
      </c>
    </row>
    <row r="46" customFormat="false" ht="15" hidden="false" customHeight="false" outlineLevel="0" collapsed="false">
      <c r="D46" s="32" t="s">
        <v>593</v>
      </c>
      <c r="E46" s="33" t="n">
        <f aca="false">SUM(E4:E45)</f>
        <v>108.5</v>
      </c>
      <c r="F46" s="33" t="n">
        <f aca="false">SUM(F4:F45)</f>
        <v>2185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9"/>
    <col collapsed="false" customWidth="true" hidden="false" outlineLevel="0" max="3" min="3" style="0" width="9"/>
    <col collapsed="false" customWidth="true" hidden="false" outlineLevel="0" max="4" min="4" style="0" width="36"/>
    <col collapsed="false" customWidth="true" hidden="false" outlineLevel="0" max="12" min="5" style="0" width="9"/>
    <col collapsed="false" customWidth="true" hidden="false" outlineLevel="0" max="13" min="13" style="0" width="80"/>
  </cols>
  <sheetData>
    <row r="1" customFormat="false" ht="17.35" hidden="false" customHeight="false" outlineLevel="0" collapsed="false">
      <c r="A1" s="11" t="s">
        <v>594</v>
      </c>
    </row>
    <row r="3" customFormat="false" ht="31.5" hidden="false" customHeight="true" outlineLevel="0" collapsed="false">
      <c r="A3" s="12" t="s">
        <v>52</v>
      </c>
      <c r="B3" s="13" t="s">
        <v>53</v>
      </c>
      <c r="C3" s="13" t="s">
        <v>595</v>
      </c>
      <c r="D3" s="13" t="s">
        <v>440</v>
      </c>
      <c r="E3" s="13" t="s">
        <v>3</v>
      </c>
      <c r="F3" s="13" t="s">
        <v>61</v>
      </c>
      <c r="G3" s="13" t="s">
        <v>7</v>
      </c>
      <c r="H3" s="13" t="s">
        <v>8</v>
      </c>
      <c r="I3" s="13" t="s">
        <v>9</v>
      </c>
      <c r="J3" s="13" t="s">
        <v>62</v>
      </c>
      <c r="K3" s="13" t="s">
        <v>11</v>
      </c>
      <c r="L3" s="13" t="s">
        <v>64</v>
      </c>
      <c r="M3" s="13" t="s">
        <v>596</v>
      </c>
    </row>
    <row r="4" customFormat="false" ht="15" hidden="false" customHeight="false" outlineLevel="0" collapsed="false">
      <c r="A4" s="20" t="s">
        <v>146</v>
      </c>
      <c r="B4" s="20" t="s">
        <v>147</v>
      </c>
      <c r="C4" s="20" t="s">
        <v>597</v>
      </c>
      <c r="D4" s="20" t="s">
        <v>118</v>
      </c>
      <c r="E4" s="34" t="n">
        <v>11</v>
      </c>
      <c r="F4" s="34" t="n">
        <v>10</v>
      </c>
      <c r="G4" s="34" t="n">
        <v>10</v>
      </c>
      <c r="H4" s="34"/>
      <c r="I4" s="34"/>
      <c r="J4" s="34"/>
      <c r="K4" s="34"/>
      <c r="L4" s="34"/>
      <c r="M4" s="20" t="s">
        <v>598</v>
      </c>
    </row>
    <row r="5" customFormat="false" ht="15" hidden="false" customHeight="false" outlineLevel="0" collapsed="false">
      <c r="A5" s="20" t="s">
        <v>188</v>
      </c>
      <c r="B5" s="20" t="s">
        <v>147</v>
      </c>
      <c r="C5" s="20" t="s">
        <v>599</v>
      </c>
      <c r="D5" s="20" t="s">
        <v>600</v>
      </c>
      <c r="E5" s="34" t="n">
        <v>47</v>
      </c>
      <c r="F5" s="34" t="n">
        <v>58</v>
      </c>
      <c r="G5" s="34" t="n">
        <v>58</v>
      </c>
      <c r="H5" s="34" t="n">
        <v>5</v>
      </c>
      <c r="I5" s="34"/>
      <c r="J5" s="34"/>
      <c r="K5" s="34"/>
      <c r="L5" s="34"/>
      <c r="M5" s="20" t="s">
        <v>601</v>
      </c>
    </row>
    <row r="6" customFormat="false" ht="15" hidden="false" customHeight="false" outlineLevel="0" collapsed="false">
      <c r="A6" s="20" t="s">
        <v>188</v>
      </c>
      <c r="B6" s="20" t="s">
        <v>147</v>
      </c>
      <c r="C6" s="20" t="s">
        <v>602</v>
      </c>
      <c r="D6" s="20" t="s">
        <v>603</v>
      </c>
      <c r="E6" s="34" t="n">
        <v>20</v>
      </c>
      <c r="F6" s="34" t="n">
        <v>27</v>
      </c>
      <c r="G6" s="34" t="n">
        <v>23</v>
      </c>
      <c r="H6" s="34"/>
      <c r="I6" s="34"/>
      <c r="J6" s="34"/>
      <c r="K6" s="34"/>
      <c r="L6" s="34"/>
      <c r="M6" s="20" t="s">
        <v>604</v>
      </c>
    </row>
    <row r="7" customFormat="false" ht="15" hidden="false" customHeight="false" outlineLevel="0" collapsed="false">
      <c r="A7" s="20" t="s">
        <v>231</v>
      </c>
      <c r="B7" s="20" t="s">
        <v>232</v>
      </c>
      <c r="C7" s="20" t="s">
        <v>605</v>
      </c>
      <c r="D7" s="20" t="s">
        <v>606</v>
      </c>
      <c r="E7" s="34" t="n">
        <v>26</v>
      </c>
      <c r="F7" s="34" t="n">
        <v>29</v>
      </c>
      <c r="G7" s="34" t="n">
        <v>29</v>
      </c>
      <c r="H7" s="34"/>
      <c r="I7" s="34"/>
      <c r="J7" s="34"/>
      <c r="K7" s="34"/>
      <c r="L7" s="34"/>
      <c r="M7" s="20" t="s">
        <v>607</v>
      </c>
    </row>
    <row r="8" customFormat="false" ht="15" hidden="false" customHeight="false" outlineLevel="0" collapsed="false">
      <c r="A8" s="20" t="s">
        <v>263</v>
      </c>
      <c r="B8" s="20" t="s">
        <v>232</v>
      </c>
      <c r="C8" s="20" t="s">
        <v>608</v>
      </c>
      <c r="D8" s="20" t="s">
        <v>609</v>
      </c>
      <c r="E8" s="34" t="n">
        <v>3</v>
      </c>
      <c r="F8" s="34" t="n">
        <v>3</v>
      </c>
      <c r="G8" s="34" t="n">
        <v>3</v>
      </c>
      <c r="H8" s="34"/>
      <c r="I8" s="34"/>
      <c r="J8" s="34"/>
      <c r="K8" s="34"/>
      <c r="L8" s="34"/>
      <c r="M8" s="20" t="s">
        <v>610</v>
      </c>
    </row>
    <row r="9" customFormat="false" ht="15" hidden="false" customHeight="false" outlineLevel="0" collapsed="false">
      <c r="A9" s="20" t="s">
        <v>263</v>
      </c>
      <c r="B9" s="20" t="s">
        <v>232</v>
      </c>
      <c r="C9" s="20" t="s">
        <v>611</v>
      </c>
      <c r="D9" s="20" t="s">
        <v>612</v>
      </c>
      <c r="E9" s="34" t="n">
        <v>38</v>
      </c>
      <c r="F9" s="34" t="n">
        <v>36</v>
      </c>
      <c r="G9" s="34" t="n">
        <v>38</v>
      </c>
      <c r="H9" s="34"/>
      <c r="I9" s="34"/>
      <c r="J9" s="34"/>
      <c r="K9" s="34"/>
      <c r="L9" s="34"/>
      <c r="M9" s="20" t="s">
        <v>610</v>
      </c>
    </row>
    <row r="10" customFormat="false" ht="15" hidden="false" customHeight="false" outlineLevel="0" collapsed="false">
      <c r="A10" s="20" t="s">
        <v>283</v>
      </c>
      <c r="B10" s="20" t="s">
        <v>284</v>
      </c>
      <c r="C10" s="20" t="s">
        <v>613</v>
      </c>
      <c r="D10" s="20" t="s">
        <v>614</v>
      </c>
      <c r="E10" s="34" t="n">
        <v>30</v>
      </c>
      <c r="F10" s="34" t="n">
        <v>28</v>
      </c>
      <c r="G10" s="34" t="n">
        <v>28</v>
      </c>
      <c r="H10" s="34"/>
      <c r="I10" s="34" t="n">
        <v>2</v>
      </c>
      <c r="J10" s="34"/>
      <c r="K10" s="34"/>
      <c r="L10" s="34"/>
      <c r="M10" s="20" t="s">
        <v>615</v>
      </c>
    </row>
    <row r="11" customFormat="false" ht="15" hidden="false" customHeight="false" outlineLevel="0" collapsed="false">
      <c r="A11" s="20" t="s">
        <v>318</v>
      </c>
      <c r="B11" s="20" t="s">
        <v>284</v>
      </c>
      <c r="C11" s="20" t="s">
        <v>616</v>
      </c>
      <c r="D11" s="20" t="s">
        <v>520</v>
      </c>
      <c r="E11" s="34" t="n">
        <v>84</v>
      </c>
      <c r="F11" s="34" t="n">
        <v>86</v>
      </c>
      <c r="G11" s="34" t="n">
        <v>84</v>
      </c>
      <c r="H11" s="34"/>
      <c r="I11" s="34" t="n">
        <v>2</v>
      </c>
      <c r="J11" s="34"/>
      <c r="K11" s="34"/>
      <c r="L11" s="34"/>
      <c r="M11" s="20" t="s">
        <v>610</v>
      </c>
    </row>
    <row r="12" customFormat="false" ht="15" hidden="false" customHeight="false" outlineLevel="0" collapsed="false">
      <c r="A12" s="20" t="s">
        <v>318</v>
      </c>
      <c r="B12" s="20" t="s">
        <v>284</v>
      </c>
      <c r="C12" s="20" t="s">
        <v>617</v>
      </c>
      <c r="D12" s="20" t="s">
        <v>618</v>
      </c>
      <c r="E12" s="34" t="n">
        <v>12</v>
      </c>
      <c r="F12" s="34" t="n">
        <v>10</v>
      </c>
      <c r="G12" s="34" t="n">
        <v>13</v>
      </c>
      <c r="H12" s="34"/>
      <c r="I12" s="34"/>
      <c r="J12" s="34"/>
      <c r="K12" s="34"/>
      <c r="L12" s="34"/>
      <c r="M12" s="20" t="s">
        <v>610</v>
      </c>
    </row>
    <row r="13" customFormat="false" ht="15" hidden="false" customHeight="false" outlineLevel="0" collapsed="false">
      <c r="A13" s="20" t="s">
        <v>318</v>
      </c>
      <c r="B13" s="20" t="s">
        <v>284</v>
      </c>
      <c r="C13" s="20" t="s">
        <v>619</v>
      </c>
      <c r="D13" s="20" t="s">
        <v>620</v>
      </c>
      <c r="E13" s="34" t="n">
        <v>6</v>
      </c>
      <c r="F13" s="34" t="n">
        <v>6</v>
      </c>
      <c r="G13" s="34" t="n">
        <v>5</v>
      </c>
      <c r="H13" s="34"/>
      <c r="I13" s="34"/>
      <c r="J13" s="34"/>
      <c r="K13" s="34"/>
      <c r="L13" s="34"/>
      <c r="M13" s="20" t="s">
        <v>610</v>
      </c>
    </row>
    <row r="14" customFormat="false" ht="15" hidden="false" customHeight="false" outlineLevel="0" collapsed="false">
      <c r="A14" s="20" t="s">
        <v>342</v>
      </c>
      <c r="B14" s="20" t="s">
        <v>343</v>
      </c>
      <c r="C14" s="20" t="s">
        <v>621</v>
      </c>
      <c r="D14" s="20" t="s">
        <v>622</v>
      </c>
      <c r="E14" s="34" t="n">
        <v>34</v>
      </c>
      <c r="F14" s="34" t="n">
        <v>34</v>
      </c>
      <c r="G14" s="34" t="n">
        <v>34</v>
      </c>
      <c r="H14" s="34"/>
      <c r="I14" s="34" t="n">
        <v>2</v>
      </c>
      <c r="J14" s="34"/>
      <c r="K14" s="34"/>
      <c r="L14" s="34"/>
      <c r="M14" s="20" t="s">
        <v>623</v>
      </c>
    </row>
    <row r="15" customFormat="false" ht="15" hidden="false" customHeight="false" outlineLevel="0" collapsed="false">
      <c r="A15" s="20" t="s">
        <v>352</v>
      </c>
      <c r="B15" s="20" t="s">
        <v>343</v>
      </c>
      <c r="C15" s="20" t="s">
        <v>624</v>
      </c>
      <c r="D15" s="20" t="s">
        <v>625</v>
      </c>
      <c r="E15" s="34"/>
      <c r="F15" s="34"/>
      <c r="G15" s="34"/>
      <c r="H15" s="34"/>
      <c r="I15" s="34"/>
      <c r="J15" s="34" t="n">
        <v>7</v>
      </c>
      <c r="K15" s="34"/>
      <c r="L15" s="34"/>
      <c r="M15" s="20" t="s">
        <v>626</v>
      </c>
    </row>
    <row r="16" customFormat="false" ht="15" hidden="false" customHeight="false" outlineLevel="0" collapsed="false">
      <c r="A16" s="20" t="s">
        <v>352</v>
      </c>
      <c r="B16" s="20" t="s">
        <v>343</v>
      </c>
      <c r="C16" s="20" t="s">
        <v>627</v>
      </c>
      <c r="D16" s="20" t="s">
        <v>628</v>
      </c>
      <c r="E16" s="34" t="n">
        <v>5</v>
      </c>
      <c r="F16" s="34" t="n">
        <v>4</v>
      </c>
      <c r="G16" s="34" t="n">
        <v>8</v>
      </c>
      <c r="H16" s="34"/>
      <c r="I16" s="34" t="n">
        <v>1</v>
      </c>
      <c r="J16" s="34"/>
      <c r="K16" s="34"/>
      <c r="L16" s="34"/>
      <c r="M16" s="20" t="s">
        <v>629</v>
      </c>
    </row>
    <row r="17" customFormat="false" ht="15" hidden="false" customHeight="false" outlineLevel="0" collapsed="false">
      <c r="A17" s="20" t="s">
        <v>352</v>
      </c>
      <c r="B17" s="20" t="s">
        <v>343</v>
      </c>
      <c r="C17" s="20" t="s">
        <v>630</v>
      </c>
      <c r="D17" s="20" t="s">
        <v>631</v>
      </c>
      <c r="E17" s="34" t="n">
        <v>5</v>
      </c>
      <c r="F17" s="34" t="n">
        <v>4</v>
      </c>
      <c r="G17" s="34" t="n">
        <v>4</v>
      </c>
      <c r="H17" s="34"/>
      <c r="I17" s="34"/>
      <c r="J17" s="34"/>
      <c r="K17" s="34"/>
      <c r="L17" s="34" t="n">
        <v>1</v>
      </c>
      <c r="M17" s="20" t="s">
        <v>632</v>
      </c>
    </row>
    <row r="18" customFormat="false" ht="15" hidden="false" customHeight="false" outlineLevel="0" collapsed="false">
      <c r="A18" s="20" t="s">
        <v>376</v>
      </c>
      <c r="B18" s="20" t="s">
        <v>343</v>
      </c>
      <c r="C18" s="20" t="s">
        <v>633</v>
      </c>
      <c r="D18" s="20" t="s">
        <v>634</v>
      </c>
      <c r="E18" s="34" t="n">
        <v>12</v>
      </c>
      <c r="F18" s="34" t="n">
        <v>13</v>
      </c>
      <c r="G18" s="34" t="n">
        <v>10</v>
      </c>
      <c r="H18" s="34"/>
      <c r="I18" s="34" t="n">
        <v>4</v>
      </c>
      <c r="J18" s="34"/>
      <c r="K18" s="34"/>
      <c r="L18" s="34"/>
      <c r="M18" s="20" t="s">
        <v>635</v>
      </c>
    </row>
    <row r="19" customFormat="false" ht="15" hidden="false" customHeight="false" outlineLevel="0" collapsed="false">
      <c r="A19" s="20" t="s">
        <v>376</v>
      </c>
      <c r="B19" s="20" t="s">
        <v>343</v>
      </c>
      <c r="C19" s="20" t="s">
        <v>636</v>
      </c>
      <c r="D19" s="20" t="s">
        <v>637</v>
      </c>
      <c r="E19" s="34" t="n">
        <v>31</v>
      </c>
      <c r="F19" s="34" t="n">
        <v>27</v>
      </c>
      <c r="G19" s="34" t="n">
        <v>28</v>
      </c>
      <c r="H19" s="34"/>
      <c r="I19" s="34" t="n">
        <v>2</v>
      </c>
      <c r="J19" s="34"/>
      <c r="K19" s="34"/>
      <c r="L19" s="34"/>
      <c r="M19" s="20" t="s">
        <v>638</v>
      </c>
    </row>
    <row r="20" customFormat="false" ht="15" hidden="false" customHeight="false" outlineLevel="0" collapsed="false">
      <c r="A20" s="20" t="s">
        <v>376</v>
      </c>
      <c r="B20" s="20" t="s">
        <v>343</v>
      </c>
      <c r="C20" s="20" t="s">
        <v>639</v>
      </c>
      <c r="D20" s="20" t="s">
        <v>640</v>
      </c>
      <c r="E20" s="34" t="n">
        <v>38</v>
      </c>
      <c r="F20" s="34" t="n">
        <v>39</v>
      </c>
      <c r="G20" s="34" t="n">
        <v>37</v>
      </c>
      <c r="H20" s="34"/>
      <c r="I20" s="34" t="n">
        <v>2</v>
      </c>
      <c r="J20" s="34"/>
      <c r="K20" s="34"/>
      <c r="L20" s="34"/>
      <c r="M20" s="20" t="s">
        <v>641</v>
      </c>
    </row>
    <row r="21" customFormat="false" ht="15" hidden="false" customHeight="false" outlineLevel="0" collapsed="false">
      <c r="A21" s="20" t="s">
        <v>376</v>
      </c>
      <c r="B21" s="20" t="s">
        <v>343</v>
      </c>
      <c r="C21" s="20" t="s">
        <v>642</v>
      </c>
      <c r="D21" s="20" t="s">
        <v>643</v>
      </c>
      <c r="E21" s="34"/>
      <c r="F21" s="34" t="n">
        <v>19</v>
      </c>
      <c r="G21" s="34"/>
      <c r="H21" s="34"/>
      <c r="I21" s="34"/>
      <c r="J21" s="34"/>
      <c r="K21" s="34" t="n">
        <v>19</v>
      </c>
      <c r="L21" s="34"/>
      <c r="M21" s="20" t="s">
        <v>644</v>
      </c>
    </row>
    <row r="22" customFormat="false" ht="15" hidden="false" customHeight="false" outlineLevel="0" collapsed="false">
      <c r="A22" s="20" t="s">
        <v>397</v>
      </c>
      <c r="B22" s="20" t="s">
        <v>343</v>
      </c>
      <c r="C22" s="20" t="s">
        <v>645</v>
      </c>
      <c r="D22" s="20" t="s">
        <v>646</v>
      </c>
      <c r="E22" s="34" t="n">
        <v>59</v>
      </c>
      <c r="F22" s="34" t="n">
        <v>53</v>
      </c>
      <c r="G22" s="34" t="n">
        <v>53</v>
      </c>
      <c r="H22" s="34"/>
      <c r="I22" s="34" t="n">
        <v>2</v>
      </c>
      <c r="J22" s="34"/>
      <c r="K22" s="34"/>
      <c r="L22" s="34"/>
      <c r="M22" s="20" t="s">
        <v>647</v>
      </c>
    </row>
    <row r="23" customFormat="false" ht="15" hidden="false" customHeight="false" outlineLevel="0" collapsed="false">
      <c r="A23" s="20" t="s">
        <v>397</v>
      </c>
      <c r="B23" s="20" t="s">
        <v>343</v>
      </c>
      <c r="C23" s="20" t="s">
        <v>648</v>
      </c>
      <c r="D23" s="20" t="s">
        <v>649</v>
      </c>
      <c r="E23" s="34" t="n">
        <v>4</v>
      </c>
      <c r="F23" s="34"/>
      <c r="G23" s="34"/>
      <c r="H23" s="34"/>
      <c r="I23" s="34"/>
      <c r="J23" s="34"/>
      <c r="K23" s="34"/>
      <c r="L23" s="34"/>
      <c r="M23" s="20" t="s">
        <v>650</v>
      </c>
    </row>
    <row r="24" customFormat="false" ht="15" hidden="false" customHeight="false" outlineLevel="0" collapsed="false">
      <c r="A24" s="20" t="s">
        <v>397</v>
      </c>
      <c r="B24" s="20" t="s">
        <v>343</v>
      </c>
      <c r="C24" s="20" t="s">
        <v>651</v>
      </c>
      <c r="D24" s="20" t="s">
        <v>652</v>
      </c>
      <c r="E24" s="34"/>
      <c r="F24" s="34"/>
      <c r="G24" s="34"/>
      <c r="H24" s="34"/>
      <c r="I24" s="34"/>
      <c r="J24" s="34" t="n">
        <v>1</v>
      </c>
      <c r="K24" s="34" t="n">
        <v>16</v>
      </c>
      <c r="L24" s="34"/>
      <c r="M24" s="20" t="s">
        <v>653</v>
      </c>
    </row>
    <row r="25" customFormat="false" ht="15" hidden="false" customHeight="false" outlineLevel="0" collapsed="false">
      <c r="A25" s="20" t="s">
        <v>397</v>
      </c>
      <c r="B25" s="20" t="s">
        <v>343</v>
      </c>
      <c r="C25" s="20" t="s">
        <v>654</v>
      </c>
      <c r="D25" s="20" t="s">
        <v>655</v>
      </c>
      <c r="E25" s="34" t="n">
        <v>2</v>
      </c>
      <c r="F25" s="34"/>
      <c r="G25" s="34"/>
      <c r="H25" s="34"/>
      <c r="I25" s="34"/>
      <c r="J25" s="34"/>
      <c r="K25" s="34"/>
      <c r="L25" s="34"/>
      <c r="M25" s="20" t="s">
        <v>656</v>
      </c>
    </row>
    <row r="26" customFormat="false" ht="15" hidden="false" customHeight="false" outlineLevel="0" collapsed="false">
      <c r="A26" s="20" t="s">
        <v>397</v>
      </c>
      <c r="B26" s="20" t="s">
        <v>343</v>
      </c>
      <c r="C26" s="20" t="s">
        <v>657</v>
      </c>
      <c r="D26" s="20" t="s">
        <v>658</v>
      </c>
      <c r="E26" s="34" t="n">
        <v>4</v>
      </c>
      <c r="F26" s="34" t="n">
        <v>3</v>
      </c>
      <c r="G26" s="34" t="n">
        <v>3</v>
      </c>
      <c r="H26" s="34"/>
      <c r="I26" s="34"/>
      <c r="J26" s="34" t="n">
        <v>15</v>
      </c>
      <c r="K26" s="34"/>
      <c r="L26" s="34"/>
      <c r="M26" s="20" t="s">
        <v>659</v>
      </c>
    </row>
    <row r="27" customFormat="false" ht="15" hidden="false" customHeight="false" outlineLevel="0" collapsed="false">
      <c r="A27" s="20" t="s">
        <v>397</v>
      </c>
      <c r="B27" s="20" t="s">
        <v>343</v>
      </c>
      <c r="C27" s="20" t="s">
        <v>660</v>
      </c>
      <c r="D27" s="20" t="s">
        <v>661</v>
      </c>
      <c r="E27" s="34" t="n">
        <v>4</v>
      </c>
      <c r="F27" s="34" t="n">
        <v>2</v>
      </c>
      <c r="G27" s="34" t="n">
        <v>6</v>
      </c>
      <c r="H27" s="34"/>
      <c r="I27" s="34" t="n">
        <v>2</v>
      </c>
      <c r="J27" s="34" t="n">
        <v>22</v>
      </c>
      <c r="K27" s="34"/>
      <c r="L27" s="34"/>
      <c r="M27" s="20" t="s">
        <v>662</v>
      </c>
    </row>
    <row r="28" customFormat="false" ht="15" hidden="false" customHeight="false" outlineLevel="0" collapsed="false">
      <c r="A28" s="20" t="s">
        <v>397</v>
      </c>
      <c r="B28" s="20" t="s">
        <v>343</v>
      </c>
      <c r="C28" s="20" t="s">
        <v>663</v>
      </c>
      <c r="D28" s="20" t="s">
        <v>664</v>
      </c>
      <c r="E28" s="34" t="n">
        <v>1</v>
      </c>
      <c r="F28" s="34"/>
      <c r="G28" s="34"/>
      <c r="H28" s="34"/>
      <c r="I28" s="34"/>
      <c r="J28" s="34"/>
      <c r="K28" s="34"/>
      <c r="L28" s="34"/>
      <c r="M28" s="20" t="s">
        <v>665</v>
      </c>
    </row>
    <row r="29" customFormat="false" ht="15" hidden="false" customHeight="false" outlineLevel="0" collapsed="false">
      <c r="D29" s="32" t="s">
        <v>593</v>
      </c>
      <c r="E29" s="35" t="n">
        <f aca="false">SUM(E4:E28)</f>
        <v>476</v>
      </c>
      <c r="F29" s="35" t="n">
        <f aca="false">SUM(F4:F28)</f>
        <v>491</v>
      </c>
      <c r="G29" s="35" t="n">
        <f aca="false">SUM(G4:G28)</f>
        <v>474</v>
      </c>
      <c r="H29" s="35" t="n">
        <f aca="false">SUM(H4:H28)</f>
        <v>5</v>
      </c>
      <c r="I29" s="35" t="n">
        <f aca="false">SUM(I4:I28)</f>
        <v>19</v>
      </c>
      <c r="J29" s="35" t="n">
        <f aca="false">SUM(J4:J28)</f>
        <v>45</v>
      </c>
      <c r="K29" s="35" t="n">
        <f aca="false">SUM(K4:K28)</f>
        <v>35</v>
      </c>
      <c r="L29" s="35" t="n">
        <f aca="false">SUM(L4:L28)</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2026-10-24T04:52:23Z</dcterms:created>
  <dc:creator>openpyxl</dc:creator>
  <dc:description/>
  <dc:language>en-US</dc:language>
  <cp:lastModifiedBy/>
  <dcterms:modified xsi:type="dcterms:W3CDTF">2026-10-24T04:52:23Z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