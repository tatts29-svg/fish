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ry unit" sheetId="1" state="visible" r:id="rId1"/>
    <sheet xmlns:r="http://schemas.openxmlformats.org/officeDocument/2006/relationships" name="By reference" sheetId="2" state="visible" r:id="rId2"/>
    <sheet xmlns:r="http://schemas.openxmlformats.org/officeDocument/2006/relationships" name="Not on the record" sheetId="3" state="visible" r:id="rId3"/>
    <sheet xmlns:r="http://schemas.openxmlformats.org/officeDocument/2006/relationships" name="Paperwork differences" sheetId="4" state="visible" r:id="rId4"/>
    <sheet xmlns:r="http://schemas.openxmlformats.org/officeDocument/2006/relationships" name="Notes" sheetId="5" state="visible" r:id="rId5"/>
  </sheets>
  <definedNames>
    <definedName name="_xlnm._FilterDatabase" localSheetId="0" hidden="1">'Every unit'!$A$1:$O$258</definedName>
    <definedName name="_xlnm._FilterDatabase" localSheetId="1" hidden="1">'By reference'!$A$1:$J$75</definedName>
    <definedName name="_xlnm._FilterDatabase" localSheetId="2" hidden="1">'Not on the record'!$A$1:$G$10</definedName>
    <definedName name="_xlnm._FilterDatabase" localSheetId="3" hidden="1">'Paperwork differences'!$A$1:$D$9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color rgb="001D4ED8"/>
      <u val="single"/>
    </font>
    <font>
      <b val="1"/>
      <color rgb="00FFFFFF"/>
    </font>
    <font>
      <b val="1"/>
    </font>
    <font>
      <b val="1"/>
      <sz val="14"/>
    </font>
  </fonts>
  <fills count="4">
    <fill>
      <patternFill/>
    </fill>
    <fill>
      <patternFill patternType="gray125"/>
    </fill>
    <fill>
      <patternFill patternType="solid">
        <fgColor rgb="001F2937"/>
      </patternFill>
    </fill>
    <fill>
      <patternFill patternType="solid">
        <f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2" fillId="2" borderId="1" applyAlignment="1" pivotButton="0" quotePrefix="0" xfId="0">
      <alignment vertical="center" wrapText="1"/>
    </xf>
    <xf numFmtId="0" fontId="0" fillId="3" borderId="1" pivotButton="0" quotePrefix="0" xfId="0"/>
    <xf numFmtId="49" fontId="0" fillId="3" borderId="1" pivotButton="0" quotePrefix="0" xfId="0"/>
    <xf numFmtId="0" fontId="1" fillId="3" borderId="1" pivotButton="0" quotePrefix="0" xfId="0"/>
    <xf numFmtId="0" fontId="0" fillId="0" borderId="1" pivotButton="0" quotePrefix="0" xfId="0"/>
    <xf numFmtId="49" fontId="0" fillId="0" borderId="1" pivotButton="0" quotePrefix="0" xfId="0"/>
    <xf numFmtId="0" fontId="1" fillId="0" borderId="1" pivotButton="0" quotePrefix="0" xfId="0"/>
    <xf numFmtId="0" fontId="0" fillId="0" borderId="1" applyAlignment="1" pivotButton="0" quotePrefix="0" xfId="0">
      <alignment vertical="top"/>
    </xf>
    <xf numFmtId="0" fontId="0" fillId="0" borderId="1" applyAlignment="1" pivotButton="0" quotePrefix="0" xfId="0">
      <alignment vertical="top" wrapText="1"/>
    </xf>
    <xf numFmtId="0" fontId="3" fillId="0" borderId="0" pivotButton="0" quotePrefix="0" xfId="0"/>
    <xf numFmtId="0" fontId="4"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12" customWidth="1" min="3" max="3"/>
    <col width="24" customWidth="1" min="4" max="4"/>
    <col width="34" customWidth="1" min="5" max="5"/>
    <col width="17" customWidth="1" min="6" max="6"/>
    <col width="9" customWidth="1" min="7" max="7"/>
    <col width="24" customWidth="1" min="8" max="8"/>
    <col width="40" customWidth="1" min="9" max="9"/>
    <col width="11" customWidth="1" min="10" max="10"/>
    <col width="30" customWidth="1" min="11" max="11"/>
    <col width="11" customWidth="1" min="12" max="12"/>
    <col width="10" customWidth="1" min="13" max="13"/>
    <col width="11" customWidth="1" min="14" max="14"/>
    <col width="11" customWidth="1" min="15" max="15"/>
  </cols>
  <sheetData>
    <row r="1" ht="30" customHeight="1">
      <c r="A1" s="1" t="inlineStr">
        <is>
          <t>Reference</t>
        </is>
      </c>
      <c r="B1" s="1" t="inlineStr">
        <is>
          <t>Qty</t>
        </is>
      </c>
      <c r="C1" s="1" t="inlineStr">
        <is>
          <t>Asset No</t>
        </is>
      </c>
      <c r="D1" s="1" t="inlineStr">
        <is>
          <t>Pin location (lat, long)</t>
        </is>
      </c>
      <c r="E1" s="1" t="inlineStr">
        <is>
          <t>Area (drop point)</t>
        </is>
      </c>
      <c r="F1" s="1" t="inlineStr">
        <is>
          <t>Type</t>
        </is>
      </c>
      <c r="G1" s="1" t="inlineStr">
        <is>
          <t>Unit</t>
        </is>
      </c>
      <c r="H1" s="1" t="inlineStr">
        <is>
          <t>Owner</t>
        </is>
      </c>
      <c r="I1" s="1" t="inlineStr">
        <is>
          <t>Location name</t>
        </is>
      </c>
      <c r="J1" s="1" t="inlineStr">
        <is>
          <t>Plan section</t>
        </is>
      </c>
      <c r="K1" s="1" t="inlineStr">
        <is>
          <t>Pin source</t>
        </is>
      </c>
      <c r="L1" s="1" t="inlineStr">
        <is>
          <t>Map</t>
        </is>
      </c>
      <c r="M1" s="1" t="inlineStr">
        <is>
          <t>Status</t>
        </is>
      </c>
      <c r="N1" s="1" t="inlineStr">
        <is>
          <t>Lat</t>
        </is>
      </c>
      <c r="O1" s="1" t="inlineStr">
        <is>
          <t>Long</t>
        </is>
      </c>
    </row>
    <row r="2">
      <c r="A2" s="2" t="inlineStr">
        <is>
          <t>WC01</t>
        </is>
      </c>
      <c r="B2" s="2" t="n">
        <v>1</v>
      </c>
      <c r="C2" s="3" t="inlineStr">
        <is>
          <t>1317644</t>
        </is>
      </c>
      <c r="D2" s="2" t="inlineStr">
        <is>
          <t>-27.983425, 153.425250</t>
        </is>
      </c>
      <c r="E2" s="2" t="inlineStr"/>
      <c r="F2" s="2" t="inlineStr">
        <is>
          <t>Accessible toilet</t>
        </is>
      </c>
      <c r="G2" s="2" t="inlineStr">
        <is>
          <t>1 of 3</t>
        </is>
      </c>
      <c r="H2" s="2" t="inlineStr">
        <is>
          <t>Coates</t>
        </is>
      </c>
      <c r="I2" s="2" t="inlineStr">
        <is>
          <t>Toilets</t>
        </is>
      </c>
      <c r="J2" s="2" t="inlineStr">
        <is>
          <t>S10</t>
        </is>
      </c>
      <c r="K2" s="2" t="inlineStr">
        <is>
          <t>Master plan D001 (not a phone pin)</t>
        </is>
      </c>
      <c r="L2" s="4">
        <f>HYPERLINK("https://www.google.com/maps?q=-27.983425,153.42525","Open map")</f>
        <v/>
      </c>
      <c r="M2" s="2" t="inlineStr">
        <is>
          <t>on site</t>
        </is>
      </c>
      <c r="N2" s="2" t="n">
        <v>-27.983425</v>
      </c>
      <c r="O2" s="2" t="n">
        <v>153.42525</v>
      </c>
    </row>
    <row r="3">
      <c r="A3" s="5" t="inlineStr">
        <is>
          <t>WC01</t>
        </is>
      </c>
      <c r="B3" s="5" t="n">
        <v>1</v>
      </c>
      <c r="C3" s="6" t="inlineStr">
        <is>
          <t>1211958</t>
        </is>
      </c>
      <c r="D3" s="5" t="inlineStr">
        <is>
          <t>-27.983425, 153.425250</t>
        </is>
      </c>
      <c r="E3" s="5" t="inlineStr"/>
      <c r="F3" s="5" t="inlineStr">
        <is>
          <t>FWF</t>
        </is>
      </c>
      <c r="G3" s="5" t="inlineStr">
        <is>
          <t>2 of 3</t>
        </is>
      </c>
      <c r="H3" s="5" t="inlineStr">
        <is>
          <t>Coates</t>
        </is>
      </c>
      <c r="I3" s="5" t="inlineStr">
        <is>
          <t>Toilets</t>
        </is>
      </c>
      <c r="J3" s="5" t="inlineStr">
        <is>
          <t>S10</t>
        </is>
      </c>
      <c r="K3" s="5" t="inlineStr">
        <is>
          <t>Master plan D001 (not a phone pin)</t>
        </is>
      </c>
      <c r="L3" s="7">
        <f>HYPERLINK("https://www.google.com/maps?q=-27.983425,153.42525","Open map")</f>
        <v/>
      </c>
      <c r="M3" s="5" t="inlineStr">
        <is>
          <t>on site</t>
        </is>
      </c>
      <c r="N3" s="5" t="n">
        <v>-27.983425</v>
      </c>
      <c r="O3" s="5" t="n">
        <v>153.42525</v>
      </c>
    </row>
    <row r="4">
      <c r="A4" s="2" t="inlineStr">
        <is>
          <t>WC01</t>
        </is>
      </c>
      <c r="B4" s="2" t="n">
        <v>1</v>
      </c>
      <c r="C4" s="3" t="inlineStr">
        <is>
          <t>1211967</t>
        </is>
      </c>
      <c r="D4" s="2" t="inlineStr">
        <is>
          <t>-27.983425, 153.425250</t>
        </is>
      </c>
      <c r="E4" s="2" t="inlineStr"/>
      <c r="F4" s="2" t="inlineStr">
        <is>
          <t>FWF</t>
        </is>
      </c>
      <c r="G4" s="2" t="inlineStr">
        <is>
          <t>3 of 3</t>
        </is>
      </c>
      <c r="H4" s="2" t="inlineStr">
        <is>
          <t>Coates</t>
        </is>
      </c>
      <c r="I4" s="2" t="inlineStr">
        <is>
          <t>Toilets</t>
        </is>
      </c>
      <c r="J4" s="2" t="inlineStr">
        <is>
          <t>S10</t>
        </is>
      </c>
      <c r="K4" s="2" t="inlineStr">
        <is>
          <t>Master plan D001 (not a phone pin)</t>
        </is>
      </c>
      <c r="L4" s="4">
        <f>HYPERLINK("https://www.google.com/maps?q=-27.983425,153.42525","Open map")</f>
        <v/>
      </c>
      <c r="M4" s="2" t="inlineStr">
        <is>
          <t>on site</t>
        </is>
      </c>
      <c r="N4" s="2" t="n">
        <v>-27.983425</v>
      </c>
      <c r="O4" s="2" t="n">
        <v>153.42525</v>
      </c>
    </row>
    <row r="5">
      <c r="A5" s="5" t="inlineStr">
        <is>
          <t>WC02</t>
        </is>
      </c>
      <c r="B5" s="5" t="n">
        <v>1</v>
      </c>
      <c r="C5" s="6" t="inlineStr">
        <is>
          <t>1058086</t>
        </is>
      </c>
      <c r="D5" s="5" t="inlineStr">
        <is>
          <t>-27.983618, 153.425700</t>
        </is>
      </c>
      <c r="E5" s="5" t="inlineStr">
        <is>
          <t>Island west parkland entry – by the merch strip</t>
        </is>
      </c>
      <c r="F5" s="5" t="inlineStr">
        <is>
          <t>FWF</t>
        </is>
      </c>
      <c r="G5" s="5" t="inlineStr">
        <is>
          <t>1 of 1</t>
        </is>
      </c>
      <c r="H5" s="5" t="inlineStr">
        <is>
          <t>Coates</t>
        </is>
      </c>
      <c r="I5" s="5" t="inlineStr">
        <is>
          <t>Toilet</t>
        </is>
      </c>
      <c r="J5" s="5" t="inlineStr">
        <is>
          <t>S10</t>
        </is>
      </c>
      <c r="K5" s="5" t="inlineStr">
        <is>
          <t>Master plan D001 (not a phone pin)</t>
        </is>
      </c>
      <c r="L5" s="7">
        <f>HYPERLINK("https://www.google.com/maps?q=-27.983618,153.4257","Open map")</f>
        <v/>
      </c>
      <c r="M5" s="5" t="inlineStr">
        <is>
          <t>on site</t>
        </is>
      </c>
      <c r="N5" s="5" t="n">
        <v>-27.983618</v>
      </c>
      <c r="O5" s="5" t="n">
        <v>153.4257</v>
      </c>
    </row>
    <row r="6">
      <c r="A6" s="2" t="inlineStr">
        <is>
          <t>WC04</t>
        </is>
      </c>
      <c r="B6" s="2" t="n">
        <v>1</v>
      </c>
      <c r="C6" s="3" t="inlineStr">
        <is>
          <t>1212502</t>
        </is>
      </c>
      <c r="D6" s="2" t="inlineStr">
        <is>
          <t>-27.983857, 153.426516</t>
        </is>
      </c>
      <c r="E6" s="2" t="inlineStr">
        <is>
          <t>Island west parkland entry – by the merch strip</t>
        </is>
      </c>
      <c r="F6" s="2" t="inlineStr">
        <is>
          <t>FWF</t>
        </is>
      </c>
      <c r="G6" s="2" t="inlineStr">
        <is>
          <t>1 of 1</t>
        </is>
      </c>
      <c r="H6" s="2" t="inlineStr">
        <is>
          <t>Coates</t>
        </is>
      </c>
      <c r="I6" s="2" t="inlineStr">
        <is>
          <t>Toilet - QAS</t>
        </is>
      </c>
      <c r="J6" s="2" t="inlineStr"/>
      <c r="K6" s="2" t="inlineStr">
        <is>
          <t>Master plan D001 (not a phone pin)</t>
        </is>
      </c>
      <c r="L6" s="4">
        <f>HYPERLINK("https://www.google.com/maps?q=-27.983857,153.426516","Open map")</f>
        <v/>
      </c>
      <c r="M6" s="2" t="inlineStr">
        <is>
          <t>on site</t>
        </is>
      </c>
      <c r="N6" s="2" t="n">
        <v>-27.983857</v>
      </c>
      <c r="O6" s="2" t="n">
        <v>153.426516</v>
      </c>
    </row>
    <row r="7">
      <c r="A7" s="5" t="inlineStr">
        <is>
          <t>WC05</t>
        </is>
      </c>
      <c r="B7" s="5" t="n">
        <v>1</v>
      </c>
      <c r="C7" s="6" t="inlineStr">
        <is>
          <t>1097377</t>
        </is>
      </c>
      <c r="D7" s="5" t="inlineStr">
        <is>
          <t>-27.983608, 153.426357</t>
        </is>
      </c>
      <c r="E7" s="5" t="inlineStr">
        <is>
          <t>Island west parkland entry – by the merch strip</t>
        </is>
      </c>
      <c r="F7" s="5" t="inlineStr">
        <is>
          <t>Toilet block 6m</t>
        </is>
      </c>
      <c r="G7" s="5" t="inlineStr">
        <is>
          <t>1 of 1</t>
        </is>
      </c>
      <c r="H7" s="5" t="inlineStr">
        <is>
          <t>Coates</t>
        </is>
      </c>
      <c r="I7" s="5" t="inlineStr">
        <is>
          <t>Event Operations Compound Toilet - Combo Block (Tanked)</t>
        </is>
      </c>
      <c r="J7" s="5" t="inlineStr"/>
      <c r="K7" s="5" t="inlineStr">
        <is>
          <t>Master plan D001 (not a phone pin)</t>
        </is>
      </c>
      <c r="L7" s="7">
        <f>HYPERLINK("https://www.google.com/maps?q=-27.983608,153.426357","Open map")</f>
        <v/>
      </c>
      <c r="M7" s="5" t="inlineStr">
        <is>
          <t>on site</t>
        </is>
      </c>
      <c r="N7" s="5" t="n">
        <v>-27.983608</v>
      </c>
      <c r="O7" s="5" t="n">
        <v>153.426357</v>
      </c>
    </row>
    <row r="8">
      <c r="A8" s="2" t="inlineStr">
        <is>
          <t>WC06</t>
        </is>
      </c>
      <c r="B8" s="2" t="n">
        <v>1</v>
      </c>
      <c r="C8" s="3" t="inlineStr">
        <is>
          <t>1195658</t>
        </is>
      </c>
      <c r="D8" s="2" t="inlineStr">
        <is>
          <t>-27.984699, 153.426532</t>
        </is>
      </c>
      <c r="E8" s="2" t="inlineStr">
        <is>
          <t>Median strip meet-up – pit stop, by FOAM</t>
        </is>
      </c>
      <c r="F8" s="2" t="inlineStr">
        <is>
          <t>FWF</t>
        </is>
      </c>
      <c r="G8" s="2" t="inlineStr">
        <is>
          <t>1 of 2</t>
        </is>
      </c>
      <c r="H8" s="2" t="inlineStr">
        <is>
          <t>Coates</t>
        </is>
      </c>
      <c r="I8" s="2" t="inlineStr">
        <is>
          <t>Toilets - Race Admin</t>
        </is>
      </c>
      <c r="J8" s="2" t="inlineStr">
        <is>
          <t>S11</t>
        </is>
      </c>
      <c r="K8" s="2" t="inlineStr">
        <is>
          <t>Master plan D001 (not a phone pin)</t>
        </is>
      </c>
      <c r="L8" s="4">
        <f>HYPERLINK("https://www.google.com/maps?q=-27.984699,153.426532","Open map")</f>
        <v/>
      </c>
      <c r="M8" s="2" t="inlineStr">
        <is>
          <t>on site</t>
        </is>
      </c>
      <c r="N8" s="2" t="n">
        <v>-27.984699</v>
      </c>
      <c r="O8" s="2" t="n">
        <v>153.426532</v>
      </c>
    </row>
    <row r="9">
      <c r="A9" s="5" t="inlineStr">
        <is>
          <t>WC06</t>
        </is>
      </c>
      <c r="B9" s="5" t="n">
        <v>1</v>
      </c>
      <c r="C9" s="6" t="inlineStr">
        <is>
          <t>1212523</t>
        </is>
      </c>
      <c r="D9" s="5" t="inlineStr">
        <is>
          <t>-27.984699, 153.426532</t>
        </is>
      </c>
      <c r="E9" s="5" t="inlineStr">
        <is>
          <t>Median strip meet-up – pit stop, by FOAM</t>
        </is>
      </c>
      <c r="F9" s="5" t="inlineStr">
        <is>
          <t>FWF</t>
        </is>
      </c>
      <c r="G9" s="5" t="inlineStr">
        <is>
          <t>2 of 2</t>
        </is>
      </c>
      <c r="H9" s="5" t="inlineStr">
        <is>
          <t>Coates</t>
        </is>
      </c>
      <c r="I9" s="5" t="inlineStr">
        <is>
          <t>Toilets - Race Admin</t>
        </is>
      </c>
      <c r="J9" s="5" t="inlineStr">
        <is>
          <t>S11</t>
        </is>
      </c>
      <c r="K9" s="5" t="inlineStr">
        <is>
          <t>Master plan D001 (not a phone pin)</t>
        </is>
      </c>
      <c r="L9" s="7">
        <f>HYPERLINK("https://www.google.com/maps?q=-27.984699,153.426532","Open map")</f>
        <v/>
      </c>
      <c r="M9" s="5" t="inlineStr">
        <is>
          <t>on site</t>
        </is>
      </c>
      <c r="N9" s="5" t="n">
        <v>-27.984699</v>
      </c>
      <c r="O9" s="5" t="n">
        <v>153.426532</v>
      </c>
    </row>
    <row r="10">
      <c r="A10" s="2" t="inlineStr">
        <is>
          <t>WC07</t>
        </is>
      </c>
      <c r="B10" s="2" t="n">
        <v>1</v>
      </c>
      <c r="C10" s="3" t="inlineStr">
        <is>
          <t>1181004</t>
        </is>
      </c>
      <c r="D10" s="2" t="inlineStr">
        <is>
          <t>-27.984455, 153.426897</t>
        </is>
      </c>
      <c r="E10" s="2" t="inlineStr">
        <is>
          <t>Median strip meet-up – pit stop, by FOAM</t>
        </is>
      </c>
      <c r="F10" s="2" t="inlineStr">
        <is>
          <t>FWF</t>
        </is>
      </c>
      <c r="G10" s="2" t="inlineStr">
        <is>
          <t>1 of 20</t>
        </is>
      </c>
      <c r="H10" s="2" t="inlineStr">
        <is>
          <t>Coates</t>
        </is>
      </c>
      <c r="I10" s="2" t="inlineStr">
        <is>
          <t>Toilets - Merch Area</t>
        </is>
      </c>
      <c r="J10" s="2" t="inlineStr">
        <is>
          <t>S11</t>
        </is>
      </c>
      <c r="K10" s="2" t="inlineStr">
        <is>
          <t>Master plan D001 (not a phone pin)</t>
        </is>
      </c>
      <c r="L10" s="4">
        <f>HYPERLINK("https://www.google.com/maps?q=-27.984455,153.426897","Open map")</f>
        <v/>
      </c>
      <c r="M10" s="2" t="inlineStr">
        <is>
          <t>on site</t>
        </is>
      </c>
      <c r="N10" s="2" t="n">
        <v>-27.984455</v>
      </c>
      <c r="O10" s="2" t="n">
        <v>153.426897</v>
      </c>
    </row>
    <row r="11">
      <c r="A11" s="5" t="inlineStr">
        <is>
          <t>WC07</t>
        </is>
      </c>
      <c r="B11" s="5" t="n">
        <v>1</v>
      </c>
      <c r="C11" s="6" t="inlineStr">
        <is>
          <t>1002538</t>
        </is>
      </c>
      <c r="D11" s="5" t="inlineStr">
        <is>
          <t>-27.984455, 153.426897</t>
        </is>
      </c>
      <c r="E11" s="5" t="inlineStr">
        <is>
          <t>Median strip meet-up – pit stop, by FOAM</t>
        </is>
      </c>
      <c r="F11" s="5" t="inlineStr">
        <is>
          <t>FWF</t>
        </is>
      </c>
      <c r="G11" s="5" t="inlineStr">
        <is>
          <t>2 of 20</t>
        </is>
      </c>
      <c r="H11" s="5" t="inlineStr">
        <is>
          <t>Coates</t>
        </is>
      </c>
      <c r="I11" s="5" t="inlineStr">
        <is>
          <t>Toilets - Merch Area</t>
        </is>
      </c>
      <c r="J11" s="5" t="inlineStr">
        <is>
          <t>S11</t>
        </is>
      </c>
      <c r="K11" s="5" t="inlineStr">
        <is>
          <t>Master plan D001 (not a phone pin)</t>
        </is>
      </c>
      <c r="L11" s="7">
        <f>HYPERLINK("https://www.google.com/maps?q=-27.984455,153.426897","Open map")</f>
        <v/>
      </c>
      <c r="M11" s="5" t="inlineStr">
        <is>
          <t>on site</t>
        </is>
      </c>
      <c r="N11" s="5" t="n">
        <v>-27.984455</v>
      </c>
      <c r="O11" s="5" t="n">
        <v>153.426897</v>
      </c>
    </row>
    <row r="12">
      <c r="A12" s="2" t="inlineStr">
        <is>
          <t>WC07</t>
        </is>
      </c>
      <c r="B12" s="2" t="n">
        <v>1</v>
      </c>
      <c r="C12" s="3" t="inlineStr">
        <is>
          <t>1212552</t>
        </is>
      </c>
      <c r="D12" s="2" t="inlineStr">
        <is>
          <t>-27.984455, 153.426897</t>
        </is>
      </c>
      <c r="E12" s="2" t="inlineStr">
        <is>
          <t>Median strip meet-up – pit stop, by FOAM</t>
        </is>
      </c>
      <c r="F12" s="2" t="inlineStr">
        <is>
          <t>FWF</t>
        </is>
      </c>
      <c r="G12" s="2" t="inlineStr">
        <is>
          <t>3 of 20</t>
        </is>
      </c>
      <c r="H12" s="2" t="inlineStr">
        <is>
          <t>Coates</t>
        </is>
      </c>
      <c r="I12" s="2" t="inlineStr">
        <is>
          <t>Toilets - Merch Area</t>
        </is>
      </c>
      <c r="J12" s="2" t="inlineStr">
        <is>
          <t>S11</t>
        </is>
      </c>
      <c r="K12" s="2" t="inlineStr">
        <is>
          <t>Master plan D001 (not a phone pin)</t>
        </is>
      </c>
      <c r="L12" s="4">
        <f>HYPERLINK("https://www.google.com/maps?q=-27.984455,153.426897","Open map")</f>
        <v/>
      </c>
      <c r="M12" s="2" t="inlineStr">
        <is>
          <t>on site</t>
        </is>
      </c>
      <c r="N12" s="2" t="n">
        <v>-27.984455</v>
      </c>
      <c r="O12" s="2" t="n">
        <v>153.426897</v>
      </c>
    </row>
    <row r="13">
      <c r="A13" s="5" t="inlineStr">
        <is>
          <t>WC07</t>
        </is>
      </c>
      <c r="B13" s="5" t="n">
        <v>1</v>
      </c>
      <c r="C13" s="6" t="inlineStr">
        <is>
          <t>1002566</t>
        </is>
      </c>
      <c r="D13" s="5" t="inlineStr">
        <is>
          <t>-27.984455, 153.426897</t>
        </is>
      </c>
      <c r="E13" s="5" t="inlineStr">
        <is>
          <t>Median strip meet-up – pit stop, by FOAM</t>
        </is>
      </c>
      <c r="F13" s="5" t="inlineStr">
        <is>
          <t>FWF</t>
        </is>
      </c>
      <c r="G13" s="5" t="inlineStr">
        <is>
          <t>4 of 20</t>
        </is>
      </c>
      <c r="H13" s="5" t="inlineStr">
        <is>
          <t>Coates</t>
        </is>
      </c>
      <c r="I13" s="5" t="inlineStr">
        <is>
          <t>Toilets - Merch Area</t>
        </is>
      </c>
      <c r="J13" s="5" t="inlineStr">
        <is>
          <t>S11</t>
        </is>
      </c>
      <c r="K13" s="5" t="inlineStr">
        <is>
          <t>Master plan D001 (not a phone pin)</t>
        </is>
      </c>
      <c r="L13" s="7">
        <f>HYPERLINK("https://www.google.com/maps?q=-27.984455,153.426897","Open map")</f>
        <v/>
      </c>
      <c r="M13" s="5" t="inlineStr">
        <is>
          <t>on site</t>
        </is>
      </c>
      <c r="N13" s="5" t="n">
        <v>-27.984455</v>
      </c>
      <c r="O13" s="5" t="n">
        <v>153.426897</v>
      </c>
    </row>
    <row r="14">
      <c r="A14" s="2" t="inlineStr">
        <is>
          <t>WC07</t>
        </is>
      </c>
      <c r="B14" s="2" t="n">
        <v>1</v>
      </c>
      <c r="C14" s="3" t="inlineStr">
        <is>
          <t>1083300</t>
        </is>
      </c>
      <c r="D14" s="2" t="inlineStr">
        <is>
          <t>-27.984455, 153.426897</t>
        </is>
      </c>
      <c r="E14" s="2" t="inlineStr">
        <is>
          <t>Median strip meet-up – pit stop, by FOAM</t>
        </is>
      </c>
      <c r="F14" s="2" t="inlineStr">
        <is>
          <t>FWF</t>
        </is>
      </c>
      <c r="G14" s="2" t="inlineStr">
        <is>
          <t>5 of 20</t>
        </is>
      </c>
      <c r="H14" s="2" t="inlineStr">
        <is>
          <t>Coates</t>
        </is>
      </c>
      <c r="I14" s="2" t="inlineStr">
        <is>
          <t>Toilets - Merch Area</t>
        </is>
      </c>
      <c r="J14" s="2" t="inlineStr">
        <is>
          <t>S11</t>
        </is>
      </c>
      <c r="K14" s="2" t="inlineStr">
        <is>
          <t>Master plan D001 (not a phone pin)</t>
        </is>
      </c>
      <c r="L14" s="4">
        <f>HYPERLINK("https://www.google.com/maps?q=-27.984455,153.426897","Open map")</f>
        <v/>
      </c>
      <c r="M14" s="2" t="inlineStr">
        <is>
          <t>on site</t>
        </is>
      </c>
      <c r="N14" s="2" t="n">
        <v>-27.984455</v>
      </c>
      <c r="O14" s="2" t="n">
        <v>153.426897</v>
      </c>
    </row>
    <row r="15">
      <c r="A15" s="5" t="inlineStr">
        <is>
          <t>WC07</t>
        </is>
      </c>
      <c r="B15" s="5" t="n">
        <v>1</v>
      </c>
      <c r="C15" s="6" t="inlineStr">
        <is>
          <t>1200595</t>
        </is>
      </c>
      <c r="D15" s="5" t="inlineStr">
        <is>
          <t>-27.984455, 153.426897</t>
        </is>
      </c>
      <c r="E15" s="5" t="inlineStr">
        <is>
          <t>Median strip meet-up – pit stop, by FOAM</t>
        </is>
      </c>
      <c r="F15" s="5" t="inlineStr">
        <is>
          <t>FWF</t>
        </is>
      </c>
      <c r="G15" s="5" t="inlineStr">
        <is>
          <t>6 of 20</t>
        </is>
      </c>
      <c r="H15" s="5" t="inlineStr">
        <is>
          <t>Coates</t>
        </is>
      </c>
      <c r="I15" s="5" t="inlineStr">
        <is>
          <t>Toilets - Merch Area</t>
        </is>
      </c>
      <c r="J15" s="5" t="inlineStr">
        <is>
          <t>S11</t>
        </is>
      </c>
      <c r="K15" s="5" t="inlineStr">
        <is>
          <t>Master plan D001 (not a phone pin)</t>
        </is>
      </c>
      <c r="L15" s="7">
        <f>HYPERLINK("https://www.google.com/maps?q=-27.984455,153.426897","Open map")</f>
        <v/>
      </c>
      <c r="M15" s="5" t="inlineStr">
        <is>
          <t>on site</t>
        </is>
      </c>
      <c r="N15" s="5" t="n">
        <v>-27.984455</v>
      </c>
      <c r="O15" s="5" t="n">
        <v>153.426897</v>
      </c>
    </row>
    <row r="16">
      <c r="A16" s="2" t="inlineStr">
        <is>
          <t>WC07</t>
        </is>
      </c>
      <c r="B16" s="2" t="n">
        <v>1</v>
      </c>
      <c r="C16" s="3" t="inlineStr">
        <is>
          <t>1211959</t>
        </is>
      </c>
      <c r="D16" s="2" t="inlineStr">
        <is>
          <t>-27.984455, 153.426897</t>
        </is>
      </c>
      <c r="E16" s="2" t="inlineStr">
        <is>
          <t>Median strip meet-up – pit stop, by FOAM</t>
        </is>
      </c>
      <c r="F16" s="2" t="inlineStr">
        <is>
          <t>FWF</t>
        </is>
      </c>
      <c r="G16" s="2" t="inlineStr">
        <is>
          <t>7 of 20</t>
        </is>
      </c>
      <c r="H16" s="2" t="inlineStr">
        <is>
          <t>Coates</t>
        </is>
      </c>
      <c r="I16" s="2" t="inlineStr">
        <is>
          <t>Toilets - Merch Area</t>
        </is>
      </c>
      <c r="J16" s="2" t="inlineStr">
        <is>
          <t>S11</t>
        </is>
      </c>
      <c r="K16" s="2" t="inlineStr">
        <is>
          <t>Master plan D001 (not a phone pin)</t>
        </is>
      </c>
      <c r="L16" s="4">
        <f>HYPERLINK("https://www.google.com/maps?q=-27.984455,153.426897","Open map")</f>
        <v/>
      </c>
      <c r="M16" s="2" t="inlineStr">
        <is>
          <t>on site</t>
        </is>
      </c>
      <c r="N16" s="2" t="n">
        <v>-27.984455</v>
      </c>
      <c r="O16" s="2" t="n">
        <v>153.426897</v>
      </c>
    </row>
    <row r="17">
      <c r="A17" s="5" t="inlineStr">
        <is>
          <t>WC07</t>
        </is>
      </c>
      <c r="B17" s="5" t="n">
        <v>1</v>
      </c>
      <c r="C17" s="6" t="inlineStr">
        <is>
          <t>1002715</t>
        </is>
      </c>
      <c r="D17" s="5" t="inlineStr">
        <is>
          <t>-27.984455, 153.426897</t>
        </is>
      </c>
      <c r="E17" s="5" t="inlineStr">
        <is>
          <t>Median strip meet-up – pit stop, by FOAM</t>
        </is>
      </c>
      <c r="F17" s="5" t="inlineStr">
        <is>
          <t>FWF</t>
        </is>
      </c>
      <c r="G17" s="5" t="inlineStr">
        <is>
          <t>8 of 20</t>
        </is>
      </c>
      <c r="H17" s="5" t="inlineStr">
        <is>
          <t>Coates</t>
        </is>
      </c>
      <c r="I17" s="5" t="inlineStr">
        <is>
          <t>Toilets - Merch Area</t>
        </is>
      </c>
      <c r="J17" s="5" t="inlineStr">
        <is>
          <t>S11</t>
        </is>
      </c>
      <c r="K17" s="5" t="inlineStr">
        <is>
          <t>Master plan D001 (not a phone pin)</t>
        </is>
      </c>
      <c r="L17" s="7">
        <f>HYPERLINK("https://www.google.com/maps?q=-27.984455,153.426897","Open map")</f>
        <v/>
      </c>
      <c r="M17" s="5" t="inlineStr">
        <is>
          <t>on site</t>
        </is>
      </c>
      <c r="N17" s="5" t="n">
        <v>-27.984455</v>
      </c>
      <c r="O17" s="5" t="n">
        <v>153.426897</v>
      </c>
    </row>
    <row r="18">
      <c r="A18" s="2" t="inlineStr">
        <is>
          <t>WC07</t>
        </is>
      </c>
      <c r="B18" s="2" t="n">
        <v>1</v>
      </c>
      <c r="C18" s="3" t="inlineStr">
        <is>
          <t>1192643</t>
        </is>
      </c>
      <c r="D18" s="2" t="inlineStr">
        <is>
          <t>-27.984455, 153.426897</t>
        </is>
      </c>
      <c r="E18" s="2" t="inlineStr">
        <is>
          <t>Median strip meet-up – pit stop, by FOAM</t>
        </is>
      </c>
      <c r="F18" s="2" t="inlineStr">
        <is>
          <t>FWF</t>
        </is>
      </c>
      <c r="G18" s="2" t="inlineStr">
        <is>
          <t>9 of 20</t>
        </is>
      </c>
      <c r="H18" s="2" t="inlineStr">
        <is>
          <t>Coates</t>
        </is>
      </c>
      <c r="I18" s="2" t="inlineStr">
        <is>
          <t>Toilets - Merch Area</t>
        </is>
      </c>
      <c r="J18" s="2" t="inlineStr">
        <is>
          <t>S11</t>
        </is>
      </c>
      <c r="K18" s="2" t="inlineStr">
        <is>
          <t>Master plan D001 (not a phone pin)</t>
        </is>
      </c>
      <c r="L18" s="4">
        <f>HYPERLINK("https://www.google.com/maps?q=-27.984455,153.426897","Open map")</f>
        <v/>
      </c>
      <c r="M18" s="2" t="inlineStr">
        <is>
          <t>on site</t>
        </is>
      </c>
      <c r="N18" s="2" t="n">
        <v>-27.984455</v>
      </c>
      <c r="O18" s="2" t="n">
        <v>153.426897</v>
      </c>
    </row>
    <row r="19">
      <c r="A19" s="5" t="inlineStr">
        <is>
          <t>WC07</t>
        </is>
      </c>
      <c r="B19" s="5" t="n">
        <v>1</v>
      </c>
      <c r="C19" s="6" t="inlineStr">
        <is>
          <t>1002651</t>
        </is>
      </c>
      <c r="D19" s="5" t="inlineStr">
        <is>
          <t>-27.984455, 153.426897</t>
        </is>
      </c>
      <c r="E19" s="5" t="inlineStr">
        <is>
          <t>Median strip meet-up – pit stop, by FOAM</t>
        </is>
      </c>
      <c r="F19" s="5" t="inlineStr">
        <is>
          <t>FWF</t>
        </is>
      </c>
      <c r="G19" s="5" t="inlineStr">
        <is>
          <t>10 of 20</t>
        </is>
      </c>
      <c r="H19" s="5" t="inlineStr">
        <is>
          <t>Coates</t>
        </is>
      </c>
      <c r="I19" s="5" t="inlineStr">
        <is>
          <t>Toilets - Merch Area</t>
        </is>
      </c>
      <c r="J19" s="5" t="inlineStr">
        <is>
          <t>S11</t>
        </is>
      </c>
      <c r="K19" s="5" t="inlineStr">
        <is>
          <t>Master plan D001 (not a phone pin)</t>
        </is>
      </c>
      <c r="L19" s="7">
        <f>HYPERLINK("https://www.google.com/maps?q=-27.984455,153.426897","Open map")</f>
        <v/>
      </c>
      <c r="M19" s="5" t="inlineStr">
        <is>
          <t>on site</t>
        </is>
      </c>
      <c r="N19" s="5" t="n">
        <v>-27.984455</v>
      </c>
      <c r="O19" s="5" t="n">
        <v>153.426897</v>
      </c>
    </row>
    <row r="20">
      <c r="A20" s="2" t="inlineStr">
        <is>
          <t>WC07</t>
        </is>
      </c>
      <c r="B20" s="2" t="n">
        <v>1</v>
      </c>
      <c r="C20" s="3" t="inlineStr">
        <is>
          <t>1317649</t>
        </is>
      </c>
      <c r="D20" s="2" t="inlineStr">
        <is>
          <t>-27.984455, 153.426897</t>
        </is>
      </c>
      <c r="E20" s="2" t="inlineStr">
        <is>
          <t>Median strip meet-up – pit stop, by FOAM</t>
        </is>
      </c>
      <c r="F20" s="2" t="inlineStr">
        <is>
          <t>FWF</t>
        </is>
      </c>
      <c r="G20" s="2" t="inlineStr">
        <is>
          <t>11 of 20</t>
        </is>
      </c>
      <c r="H20" s="2" t="inlineStr">
        <is>
          <t>Coates</t>
        </is>
      </c>
      <c r="I20" s="2" t="inlineStr">
        <is>
          <t>Toilets - Merch Area</t>
        </is>
      </c>
      <c r="J20" s="2" t="inlineStr">
        <is>
          <t>S11</t>
        </is>
      </c>
      <c r="K20" s="2" t="inlineStr">
        <is>
          <t>Master plan D001 (not a phone pin)</t>
        </is>
      </c>
      <c r="L20" s="4">
        <f>HYPERLINK("https://www.google.com/maps?q=-27.984455,153.426897","Open map")</f>
        <v/>
      </c>
      <c r="M20" s="2" t="inlineStr">
        <is>
          <t>on site</t>
        </is>
      </c>
      <c r="N20" s="2" t="n">
        <v>-27.984455</v>
      </c>
      <c r="O20" s="2" t="n">
        <v>153.426897</v>
      </c>
    </row>
    <row r="21">
      <c r="A21" s="5" t="inlineStr">
        <is>
          <t>WC07</t>
        </is>
      </c>
      <c r="B21" s="5" t="n">
        <v>1</v>
      </c>
      <c r="C21" s="6" t="inlineStr">
        <is>
          <t>1317658</t>
        </is>
      </c>
      <c r="D21" s="5" t="inlineStr">
        <is>
          <t>-27.984455, 153.426897</t>
        </is>
      </c>
      <c r="E21" s="5" t="inlineStr">
        <is>
          <t>Median strip meet-up – pit stop, by FOAM</t>
        </is>
      </c>
      <c r="F21" s="5" t="inlineStr">
        <is>
          <t>FWF</t>
        </is>
      </c>
      <c r="G21" s="5" t="inlineStr">
        <is>
          <t>12 of 20</t>
        </is>
      </c>
      <c r="H21" s="5" t="inlineStr">
        <is>
          <t>Coates</t>
        </is>
      </c>
      <c r="I21" s="5" t="inlineStr">
        <is>
          <t>Toilets - Merch Area</t>
        </is>
      </c>
      <c r="J21" s="5" t="inlineStr">
        <is>
          <t>S11</t>
        </is>
      </c>
      <c r="K21" s="5" t="inlineStr">
        <is>
          <t>Master plan D001 (not a phone pin)</t>
        </is>
      </c>
      <c r="L21" s="7">
        <f>HYPERLINK("https://www.google.com/maps?q=-27.984455,153.426897","Open map")</f>
        <v/>
      </c>
      <c r="M21" s="5" t="inlineStr">
        <is>
          <t>on site</t>
        </is>
      </c>
      <c r="N21" s="5" t="n">
        <v>-27.984455</v>
      </c>
      <c r="O21" s="5" t="n">
        <v>153.426897</v>
      </c>
    </row>
    <row r="22">
      <c r="A22" s="2" t="inlineStr">
        <is>
          <t>WC07</t>
        </is>
      </c>
      <c r="B22" s="2" t="n">
        <v>1</v>
      </c>
      <c r="C22" s="3" t="inlineStr">
        <is>
          <t>1317632</t>
        </is>
      </c>
      <c r="D22" s="2" t="inlineStr">
        <is>
          <t>-27.984455, 153.426897</t>
        </is>
      </c>
      <c r="E22" s="2" t="inlineStr">
        <is>
          <t>Median strip meet-up – pit stop, by FOAM</t>
        </is>
      </c>
      <c r="F22" s="2" t="inlineStr">
        <is>
          <t>FWF</t>
        </is>
      </c>
      <c r="G22" s="2" t="inlineStr">
        <is>
          <t>13 of 20</t>
        </is>
      </c>
      <c r="H22" s="2" t="inlineStr">
        <is>
          <t>Coates</t>
        </is>
      </c>
      <c r="I22" s="2" t="inlineStr">
        <is>
          <t>Toilets - Merch Area</t>
        </is>
      </c>
      <c r="J22" s="2" t="inlineStr">
        <is>
          <t>S11</t>
        </is>
      </c>
      <c r="K22" s="2" t="inlineStr">
        <is>
          <t>Master plan D001 (not a phone pin)</t>
        </is>
      </c>
      <c r="L22" s="4">
        <f>HYPERLINK("https://www.google.com/maps?q=-27.984455,153.426897","Open map")</f>
        <v/>
      </c>
      <c r="M22" s="2" t="inlineStr">
        <is>
          <t>on site</t>
        </is>
      </c>
      <c r="N22" s="2" t="n">
        <v>-27.984455</v>
      </c>
      <c r="O22" s="2" t="n">
        <v>153.426897</v>
      </c>
    </row>
    <row r="23">
      <c r="A23" s="5" t="inlineStr">
        <is>
          <t>WC07</t>
        </is>
      </c>
      <c r="B23" s="5" t="n">
        <v>1</v>
      </c>
      <c r="C23" s="6" t="inlineStr">
        <is>
          <t>1317743</t>
        </is>
      </c>
      <c r="D23" s="5" t="inlineStr">
        <is>
          <t>-27.984455, 153.426897</t>
        </is>
      </c>
      <c r="E23" s="5" t="inlineStr">
        <is>
          <t>Median strip meet-up – pit stop, by FOAM</t>
        </is>
      </c>
      <c r="F23" s="5" t="inlineStr">
        <is>
          <t>FWF</t>
        </is>
      </c>
      <c r="G23" s="5" t="inlineStr">
        <is>
          <t>14 of 20</t>
        </is>
      </c>
      <c r="H23" s="5" t="inlineStr">
        <is>
          <t>Coates</t>
        </is>
      </c>
      <c r="I23" s="5" t="inlineStr">
        <is>
          <t>Toilets - Merch Area</t>
        </is>
      </c>
      <c r="J23" s="5" t="inlineStr">
        <is>
          <t>S11</t>
        </is>
      </c>
      <c r="K23" s="5" t="inlineStr">
        <is>
          <t>Master plan D001 (not a phone pin)</t>
        </is>
      </c>
      <c r="L23" s="7">
        <f>HYPERLINK("https://www.google.com/maps?q=-27.984455,153.426897","Open map")</f>
        <v/>
      </c>
      <c r="M23" s="5" t="inlineStr">
        <is>
          <t>on site</t>
        </is>
      </c>
      <c r="N23" s="5" t="n">
        <v>-27.984455</v>
      </c>
      <c r="O23" s="5" t="n">
        <v>153.426897</v>
      </c>
    </row>
    <row r="24">
      <c r="A24" s="2" t="inlineStr">
        <is>
          <t>WC07</t>
        </is>
      </c>
      <c r="B24" s="2" t="n">
        <v>1</v>
      </c>
      <c r="C24" s="3" t="inlineStr">
        <is>
          <t>1317641</t>
        </is>
      </c>
      <c r="D24" s="2" t="inlineStr">
        <is>
          <t>-27.984455, 153.426897</t>
        </is>
      </c>
      <c r="E24" s="2" t="inlineStr">
        <is>
          <t>Median strip meet-up – pit stop, by FOAM</t>
        </is>
      </c>
      <c r="F24" s="2" t="inlineStr">
        <is>
          <t>FWF</t>
        </is>
      </c>
      <c r="G24" s="2" t="inlineStr">
        <is>
          <t>15 of 20</t>
        </is>
      </c>
      <c r="H24" s="2" t="inlineStr">
        <is>
          <t>Coates</t>
        </is>
      </c>
      <c r="I24" s="2" t="inlineStr">
        <is>
          <t>Toilets - Merch Area</t>
        </is>
      </c>
      <c r="J24" s="2" t="inlineStr">
        <is>
          <t>S11</t>
        </is>
      </c>
      <c r="K24" s="2" t="inlineStr">
        <is>
          <t>Master plan D001 (not a phone pin)</t>
        </is>
      </c>
      <c r="L24" s="4">
        <f>HYPERLINK("https://www.google.com/maps?q=-27.984455,153.426897","Open map")</f>
        <v/>
      </c>
      <c r="M24" s="2" t="inlineStr">
        <is>
          <t>on site</t>
        </is>
      </c>
      <c r="N24" s="2" t="n">
        <v>-27.984455</v>
      </c>
      <c r="O24" s="2" t="n">
        <v>153.426897</v>
      </c>
    </row>
    <row r="25">
      <c r="A25" s="5" t="inlineStr">
        <is>
          <t>WC07</t>
        </is>
      </c>
      <c r="B25" s="5" t="n">
        <v>1</v>
      </c>
      <c r="C25" s="6" t="inlineStr">
        <is>
          <t>1317640</t>
        </is>
      </c>
      <c r="D25" s="5" t="inlineStr">
        <is>
          <t>-27.984455, 153.426897</t>
        </is>
      </c>
      <c r="E25" s="5" t="inlineStr">
        <is>
          <t>Median strip meet-up – pit stop, by FOAM</t>
        </is>
      </c>
      <c r="F25" s="5" t="inlineStr">
        <is>
          <t>FWF</t>
        </is>
      </c>
      <c r="G25" s="5" t="inlineStr">
        <is>
          <t>16 of 20</t>
        </is>
      </c>
      <c r="H25" s="5" t="inlineStr">
        <is>
          <t>Coates</t>
        </is>
      </c>
      <c r="I25" s="5" t="inlineStr">
        <is>
          <t>Toilets - Merch Area</t>
        </is>
      </c>
      <c r="J25" s="5" t="inlineStr">
        <is>
          <t>S11</t>
        </is>
      </c>
      <c r="K25" s="5" t="inlineStr">
        <is>
          <t>Master plan D001 (not a phone pin)</t>
        </is>
      </c>
      <c r="L25" s="7">
        <f>HYPERLINK("https://www.google.com/maps?q=-27.984455,153.426897","Open map")</f>
        <v/>
      </c>
      <c r="M25" s="5" t="inlineStr">
        <is>
          <t>on site</t>
        </is>
      </c>
      <c r="N25" s="5" t="n">
        <v>-27.984455</v>
      </c>
      <c r="O25" s="5" t="n">
        <v>153.426897</v>
      </c>
    </row>
    <row r="26">
      <c r="A26" s="2" t="inlineStr">
        <is>
          <t>WC07</t>
        </is>
      </c>
      <c r="B26" s="2" t="n">
        <v>1</v>
      </c>
      <c r="C26" s="3" t="inlineStr">
        <is>
          <t>1317626</t>
        </is>
      </c>
      <c r="D26" s="2" t="inlineStr">
        <is>
          <t>-27.984455, 153.426897</t>
        </is>
      </c>
      <c r="E26" s="2" t="inlineStr">
        <is>
          <t>Median strip meet-up – pit stop, by FOAM</t>
        </is>
      </c>
      <c r="F26" s="2" t="inlineStr">
        <is>
          <t>FWF</t>
        </is>
      </c>
      <c r="G26" s="2" t="inlineStr">
        <is>
          <t>17 of 20</t>
        </is>
      </c>
      <c r="H26" s="2" t="inlineStr">
        <is>
          <t>Coates</t>
        </is>
      </c>
      <c r="I26" s="2" t="inlineStr">
        <is>
          <t>Toilets - Merch Area</t>
        </is>
      </c>
      <c r="J26" s="2" t="inlineStr">
        <is>
          <t>S11</t>
        </is>
      </c>
      <c r="K26" s="2" t="inlineStr">
        <is>
          <t>Master plan D001 (not a phone pin)</t>
        </is>
      </c>
      <c r="L26" s="4">
        <f>HYPERLINK("https://www.google.com/maps?q=-27.984455,153.426897","Open map")</f>
        <v/>
      </c>
      <c r="M26" s="2" t="inlineStr">
        <is>
          <t>on site</t>
        </is>
      </c>
      <c r="N26" s="2" t="n">
        <v>-27.984455</v>
      </c>
      <c r="O26" s="2" t="n">
        <v>153.426897</v>
      </c>
    </row>
    <row r="27">
      <c r="A27" s="5" t="inlineStr">
        <is>
          <t>WC07</t>
        </is>
      </c>
      <c r="B27" s="5" t="n">
        <v>1</v>
      </c>
      <c r="C27" s="6" t="inlineStr">
        <is>
          <t>1317648</t>
        </is>
      </c>
      <c r="D27" s="5" t="inlineStr">
        <is>
          <t>-27.984455, 153.426897</t>
        </is>
      </c>
      <c r="E27" s="5" t="inlineStr">
        <is>
          <t>Median strip meet-up – pit stop, by FOAM</t>
        </is>
      </c>
      <c r="F27" s="5" t="inlineStr">
        <is>
          <t>FWF</t>
        </is>
      </c>
      <c r="G27" s="5" t="inlineStr">
        <is>
          <t>18 of 20</t>
        </is>
      </c>
      <c r="H27" s="5" t="inlineStr">
        <is>
          <t>Coates</t>
        </is>
      </c>
      <c r="I27" s="5" t="inlineStr">
        <is>
          <t>Toilets - Merch Area</t>
        </is>
      </c>
      <c r="J27" s="5" t="inlineStr">
        <is>
          <t>S11</t>
        </is>
      </c>
      <c r="K27" s="5" t="inlineStr">
        <is>
          <t>Master plan D001 (not a phone pin)</t>
        </is>
      </c>
      <c r="L27" s="7">
        <f>HYPERLINK("https://www.google.com/maps?q=-27.984455,153.426897","Open map")</f>
        <v/>
      </c>
      <c r="M27" s="5" t="inlineStr">
        <is>
          <t>on site</t>
        </is>
      </c>
      <c r="N27" s="5" t="n">
        <v>-27.984455</v>
      </c>
      <c r="O27" s="5" t="n">
        <v>153.426897</v>
      </c>
    </row>
    <row r="28">
      <c r="A28" s="2" t="inlineStr">
        <is>
          <t>WC07</t>
        </is>
      </c>
      <c r="B28" s="2" t="n">
        <v>1</v>
      </c>
      <c r="C28" s="3" t="inlineStr">
        <is>
          <t>1317652</t>
        </is>
      </c>
      <c r="D28" s="2" t="inlineStr">
        <is>
          <t>-27.984455, 153.426897</t>
        </is>
      </c>
      <c r="E28" s="2" t="inlineStr">
        <is>
          <t>Median strip meet-up – pit stop, by FOAM</t>
        </is>
      </c>
      <c r="F28" s="2" t="inlineStr">
        <is>
          <t>FWF</t>
        </is>
      </c>
      <c r="G28" s="2" t="inlineStr">
        <is>
          <t>19 of 20</t>
        </is>
      </c>
      <c r="H28" s="2" t="inlineStr">
        <is>
          <t>Coates</t>
        </is>
      </c>
      <c r="I28" s="2" t="inlineStr">
        <is>
          <t>Toilets - Merch Area</t>
        </is>
      </c>
      <c r="J28" s="2" t="inlineStr">
        <is>
          <t>S11</t>
        </is>
      </c>
      <c r="K28" s="2" t="inlineStr">
        <is>
          <t>Master plan D001 (not a phone pin)</t>
        </is>
      </c>
      <c r="L28" s="4">
        <f>HYPERLINK("https://www.google.com/maps?q=-27.984455,153.426897","Open map")</f>
        <v/>
      </c>
      <c r="M28" s="2" t="inlineStr">
        <is>
          <t>on site</t>
        </is>
      </c>
      <c r="N28" s="2" t="n">
        <v>-27.984455</v>
      </c>
      <c r="O28" s="2" t="n">
        <v>153.426897</v>
      </c>
    </row>
    <row r="29">
      <c r="A29" s="5" t="inlineStr">
        <is>
          <t>WC07</t>
        </is>
      </c>
      <c r="B29" s="5" t="n">
        <v>1</v>
      </c>
      <c r="C29" s="6" t="inlineStr">
        <is>
          <t>1317647</t>
        </is>
      </c>
      <c r="D29" s="5" t="inlineStr">
        <is>
          <t>-27.984455, 153.426897</t>
        </is>
      </c>
      <c r="E29" s="5" t="inlineStr">
        <is>
          <t>Median strip meet-up – pit stop, by FOAM</t>
        </is>
      </c>
      <c r="F29" s="5" t="inlineStr">
        <is>
          <t>FWF</t>
        </is>
      </c>
      <c r="G29" s="5" t="inlineStr">
        <is>
          <t>20 of 20</t>
        </is>
      </c>
      <c r="H29" s="5" t="inlineStr">
        <is>
          <t>Coates</t>
        </is>
      </c>
      <c r="I29" s="5" t="inlineStr">
        <is>
          <t>Toilets - Merch Area</t>
        </is>
      </c>
      <c r="J29" s="5" t="inlineStr">
        <is>
          <t>S11</t>
        </is>
      </c>
      <c r="K29" s="5" t="inlineStr">
        <is>
          <t>Master plan D001 (not a phone pin)</t>
        </is>
      </c>
      <c r="L29" s="7">
        <f>HYPERLINK("https://www.google.com/maps?q=-27.984455,153.426897","Open map")</f>
        <v/>
      </c>
      <c r="M29" s="5" t="inlineStr">
        <is>
          <t>on site</t>
        </is>
      </c>
      <c r="N29" s="5" t="n">
        <v>-27.984455</v>
      </c>
      <c r="O29" s="5" t="n">
        <v>153.426897</v>
      </c>
    </row>
    <row r="30">
      <c r="A30" s="2" t="inlineStr">
        <is>
          <t>WC09</t>
        </is>
      </c>
      <c r="B30" s="2" t="n">
        <v>1</v>
      </c>
      <c r="C30" s="3" t="inlineStr">
        <is>
          <t>0085</t>
        </is>
      </c>
      <c r="D30" s="2" t="inlineStr">
        <is>
          <t>-27.984717, 153.428026</t>
        </is>
      </c>
      <c r="E30" s="2" t="inlineStr">
        <is>
          <t>Median strip meet-up – pit stop, by FOAM</t>
        </is>
      </c>
      <c r="F30" s="2" t="inlineStr">
        <is>
          <t>FWF</t>
        </is>
      </c>
      <c r="G30" s="2" t="inlineStr">
        <is>
          <t>1 of 12</t>
        </is>
      </c>
      <c r="H30" s="2" t="inlineStr">
        <is>
          <t>Event Portables (sub-hire)</t>
        </is>
      </c>
      <c r="I30" s="2" t="inlineStr">
        <is>
          <t>Toilets</t>
        </is>
      </c>
      <c r="J30" s="2" t="inlineStr"/>
      <c r="K30" s="2" t="inlineStr">
        <is>
          <t>Master plan D001 (not a phone pin)</t>
        </is>
      </c>
      <c r="L30" s="4">
        <f>HYPERLINK("https://www.google.com/maps?q=-27.984717,153.428026","Open map")</f>
        <v/>
      </c>
      <c r="M30" s="2" t="inlineStr">
        <is>
          <t>on site</t>
        </is>
      </c>
      <c r="N30" s="2" t="n">
        <v>-27.984717</v>
      </c>
      <c r="O30" s="2" t="n">
        <v>153.428026</v>
      </c>
    </row>
    <row r="31">
      <c r="A31" s="5" t="inlineStr">
        <is>
          <t>WC09</t>
        </is>
      </c>
      <c r="B31" s="5" t="n">
        <v>1</v>
      </c>
      <c r="C31" s="6" t="inlineStr">
        <is>
          <t>0551</t>
        </is>
      </c>
      <c r="D31" s="5" t="inlineStr">
        <is>
          <t>-27.984717, 153.428026</t>
        </is>
      </c>
      <c r="E31" s="5" t="inlineStr">
        <is>
          <t>Median strip meet-up – pit stop, by FOAM</t>
        </is>
      </c>
      <c r="F31" s="5" t="inlineStr">
        <is>
          <t>FWF</t>
        </is>
      </c>
      <c r="G31" s="5" t="inlineStr">
        <is>
          <t>2 of 12</t>
        </is>
      </c>
      <c r="H31" s="5" t="inlineStr">
        <is>
          <t>Event Portables (sub-hire)</t>
        </is>
      </c>
      <c r="I31" s="5" t="inlineStr">
        <is>
          <t>Toilets</t>
        </is>
      </c>
      <c r="J31" s="5" t="inlineStr"/>
      <c r="K31" s="5" t="inlineStr">
        <is>
          <t>Master plan D001 (not a phone pin)</t>
        </is>
      </c>
      <c r="L31" s="7">
        <f>HYPERLINK("https://www.google.com/maps?q=-27.984717,153.428026","Open map")</f>
        <v/>
      </c>
      <c r="M31" s="5" t="inlineStr">
        <is>
          <t>on site</t>
        </is>
      </c>
      <c r="N31" s="5" t="n">
        <v>-27.984717</v>
      </c>
      <c r="O31" s="5" t="n">
        <v>153.428026</v>
      </c>
    </row>
    <row r="32">
      <c r="A32" s="2" t="inlineStr">
        <is>
          <t>WC09</t>
        </is>
      </c>
      <c r="B32" s="2" t="n">
        <v>1</v>
      </c>
      <c r="C32" s="3" t="inlineStr">
        <is>
          <t>0450</t>
        </is>
      </c>
      <c r="D32" s="2" t="inlineStr">
        <is>
          <t>-27.984717, 153.428026</t>
        </is>
      </c>
      <c r="E32" s="2" t="inlineStr">
        <is>
          <t>Median strip meet-up – pit stop, by FOAM</t>
        </is>
      </c>
      <c r="F32" s="2" t="inlineStr">
        <is>
          <t>FWF</t>
        </is>
      </c>
      <c r="G32" s="2" t="inlineStr">
        <is>
          <t>3 of 12</t>
        </is>
      </c>
      <c r="H32" s="2" t="inlineStr">
        <is>
          <t>Event Portables (sub-hire)</t>
        </is>
      </c>
      <c r="I32" s="2" t="inlineStr">
        <is>
          <t>Toilets</t>
        </is>
      </c>
      <c r="J32" s="2" t="inlineStr"/>
      <c r="K32" s="2" t="inlineStr">
        <is>
          <t>Master plan D001 (not a phone pin)</t>
        </is>
      </c>
      <c r="L32" s="4">
        <f>HYPERLINK("https://www.google.com/maps?q=-27.984717,153.428026","Open map")</f>
        <v/>
      </c>
      <c r="M32" s="2" t="inlineStr">
        <is>
          <t>on site</t>
        </is>
      </c>
      <c r="N32" s="2" t="n">
        <v>-27.984717</v>
      </c>
      <c r="O32" s="2" t="n">
        <v>153.428026</v>
      </c>
    </row>
    <row r="33">
      <c r="A33" s="5" t="inlineStr">
        <is>
          <t>WC09</t>
        </is>
      </c>
      <c r="B33" s="5" t="n">
        <v>1</v>
      </c>
      <c r="C33" s="6" t="inlineStr">
        <is>
          <t>0585</t>
        </is>
      </c>
      <c r="D33" s="5" t="inlineStr">
        <is>
          <t>-27.984717, 153.428026</t>
        </is>
      </c>
      <c r="E33" s="5" t="inlineStr">
        <is>
          <t>Median strip meet-up – pit stop, by FOAM</t>
        </is>
      </c>
      <c r="F33" s="5" t="inlineStr">
        <is>
          <t>FWF</t>
        </is>
      </c>
      <c r="G33" s="5" t="inlineStr">
        <is>
          <t>4 of 12</t>
        </is>
      </c>
      <c r="H33" s="5" t="inlineStr">
        <is>
          <t>Event Portables (sub-hire)</t>
        </is>
      </c>
      <c r="I33" s="5" t="inlineStr">
        <is>
          <t>Toilets</t>
        </is>
      </c>
      <c r="J33" s="5" t="inlineStr"/>
      <c r="K33" s="5" t="inlineStr">
        <is>
          <t>Master plan D001 (not a phone pin)</t>
        </is>
      </c>
      <c r="L33" s="7">
        <f>HYPERLINK("https://www.google.com/maps?q=-27.984717,153.428026","Open map")</f>
        <v/>
      </c>
      <c r="M33" s="5" t="inlineStr">
        <is>
          <t>on site</t>
        </is>
      </c>
      <c r="N33" s="5" t="n">
        <v>-27.984717</v>
      </c>
      <c r="O33" s="5" t="n">
        <v>153.428026</v>
      </c>
    </row>
    <row r="34">
      <c r="A34" s="2" t="inlineStr">
        <is>
          <t>WC09</t>
        </is>
      </c>
      <c r="B34" s="2" t="n">
        <v>1</v>
      </c>
      <c r="C34" s="3" t="inlineStr">
        <is>
          <t>0993</t>
        </is>
      </c>
      <c r="D34" s="2" t="inlineStr">
        <is>
          <t>-27.984717, 153.428026</t>
        </is>
      </c>
      <c r="E34" s="2" t="inlineStr">
        <is>
          <t>Median strip meet-up – pit stop, by FOAM</t>
        </is>
      </c>
      <c r="F34" s="2" t="inlineStr">
        <is>
          <t>FWF</t>
        </is>
      </c>
      <c r="G34" s="2" t="inlineStr">
        <is>
          <t>5 of 12</t>
        </is>
      </c>
      <c r="H34" s="2" t="inlineStr">
        <is>
          <t>Event Portables (sub-hire)</t>
        </is>
      </c>
      <c r="I34" s="2" t="inlineStr">
        <is>
          <t>Toilets</t>
        </is>
      </c>
      <c r="J34" s="2" t="inlineStr"/>
      <c r="K34" s="2" t="inlineStr">
        <is>
          <t>Master plan D001 (not a phone pin)</t>
        </is>
      </c>
      <c r="L34" s="4">
        <f>HYPERLINK("https://www.google.com/maps?q=-27.984717,153.428026","Open map")</f>
        <v/>
      </c>
      <c r="M34" s="2" t="inlineStr">
        <is>
          <t>on site</t>
        </is>
      </c>
      <c r="N34" s="2" t="n">
        <v>-27.984717</v>
      </c>
      <c r="O34" s="2" t="n">
        <v>153.428026</v>
      </c>
    </row>
    <row r="35">
      <c r="A35" s="5" t="inlineStr">
        <is>
          <t>WC09</t>
        </is>
      </c>
      <c r="B35" s="5" t="n">
        <v>1</v>
      </c>
      <c r="C35" s="6" t="inlineStr">
        <is>
          <t>0553</t>
        </is>
      </c>
      <c r="D35" s="5" t="inlineStr">
        <is>
          <t>-27.984717, 153.428026</t>
        </is>
      </c>
      <c r="E35" s="5" t="inlineStr">
        <is>
          <t>Median strip meet-up – pit stop, by FOAM</t>
        </is>
      </c>
      <c r="F35" s="5" t="inlineStr">
        <is>
          <t>FWF</t>
        </is>
      </c>
      <c r="G35" s="5" t="inlineStr">
        <is>
          <t>6 of 12</t>
        </is>
      </c>
      <c r="H35" s="5" t="inlineStr">
        <is>
          <t>Event Portables (sub-hire)</t>
        </is>
      </c>
      <c r="I35" s="5" t="inlineStr">
        <is>
          <t>Toilets</t>
        </is>
      </c>
      <c r="J35" s="5" t="inlineStr"/>
      <c r="K35" s="5" t="inlineStr">
        <is>
          <t>Master plan D001 (not a phone pin)</t>
        </is>
      </c>
      <c r="L35" s="7">
        <f>HYPERLINK("https://www.google.com/maps?q=-27.984717,153.428026","Open map")</f>
        <v/>
      </c>
      <c r="M35" s="5" t="inlineStr">
        <is>
          <t>on site</t>
        </is>
      </c>
      <c r="N35" s="5" t="n">
        <v>-27.984717</v>
      </c>
      <c r="O35" s="5" t="n">
        <v>153.428026</v>
      </c>
    </row>
    <row r="36">
      <c r="A36" s="2" t="inlineStr">
        <is>
          <t>WC09</t>
        </is>
      </c>
      <c r="B36" s="2" t="n">
        <v>1</v>
      </c>
      <c r="C36" s="3" t="inlineStr">
        <is>
          <t>0140</t>
        </is>
      </c>
      <c r="D36" s="2" t="inlineStr">
        <is>
          <t>-27.984717, 153.428026</t>
        </is>
      </c>
      <c r="E36" s="2" t="inlineStr">
        <is>
          <t>Median strip meet-up – pit stop, by FOAM</t>
        </is>
      </c>
      <c r="F36" s="2" t="inlineStr">
        <is>
          <t>FWF</t>
        </is>
      </c>
      <c r="G36" s="2" t="inlineStr">
        <is>
          <t>7 of 12</t>
        </is>
      </c>
      <c r="H36" s="2" t="inlineStr">
        <is>
          <t>Event Portables (sub-hire)</t>
        </is>
      </c>
      <c r="I36" s="2" t="inlineStr">
        <is>
          <t>Toilets</t>
        </is>
      </c>
      <c r="J36" s="2" t="inlineStr"/>
      <c r="K36" s="2" t="inlineStr">
        <is>
          <t>Master plan D001 (not a phone pin)</t>
        </is>
      </c>
      <c r="L36" s="4">
        <f>HYPERLINK("https://www.google.com/maps?q=-27.984717,153.428026","Open map")</f>
        <v/>
      </c>
      <c r="M36" s="2" t="inlineStr">
        <is>
          <t>on site</t>
        </is>
      </c>
      <c r="N36" s="2" t="n">
        <v>-27.984717</v>
      </c>
      <c r="O36" s="2" t="n">
        <v>153.428026</v>
      </c>
    </row>
    <row r="37">
      <c r="A37" s="5" t="inlineStr">
        <is>
          <t>WC09</t>
        </is>
      </c>
      <c r="B37" s="5" t="n">
        <v>1</v>
      </c>
      <c r="C37" s="6" t="inlineStr">
        <is>
          <t>0089</t>
        </is>
      </c>
      <c r="D37" s="5" t="inlineStr">
        <is>
          <t>-27.984717, 153.428026</t>
        </is>
      </c>
      <c r="E37" s="5" t="inlineStr">
        <is>
          <t>Median strip meet-up – pit stop, by FOAM</t>
        </is>
      </c>
      <c r="F37" s="5" t="inlineStr">
        <is>
          <t>FWF</t>
        </is>
      </c>
      <c r="G37" s="5" t="inlineStr">
        <is>
          <t>8 of 12</t>
        </is>
      </c>
      <c r="H37" s="5" t="inlineStr">
        <is>
          <t>Event Portables (sub-hire)</t>
        </is>
      </c>
      <c r="I37" s="5" t="inlineStr">
        <is>
          <t>Toilets</t>
        </is>
      </c>
      <c r="J37" s="5" t="inlineStr"/>
      <c r="K37" s="5" t="inlineStr">
        <is>
          <t>Master plan D001 (not a phone pin)</t>
        </is>
      </c>
      <c r="L37" s="7">
        <f>HYPERLINK("https://www.google.com/maps?q=-27.984717,153.428026","Open map")</f>
        <v/>
      </c>
      <c r="M37" s="5" t="inlineStr">
        <is>
          <t>on site</t>
        </is>
      </c>
      <c r="N37" s="5" t="n">
        <v>-27.984717</v>
      </c>
      <c r="O37" s="5" t="n">
        <v>153.428026</v>
      </c>
    </row>
    <row r="38">
      <c r="A38" s="2" t="inlineStr">
        <is>
          <t>WC09</t>
        </is>
      </c>
      <c r="B38" s="2" t="n">
        <v>1</v>
      </c>
      <c r="C38" s="3" t="inlineStr">
        <is>
          <t>0584</t>
        </is>
      </c>
      <c r="D38" s="2" t="inlineStr">
        <is>
          <t>-27.984717, 153.428026</t>
        </is>
      </c>
      <c r="E38" s="2" t="inlineStr">
        <is>
          <t>Median strip meet-up – pit stop, by FOAM</t>
        </is>
      </c>
      <c r="F38" s="2" t="inlineStr">
        <is>
          <t>FWF</t>
        </is>
      </c>
      <c r="G38" s="2" t="inlineStr">
        <is>
          <t>9 of 12</t>
        </is>
      </c>
      <c r="H38" s="2" t="inlineStr">
        <is>
          <t>Event Portables (sub-hire)</t>
        </is>
      </c>
      <c r="I38" s="2" t="inlineStr">
        <is>
          <t>Toilets</t>
        </is>
      </c>
      <c r="J38" s="2" t="inlineStr"/>
      <c r="K38" s="2" t="inlineStr">
        <is>
          <t>Master plan D001 (not a phone pin)</t>
        </is>
      </c>
      <c r="L38" s="4">
        <f>HYPERLINK("https://www.google.com/maps?q=-27.984717,153.428026","Open map")</f>
        <v/>
      </c>
      <c r="M38" s="2" t="inlineStr">
        <is>
          <t>on site</t>
        </is>
      </c>
      <c r="N38" s="2" t="n">
        <v>-27.984717</v>
      </c>
      <c r="O38" s="2" t="n">
        <v>153.428026</v>
      </c>
    </row>
    <row r="39">
      <c r="A39" s="5" t="inlineStr">
        <is>
          <t>WC09</t>
        </is>
      </c>
      <c r="B39" s="5" t="n">
        <v>1</v>
      </c>
      <c r="C39" s="6" t="inlineStr">
        <is>
          <t>0081</t>
        </is>
      </c>
      <c r="D39" s="5" t="inlineStr">
        <is>
          <t>-27.984717, 153.428026</t>
        </is>
      </c>
      <c r="E39" s="5" t="inlineStr">
        <is>
          <t>Median strip meet-up – pit stop, by FOAM</t>
        </is>
      </c>
      <c r="F39" s="5" t="inlineStr">
        <is>
          <t>FWF</t>
        </is>
      </c>
      <c r="G39" s="5" t="inlineStr">
        <is>
          <t>10 of 12</t>
        </is>
      </c>
      <c r="H39" s="5" t="inlineStr">
        <is>
          <t>Event Portables (sub-hire)</t>
        </is>
      </c>
      <c r="I39" s="5" t="inlineStr">
        <is>
          <t>Toilets</t>
        </is>
      </c>
      <c r="J39" s="5" t="inlineStr"/>
      <c r="K39" s="5" t="inlineStr">
        <is>
          <t>Master plan D001 (not a phone pin)</t>
        </is>
      </c>
      <c r="L39" s="7">
        <f>HYPERLINK("https://www.google.com/maps?q=-27.984717,153.428026","Open map")</f>
        <v/>
      </c>
      <c r="M39" s="5" t="inlineStr">
        <is>
          <t>on site</t>
        </is>
      </c>
      <c r="N39" s="5" t="n">
        <v>-27.984717</v>
      </c>
      <c r="O39" s="5" t="n">
        <v>153.428026</v>
      </c>
    </row>
    <row r="40">
      <c r="A40" s="2" t="inlineStr">
        <is>
          <t>WC09</t>
        </is>
      </c>
      <c r="B40" s="2" t="n">
        <v>1</v>
      </c>
      <c r="C40" s="3" t="inlineStr">
        <is>
          <t>1268858</t>
        </is>
      </c>
      <c r="D40" s="2" t="inlineStr">
        <is>
          <t>-27.984717, 153.428026</t>
        </is>
      </c>
      <c r="E40" s="2" t="inlineStr">
        <is>
          <t>Median strip meet-up – pit stop, by FOAM</t>
        </is>
      </c>
      <c r="F40" s="2" t="inlineStr">
        <is>
          <t>Toilet block 6m</t>
        </is>
      </c>
      <c r="G40" s="2" t="inlineStr">
        <is>
          <t>11 of 12</t>
        </is>
      </c>
      <c r="H40" s="2" t="inlineStr">
        <is>
          <t>Coates</t>
        </is>
      </c>
      <c r="I40" s="2" t="inlineStr">
        <is>
          <t>Toilets</t>
        </is>
      </c>
      <c r="J40" s="2" t="inlineStr"/>
      <c r="K40" s="2" t="inlineStr">
        <is>
          <t>Master plan D001 (not a phone pin)</t>
        </is>
      </c>
      <c r="L40" s="4">
        <f>HYPERLINK("https://www.google.com/maps?q=-27.984717,153.428026","Open map")</f>
        <v/>
      </c>
      <c r="M40" s="2" t="inlineStr">
        <is>
          <t>on site</t>
        </is>
      </c>
      <c r="N40" s="2" t="n">
        <v>-27.984717</v>
      </c>
      <c r="O40" s="2" t="n">
        <v>153.428026</v>
      </c>
    </row>
    <row r="41">
      <c r="A41" s="5" t="inlineStr">
        <is>
          <t>WC09</t>
        </is>
      </c>
      <c r="B41" s="5" t="n">
        <v>1</v>
      </c>
      <c r="C41" s="6" t="inlineStr">
        <is>
          <t>1311146</t>
        </is>
      </c>
      <c r="D41" s="5" t="inlineStr">
        <is>
          <t>-27.984717, 153.428026</t>
        </is>
      </c>
      <c r="E41" s="5" t="inlineStr">
        <is>
          <t>Median strip meet-up – pit stop, by FOAM</t>
        </is>
      </c>
      <c r="F41" s="5" t="inlineStr">
        <is>
          <t>Toilet block 6m</t>
        </is>
      </c>
      <c r="G41" s="5" t="inlineStr">
        <is>
          <t>12 of 12</t>
        </is>
      </c>
      <c r="H41" s="5" t="inlineStr">
        <is>
          <t>Coates</t>
        </is>
      </c>
      <c r="I41" s="5" t="inlineStr">
        <is>
          <t>Toilets</t>
        </is>
      </c>
      <c r="J41" s="5" t="inlineStr"/>
      <c r="K41" s="5" t="inlineStr">
        <is>
          <t>Master plan D001 (not a phone pin)</t>
        </is>
      </c>
      <c r="L41" s="7">
        <f>HYPERLINK("https://www.google.com/maps?q=-27.984717,153.428026","Open map")</f>
        <v/>
      </c>
      <c r="M41" s="5" t="inlineStr">
        <is>
          <t>on site</t>
        </is>
      </c>
      <c r="N41" s="5" t="n">
        <v>-27.984717</v>
      </c>
      <c r="O41" s="5" t="n">
        <v>153.428026</v>
      </c>
    </row>
    <row r="42">
      <c r="A42" s="2" t="inlineStr">
        <is>
          <t>WC10</t>
        </is>
      </c>
      <c r="B42" s="2" t="n">
        <v>1</v>
      </c>
      <c r="C42" s="3" t="inlineStr">
        <is>
          <t>0488</t>
        </is>
      </c>
      <c r="D42" s="2" t="inlineStr">
        <is>
          <t>-27.984483, 153.427714</t>
        </is>
      </c>
      <c r="E42" s="2" t="inlineStr">
        <is>
          <t>Median strip meet-up – pit stop, by FOAM</t>
        </is>
      </c>
      <c r="F42" s="2" t="inlineStr">
        <is>
          <t>FWF</t>
        </is>
      </c>
      <c r="G42" s="2" t="inlineStr">
        <is>
          <t>1 of 3</t>
        </is>
      </c>
      <c r="H42" s="2" t="inlineStr">
        <is>
          <t>Event Portables (sub-hire)</t>
        </is>
      </c>
      <c r="I42" s="2" t="inlineStr">
        <is>
          <t>Toilets</t>
        </is>
      </c>
      <c r="J42" s="2" t="inlineStr">
        <is>
          <t>S01</t>
        </is>
      </c>
      <c r="K42" s="2" t="inlineStr">
        <is>
          <t>Master plan D001 (not a phone pin)</t>
        </is>
      </c>
      <c r="L42" s="4">
        <f>HYPERLINK("https://www.google.com/maps?q=-27.984483,153.427714","Open map")</f>
        <v/>
      </c>
      <c r="M42" s="2" t="inlineStr">
        <is>
          <t>on site</t>
        </is>
      </c>
      <c r="N42" s="2" t="n">
        <v>-27.984483</v>
      </c>
      <c r="O42" s="2" t="n">
        <v>153.427714</v>
      </c>
    </row>
    <row r="43">
      <c r="A43" s="5" t="inlineStr">
        <is>
          <t>WC10</t>
        </is>
      </c>
      <c r="B43" s="5" t="n">
        <v>1</v>
      </c>
      <c r="C43" s="6" t="inlineStr">
        <is>
          <t>0677</t>
        </is>
      </c>
      <c r="D43" s="5" t="inlineStr">
        <is>
          <t>-27.984483, 153.427714</t>
        </is>
      </c>
      <c r="E43" s="5" t="inlineStr">
        <is>
          <t>Median strip meet-up – pit stop, by FOAM</t>
        </is>
      </c>
      <c r="F43" s="5" t="inlineStr">
        <is>
          <t>FWF</t>
        </is>
      </c>
      <c r="G43" s="5" t="inlineStr">
        <is>
          <t>2 of 3</t>
        </is>
      </c>
      <c r="H43" s="5" t="inlineStr">
        <is>
          <t>Event Portables (sub-hire)</t>
        </is>
      </c>
      <c r="I43" s="5" t="inlineStr">
        <is>
          <t>Toilets</t>
        </is>
      </c>
      <c r="J43" s="5" t="inlineStr">
        <is>
          <t>S01</t>
        </is>
      </c>
      <c r="K43" s="5" t="inlineStr">
        <is>
          <t>Master plan D001 (not a phone pin)</t>
        </is>
      </c>
      <c r="L43" s="7">
        <f>HYPERLINK("https://www.google.com/maps?q=-27.984483,153.427714","Open map")</f>
        <v/>
      </c>
      <c r="M43" s="5" t="inlineStr">
        <is>
          <t>on site</t>
        </is>
      </c>
      <c r="N43" s="5" t="n">
        <v>-27.984483</v>
      </c>
      <c r="O43" s="5" t="n">
        <v>153.427714</v>
      </c>
    </row>
    <row r="44">
      <c r="A44" s="2" t="inlineStr">
        <is>
          <t>WC10</t>
        </is>
      </c>
      <c r="B44" s="2" t="n">
        <v>1</v>
      </c>
      <c r="C44" s="3" t="inlineStr">
        <is>
          <t>0119</t>
        </is>
      </c>
      <c r="D44" s="2" t="inlineStr">
        <is>
          <t>-27.984483, 153.427714</t>
        </is>
      </c>
      <c r="E44" s="2" t="inlineStr">
        <is>
          <t>Median strip meet-up – pit stop, by FOAM</t>
        </is>
      </c>
      <c r="F44" s="2" t="inlineStr">
        <is>
          <t>FWF</t>
        </is>
      </c>
      <c r="G44" s="2" t="inlineStr">
        <is>
          <t>3 of 3</t>
        </is>
      </c>
      <c r="H44" s="2" t="inlineStr">
        <is>
          <t>Event Portables (sub-hire)</t>
        </is>
      </c>
      <c r="I44" s="2" t="inlineStr">
        <is>
          <t>Toilets</t>
        </is>
      </c>
      <c r="J44" s="2" t="inlineStr">
        <is>
          <t>S01</t>
        </is>
      </c>
      <c r="K44" s="2" t="inlineStr">
        <is>
          <t>Master plan D001 (not a phone pin)</t>
        </is>
      </c>
      <c r="L44" s="4">
        <f>HYPERLINK("https://www.google.com/maps?q=-27.984483,153.427714","Open map")</f>
        <v/>
      </c>
      <c r="M44" s="2" t="inlineStr">
        <is>
          <t>on site</t>
        </is>
      </c>
      <c r="N44" s="2" t="n">
        <v>-27.984483</v>
      </c>
      <c r="O44" s="2" t="n">
        <v>153.427714</v>
      </c>
    </row>
    <row r="45">
      <c r="A45" s="5" t="inlineStr">
        <is>
          <t>WC11</t>
        </is>
      </c>
      <c r="B45" s="5" t="n">
        <v>1</v>
      </c>
      <c r="C45" s="6" t="inlineStr">
        <is>
          <t>1211969</t>
        </is>
      </c>
      <c r="D45" s="5" t="inlineStr">
        <is>
          <t>-27.984888, 153.426575</t>
        </is>
      </c>
      <c r="E45" s="5" t="inlineStr">
        <is>
          <t>Median strip meet-up – pit stop, by FOAM</t>
        </is>
      </c>
      <c r="F45" s="5" t="inlineStr">
        <is>
          <t>FWF</t>
        </is>
      </c>
      <c r="G45" s="5" t="inlineStr">
        <is>
          <t>1 of 2</t>
        </is>
      </c>
      <c r="H45" s="5" t="inlineStr">
        <is>
          <t>Coates</t>
        </is>
      </c>
      <c r="I45" s="5" t="inlineStr">
        <is>
          <t>Toilets</t>
        </is>
      </c>
      <c r="J45" s="5" t="inlineStr">
        <is>
          <t>S11</t>
        </is>
      </c>
      <c r="K45" s="5" t="inlineStr">
        <is>
          <t>Master plan D001 (not a phone pin)</t>
        </is>
      </c>
      <c r="L45" s="7">
        <f>HYPERLINK("https://www.google.com/maps?q=-27.984888,153.426575","Open map")</f>
        <v/>
      </c>
      <c r="M45" s="5" t="inlineStr">
        <is>
          <t>on site</t>
        </is>
      </c>
      <c r="N45" s="5" t="n">
        <v>-27.984888</v>
      </c>
      <c r="O45" s="5" t="n">
        <v>153.426575</v>
      </c>
    </row>
    <row r="46">
      <c r="A46" s="2" t="inlineStr">
        <is>
          <t>WC11</t>
        </is>
      </c>
      <c r="B46" s="2" t="n">
        <v>1</v>
      </c>
      <c r="C46" s="3" t="inlineStr">
        <is>
          <t>1211976</t>
        </is>
      </c>
      <c r="D46" s="2" t="inlineStr">
        <is>
          <t>-27.984888, 153.426575</t>
        </is>
      </c>
      <c r="E46" s="2" t="inlineStr">
        <is>
          <t>Median strip meet-up – pit stop, by FOAM</t>
        </is>
      </c>
      <c r="F46" s="2" t="inlineStr">
        <is>
          <t>FWF</t>
        </is>
      </c>
      <c r="G46" s="2" t="inlineStr">
        <is>
          <t>2 of 2</t>
        </is>
      </c>
      <c r="H46" s="2" t="inlineStr">
        <is>
          <t>Coates</t>
        </is>
      </c>
      <c r="I46" s="2" t="inlineStr">
        <is>
          <t>Toilets</t>
        </is>
      </c>
      <c r="J46" s="2" t="inlineStr">
        <is>
          <t>S11</t>
        </is>
      </c>
      <c r="K46" s="2" t="inlineStr">
        <is>
          <t>Master plan D001 (not a phone pin)</t>
        </is>
      </c>
      <c r="L46" s="4">
        <f>HYPERLINK("https://www.google.com/maps?q=-27.984888,153.426575","Open map")</f>
        <v/>
      </c>
      <c r="M46" s="2" t="inlineStr">
        <is>
          <t>on site</t>
        </is>
      </c>
      <c r="N46" s="2" t="n">
        <v>-27.984888</v>
      </c>
      <c r="O46" s="2" t="n">
        <v>153.426575</v>
      </c>
    </row>
    <row r="47">
      <c r="A47" s="5" t="inlineStr">
        <is>
          <t>WC12</t>
        </is>
      </c>
      <c r="B47" s="5" t="n">
        <v>1</v>
      </c>
      <c r="C47" s="6" t="inlineStr">
        <is>
          <t>1002565</t>
        </is>
      </c>
      <c r="D47" s="5" t="inlineStr">
        <is>
          <t>-27.985461, 153.427322</t>
        </is>
      </c>
      <c r="E47" s="5" t="inlineStr">
        <is>
          <t>Pit lane entry</t>
        </is>
      </c>
      <c r="F47" s="5" t="inlineStr">
        <is>
          <t>FWF</t>
        </is>
      </c>
      <c r="G47" s="5" t="inlineStr">
        <is>
          <t>1 of 4</t>
        </is>
      </c>
      <c r="H47" s="5" t="inlineStr">
        <is>
          <t>Coates</t>
        </is>
      </c>
      <c r="I47" s="5" t="inlineStr">
        <is>
          <t>Toilets</t>
        </is>
      </c>
      <c r="J47" s="5" t="inlineStr">
        <is>
          <t>S01</t>
        </is>
      </c>
      <c r="K47" s="5" t="inlineStr">
        <is>
          <t>Master plan D001 (not a phone pin)</t>
        </is>
      </c>
      <c r="L47" s="7">
        <f>HYPERLINK("https://www.google.com/maps?q=-27.985461,153.427322","Open map")</f>
        <v/>
      </c>
      <c r="M47" s="5" t="inlineStr">
        <is>
          <t>on site</t>
        </is>
      </c>
      <c r="N47" s="5" t="n">
        <v>-27.985461</v>
      </c>
      <c r="O47" s="5" t="n">
        <v>153.427322</v>
      </c>
    </row>
    <row r="48">
      <c r="A48" s="2" t="inlineStr">
        <is>
          <t>WC12</t>
        </is>
      </c>
      <c r="B48" s="2" t="n">
        <v>1</v>
      </c>
      <c r="C48" s="3" t="inlineStr">
        <is>
          <t>1200601</t>
        </is>
      </c>
      <c r="D48" s="2" t="inlineStr">
        <is>
          <t>-27.985461, 153.427322</t>
        </is>
      </c>
      <c r="E48" s="2" t="inlineStr">
        <is>
          <t>Pit lane entry</t>
        </is>
      </c>
      <c r="F48" s="2" t="inlineStr">
        <is>
          <t>FWF</t>
        </is>
      </c>
      <c r="G48" s="2" t="inlineStr">
        <is>
          <t>2 of 4</t>
        </is>
      </c>
      <c r="H48" s="2" t="inlineStr">
        <is>
          <t>Coates</t>
        </is>
      </c>
      <c r="I48" s="2" t="inlineStr">
        <is>
          <t>Toilets</t>
        </is>
      </c>
      <c r="J48" s="2" t="inlineStr">
        <is>
          <t>S01</t>
        </is>
      </c>
      <c r="K48" s="2" t="inlineStr">
        <is>
          <t>Master plan D001 (not a phone pin)</t>
        </is>
      </c>
      <c r="L48" s="4">
        <f>HYPERLINK("https://www.google.com/maps?q=-27.985461,153.427322","Open map")</f>
        <v/>
      </c>
      <c r="M48" s="2" t="inlineStr">
        <is>
          <t>on site</t>
        </is>
      </c>
      <c r="N48" s="2" t="n">
        <v>-27.985461</v>
      </c>
      <c r="O48" s="2" t="n">
        <v>153.427322</v>
      </c>
    </row>
    <row r="49">
      <c r="A49" s="5" t="inlineStr">
        <is>
          <t>WC12</t>
        </is>
      </c>
      <c r="B49" s="5" t="n">
        <v>1</v>
      </c>
      <c r="C49" s="6" t="inlineStr">
        <is>
          <t>1211961</t>
        </is>
      </c>
      <c r="D49" s="5" t="inlineStr">
        <is>
          <t>-27.985461, 153.427322</t>
        </is>
      </c>
      <c r="E49" s="5" t="inlineStr">
        <is>
          <t>Pit lane entry</t>
        </is>
      </c>
      <c r="F49" s="5" t="inlineStr">
        <is>
          <t>FWF</t>
        </is>
      </c>
      <c r="G49" s="5" t="inlineStr">
        <is>
          <t>3 of 4</t>
        </is>
      </c>
      <c r="H49" s="5" t="inlineStr">
        <is>
          <t>Coates</t>
        </is>
      </c>
      <c r="I49" s="5" t="inlineStr">
        <is>
          <t>Toilets</t>
        </is>
      </c>
      <c r="J49" s="5" t="inlineStr">
        <is>
          <t>S01</t>
        </is>
      </c>
      <c r="K49" s="5" t="inlineStr">
        <is>
          <t>Master plan D001 (not a phone pin)</t>
        </is>
      </c>
      <c r="L49" s="7">
        <f>HYPERLINK("https://www.google.com/maps?q=-27.985461,153.427322","Open map")</f>
        <v/>
      </c>
      <c r="M49" s="5" t="inlineStr">
        <is>
          <t>on site</t>
        </is>
      </c>
      <c r="N49" s="5" t="n">
        <v>-27.985461</v>
      </c>
      <c r="O49" s="5" t="n">
        <v>153.427322</v>
      </c>
    </row>
    <row r="50">
      <c r="A50" s="2" t="inlineStr">
        <is>
          <t>WC12</t>
        </is>
      </c>
      <c r="B50" s="2" t="n">
        <v>1</v>
      </c>
      <c r="C50" s="3" t="inlineStr">
        <is>
          <t>1211963</t>
        </is>
      </c>
      <c r="D50" s="2" t="inlineStr">
        <is>
          <t>-27.985461, 153.427322</t>
        </is>
      </c>
      <c r="E50" s="2" t="inlineStr">
        <is>
          <t>Pit lane entry</t>
        </is>
      </c>
      <c r="F50" s="2" t="inlineStr">
        <is>
          <t>FWF</t>
        </is>
      </c>
      <c r="G50" s="2" t="inlineStr">
        <is>
          <t>4 of 4</t>
        </is>
      </c>
      <c r="H50" s="2" t="inlineStr">
        <is>
          <t>Coates</t>
        </is>
      </c>
      <c r="I50" s="2" t="inlineStr">
        <is>
          <t>Toilets</t>
        </is>
      </c>
      <c r="J50" s="2" t="inlineStr">
        <is>
          <t>S01</t>
        </is>
      </c>
      <c r="K50" s="2" t="inlineStr">
        <is>
          <t>Master plan D001 (not a phone pin)</t>
        </is>
      </c>
      <c r="L50" s="4">
        <f>HYPERLINK("https://www.google.com/maps?q=-27.985461,153.427322","Open map")</f>
        <v/>
      </c>
      <c r="M50" s="2" t="inlineStr">
        <is>
          <t>on site</t>
        </is>
      </c>
      <c r="N50" s="2" t="n">
        <v>-27.985461</v>
      </c>
      <c r="O50" s="2" t="n">
        <v>153.427322</v>
      </c>
    </row>
    <row r="51">
      <c r="A51" s="5" t="inlineStr">
        <is>
          <t>WC13</t>
        </is>
      </c>
      <c r="B51" s="5" t="n">
        <v>1</v>
      </c>
      <c r="C51" s="6" t="inlineStr">
        <is>
          <t>0036</t>
        </is>
      </c>
      <c r="D51" s="5" t="inlineStr">
        <is>
          <t>-27.990956, 153.429519</t>
        </is>
      </c>
      <c r="E51" s="5" t="inlineStr"/>
      <c r="F51" s="5" t="inlineStr">
        <is>
          <t>FWF</t>
        </is>
      </c>
      <c r="G51" s="5" t="inlineStr">
        <is>
          <t>1 of 2</t>
        </is>
      </c>
      <c r="H51" s="5" t="inlineStr">
        <is>
          <t>Event Portables (sub-hire)</t>
        </is>
      </c>
      <c r="I51" s="5" t="inlineStr">
        <is>
          <t>Toilets</t>
        </is>
      </c>
      <c r="J51" s="5" t="inlineStr"/>
      <c r="K51" s="5" t="inlineStr">
        <is>
          <t>Master plan D001 (not a phone pin)</t>
        </is>
      </c>
      <c r="L51" s="7">
        <f>HYPERLINK("https://www.google.com/maps?q=-27.990956,153.429519","Open map")</f>
        <v/>
      </c>
      <c r="M51" s="5" t="inlineStr">
        <is>
          <t>on site</t>
        </is>
      </c>
      <c r="N51" s="5" t="n">
        <v>-27.990956</v>
      </c>
      <c r="O51" s="5" t="n">
        <v>153.429519</v>
      </c>
    </row>
    <row r="52">
      <c r="A52" s="2" t="inlineStr">
        <is>
          <t>WC13</t>
        </is>
      </c>
      <c r="B52" s="2" t="n">
        <v>1</v>
      </c>
      <c r="C52" s="3" t="inlineStr">
        <is>
          <t>0444</t>
        </is>
      </c>
      <c r="D52" s="2" t="inlineStr">
        <is>
          <t>-27.990956, 153.429519</t>
        </is>
      </c>
      <c r="E52" s="2" t="inlineStr"/>
      <c r="F52" s="2" t="inlineStr">
        <is>
          <t>FWF</t>
        </is>
      </c>
      <c r="G52" s="2" t="inlineStr">
        <is>
          <t>2 of 2</t>
        </is>
      </c>
      <c r="H52" s="2" t="inlineStr">
        <is>
          <t>Event Portables (sub-hire)</t>
        </is>
      </c>
      <c r="I52" s="2" t="inlineStr">
        <is>
          <t>Toilets</t>
        </is>
      </c>
      <c r="J52" s="2" t="inlineStr"/>
      <c r="K52" s="2" t="inlineStr">
        <is>
          <t>Master plan D001 (not a phone pin)</t>
        </is>
      </c>
      <c r="L52" s="4">
        <f>HYPERLINK("https://www.google.com/maps?q=-27.990956,153.429519","Open map")</f>
        <v/>
      </c>
      <c r="M52" s="2" t="inlineStr">
        <is>
          <t>on site</t>
        </is>
      </c>
      <c r="N52" s="2" t="n">
        <v>-27.990956</v>
      </c>
      <c r="O52" s="2" t="n">
        <v>153.429519</v>
      </c>
    </row>
    <row r="53">
      <c r="A53" s="5" t="inlineStr">
        <is>
          <t>WC15</t>
        </is>
      </c>
      <c r="B53" s="5" t="n">
        <v>1</v>
      </c>
      <c r="C53" s="6" t="inlineStr">
        <is>
          <t>1327226</t>
        </is>
      </c>
      <c r="D53" s="5" t="inlineStr">
        <is>
          <t>-27.986024, 153.428091</t>
        </is>
      </c>
      <c r="E53" s="5" t="inlineStr">
        <is>
          <t>Island north – by FREIGHT</t>
        </is>
      </c>
      <c r="F53" s="5" t="inlineStr">
        <is>
          <t>Toilet block 6m</t>
        </is>
      </c>
      <c r="G53" s="5" t="inlineStr">
        <is>
          <t>1 of 2</t>
        </is>
      </c>
      <c r="H53" s="5" t="inlineStr">
        <is>
          <t>Coates</t>
        </is>
      </c>
      <c r="I53" s="5" t="inlineStr">
        <is>
          <t>Toilets (Sewer Connect)</t>
        </is>
      </c>
      <c r="J53" s="5" t="inlineStr">
        <is>
          <t>S01</t>
        </is>
      </c>
      <c r="K53" s="5" t="inlineStr">
        <is>
          <t>Master plan D001 (not a phone pin)</t>
        </is>
      </c>
      <c r="L53" s="7">
        <f>HYPERLINK("https://www.google.com/maps?q=-27.986024,153.428091","Open map")</f>
        <v/>
      </c>
      <c r="M53" s="5" t="inlineStr">
        <is>
          <t>on site</t>
        </is>
      </c>
      <c r="N53" s="5" t="n">
        <v>-27.986024</v>
      </c>
      <c r="O53" s="5" t="n">
        <v>153.428091</v>
      </c>
    </row>
    <row r="54">
      <c r="A54" s="2" t="inlineStr">
        <is>
          <t>WC15</t>
        </is>
      </c>
      <c r="B54" s="2" t="n">
        <v>1</v>
      </c>
      <c r="C54" s="3" t="inlineStr">
        <is>
          <t>1303835</t>
        </is>
      </c>
      <c r="D54" s="2" t="inlineStr">
        <is>
          <t>-27.986024, 153.428091</t>
        </is>
      </c>
      <c r="E54" s="2" t="inlineStr">
        <is>
          <t>Island north – by FREIGHT</t>
        </is>
      </c>
      <c r="F54" s="2" t="inlineStr">
        <is>
          <t>Toilet block 6m</t>
        </is>
      </c>
      <c r="G54" s="2" t="inlineStr">
        <is>
          <t>2 of 2</t>
        </is>
      </c>
      <c r="H54" s="2" t="inlineStr">
        <is>
          <t>Coates</t>
        </is>
      </c>
      <c r="I54" s="2" t="inlineStr">
        <is>
          <t>Toilets (Sewer Connect)</t>
        </is>
      </c>
      <c r="J54" s="2" t="inlineStr">
        <is>
          <t>S01</t>
        </is>
      </c>
      <c r="K54" s="2" t="inlineStr">
        <is>
          <t>Master plan D001 (not a phone pin)</t>
        </is>
      </c>
      <c r="L54" s="4">
        <f>HYPERLINK("https://www.google.com/maps?q=-27.986024,153.428091","Open map")</f>
        <v/>
      </c>
      <c r="M54" s="2" t="inlineStr">
        <is>
          <t>on site</t>
        </is>
      </c>
      <c r="N54" s="2" t="n">
        <v>-27.986024</v>
      </c>
      <c r="O54" s="2" t="n">
        <v>153.428091</v>
      </c>
    </row>
    <row r="55">
      <c r="A55" s="5" t="inlineStr">
        <is>
          <t>WC16</t>
        </is>
      </c>
      <c r="B55" s="5" t="n">
        <v>1</v>
      </c>
      <c r="C55" s="6" t="inlineStr">
        <is>
          <t>1322587</t>
        </is>
      </c>
      <c r="D55" s="5" t="inlineStr">
        <is>
          <t>-27.985938, 153.427692</t>
        </is>
      </c>
      <c r="E55" s="5" t="inlineStr">
        <is>
          <t>Pit lane entry</t>
        </is>
      </c>
      <c r="F55" s="5" t="inlineStr">
        <is>
          <t>Toilet block 6m</t>
        </is>
      </c>
      <c r="G55" s="5" t="inlineStr">
        <is>
          <t>1 of 2</t>
        </is>
      </c>
      <c r="H55" s="5" t="inlineStr">
        <is>
          <t>Coates</t>
        </is>
      </c>
      <c r="I55" s="5" t="inlineStr">
        <is>
          <t>S01 Corporate Toilets - 1x Female, x Male (Sewer)</t>
        </is>
      </c>
      <c r="J55" s="5" t="inlineStr">
        <is>
          <t>S01</t>
        </is>
      </c>
      <c r="K55" s="5" t="inlineStr">
        <is>
          <t>Master plan D001 (not a phone pin)</t>
        </is>
      </c>
      <c r="L55" s="7">
        <f>HYPERLINK("https://www.google.com/maps?q=-27.985938,153.427692","Open map")</f>
        <v/>
      </c>
      <c r="M55" s="5" t="inlineStr">
        <is>
          <t>on site</t>
        </is>
      </c>
      <c r="N55" s="5" t="n">
        <v>-27.985938</v>
      </c>
      <c r="O55" s="5" t="n">
        <v>153.427692</v>
      </c>
    </row>
    <row r="56">
      <c r="A56" s="2" t="inlineStr">
        <is>
          <t>WC16</t>
        </is>
      </c>
      <c r="B56" s="2" t="n">
        <v>1</v>
      </c>
      <c r="C56" s="3" t="inlineStr">
        <is>
          <t>1322588</t>
        </is>
      </c>
      <c r="D56" s="2" t="inlineStr">
        <is>
          <t>-27.985938, 153.427692</t>
        </is>
      </c>
      <c r="E56" s="2" t="inlineStr">
        <is>
          <t>Pit lane entry</t>
        </is>
      </c>
      <c r="F56" s="2" t="inlineStr">
        <is>
          <t>Toilet block 6m</t>
        </is>
      </c>
      <c r="G56" s="2" t="inlineStr">
        <is>
          <t>2 of 2</t>
        </is>
      </c>
      <c r="H56" s="2" t="inlineStr">
        <is>
          <t>Coates</t>
        </is>
      </c>
      <c r="I56" s="2" t="inlineStr">
        <is>
          <t>S01 Corporate Toilets - 1x Female, x Male (Sewer)</t>
        </is>
      </c>
      <c r="J56" s="2" t="inlineStr">
        <is>
          <t>S01</t>
        </is>
      </c>
      <c r="K56" s="2" t="inlineStr">
        <is>
          <t>Master plan D001 (not a phone pin)</t>
        </is>
      </c>
      <c r="L56" s="4">
        <f>HYPERLINK("https://www.google.com/maps?q=-27.985938,153.427692","Open map")</f>
        <v/>
      </c>
      <c r="M56" s="2" t="inlineStr">
        <is>
          <t>on site</t>
        </is>
      </c>
      <c r="N56" s="2" t="n">
        <v>-27.985938</v>
      </c>
      <c r="O56" s="2" t="n">
        <v>153.427692</v>
      </c>
    </row>
    <row r="57">
      <c r="A57" s="5" t="inlineStr">
        <is>
          <t>WC17</t>
        </is>
      </c>
      <c r="B57" s="5" t="n">
        <v>1</v>
      </c>
      <c r="C57" s="6" t="inlineStr">
        <is>
          <t>1327224</t>
        </is>
      </c>
      <c r="D57" s="5" t="inlineStr">
        <is>
          <t>-27.986529, 153.428095</t>
        </is>
      </c>
      <c r="E57" s="5" t="inlineStr">
        <is>
          <t>Island north – by FREIGHT</t>
        </is>
      </c>
      <c r="F57" s="5" t="inlineStr">
        <is>
          <t>Toilet block 6m</t>
        </is>
      </c>
      <c r="G57" s="5" t="inlineStr">
        <is>
          <t>1 of 2</t>
        </is>
      </c>
      <c r="H57" s="5" t="inlineStr">
        <is>
          <t>Coates</t>
        </is>
      </c>
      <c r="I57" s="5" t="inlineStr">
        <is>
          <t>S01 Corporate Toilets</t>
        </is>
      </c>
      <c r="J57" s="5" t="inlineStr">
        <is>
          <t>S02</t>
        </is>
      </c>
      <c r="K57" s="5" t="inlineStr">
        <is>
          <t>Master plan D001 (not a phone pin)</t>
        </is>
      </c>
      <c r="L57" s="7">
        <f>HYPERLINK("https://www.google.com/maps?q=-27.986529,153.428095","Open map")</f>
        <v/>
      </c>
      <c r="M57" s="5" t="inlineStr">
        <is>
          <t>on site</t>
        </is>
      </c>
      <c r="N57" s="5" t="n">
        <v>-27.986529</v>
      </c>
      <c r="O57" s="5" t="n">
        <v>153.428095</v>
      </c>
    </row>
    <row r="58">
      <c r="A58" s="2" t="inlineStr">
        <is>
          <t>WC17</t>
        </is>
      </c>
      <c r="B58" s="2" t="n">
        <v>1</v>
      </c>
      <c r="C58" s="3" t="inlineStr">
        <is>
          <t>1327223</t>
        </is>
      </c>
      <c r="D58" s="2" t="inlineStr">
        <is>
          <t>-27.986529, 153.428095</t>
        </is>
      </c>
      <c r="E58" s="2" t="inlineStr">
        <is>
          <t>Island north – by FREIGHT</t>
        </is>
      </c>
      <c r="F58" s="2" t="inlineStr">
        <is>
          <t>Toilet block 6m</t>
        </is>
      </c>
      <c r="G58" s="2" t="inlineStr">
        <is>
          <t>2 of 2</t>
        </is>
      </c>
      <c r="H58" s="2" t="inlineStr">
        <is>
          <t>Coates</t>
        </is>
      </c>
      <c r="I58" s="2" t="inlineStr">
        <is>
          <t>S01 Corporate Toilets</t>
        </is>
      </c>
      <c r="J58" s="2" t="inlineStr">
        <is>
          <t>S02</t>
        </is>
      </c>
      <c r="K58" s="2" t="inlineStr">
        <is>
          <t>Master plan D001 (not a phone pin)</t>
        </is>
      </c>
      <c r="L58" s="4">
        <f>HYPERLINK("https://www.google.com/maps?q=-27.986529,153.428095","Open map")</f>
        <v/>
      </c>
      <c r="M58" s="2" t="inlineStr">
        <is>
          <t>on site</t>
        </is>
      </c>
      <c r="N58" s="2" t="n">
        <v>-27.986529</v>
      </c>
      <c r="O58" s="2" t="n">
        <v>153.428095</v>
      </c>
    </row>
    <row r="59">
      <c r="A59" s="5" t="inlineStr">
        <is>
          <t>WC19</t>
        </is>
      </c>
      <c r="B59" s="5" t="n">
        <v>1</v>
      </c>
      <c r="C59" s="6" t="inlineStr">
        <is>
          <t>0435</t>
        </is>
      </c>
      <c r="D59" s="5" t="inlineStr">
        <is>
          <t>-27.988240, 153.428267</t>
        </is>
      </c>
      <c r="E59" s="5" t="inlineStr">
        <is>
          <t>Island north – by FREIGHT</t>
        </is>
      </c>
      <c r="F59" s="5" t="inlineStr">
        <is>
          <t>FWF</t>
        </is>
      </c>
      <c r="G59" s="5" t="inlineStr">
        <is>
          <t>1 of 1</t>
        </is>
      </c>
      <c r="H59" s="5" t="inlineStr">
        <is>
          <t>Event Portables (sub-hire)</t>
        </is>
      </c>
      <c r="I59" s="5" t="inlineStr">
        <is>
          <t>Toilets</t>
        </is>
      </c>
      <c r="J59" s="5" t="inlineStr">
        <is>
          <t>S04</t>
        </is>
      </c>
      <c r="K59" s="5" t="inlineStr">
        <is>
          <t>Master plan D001 (not a phone pin)</t>
        </is>
      </c>
      <c r="L59" s="7">
        <f>HYPERLINK("https://www.google.com/maps?q=-27.98824,153.428267","Open map")</f>
        <v/>
      </c>
      <c r="M59" s="5" t="inlineStr">
        <is>
          <t>on site</t>
        </is>
      </c>
      <c r="N59" s="5" t="n">
        <v>-27.98824</v>
      </c>
      <c r="O59" s="5" t="n">
        <v>153.428267</v>
      </c>
    </row>
    <row r="60">
      <c r="A60" s="2" t="inlineStr">
        <is>
          <t>WC20</t>
        </is>
      </c>
      <c r="B60" s="2" t="n">
        <v>1</v>
      </c>
      <c r="C60" s="3" t="inlineStr">
        <is>
          <t>1327228</t>
        </is>
      </c>
      <c r="D60" s="2" t="inlineStr">
        <is>
          <t>-27.987468, 153.428179</t>
        </is>
      </c>
      <c r="E60" s="2" t="inlineStr">
        <is>
          <t>Island north – by FREIGHT</t>
        </is>
      </c>
      <c r="F60" s="2" t="inlineStr">
        <is>
          <t>Toilet block 6m</t>
        </is>
      </c>
      <c r="G60" s="2" t="inlineStr">
        <is>
          <t>1 of 2</t>
        </is>
      </c>
      <c r="H60" s="2" t="inlineStr">
        <is>
          <t>Coates</t>
        </is>
      </c>
      <c r="I60" s="2" t="inlineStr">
        <is>
          <t>Toilets (Tank Mounted)</t>
        </is>
      </c>
      <c r="J60" s="2" t="inlineStr">
        <is>
          <t>S04</t>
        </is>
      </c>
      <c r="K60" s="2" t="inlineStr">
        <is>
          <t>Master plan D001 (not a phone pin)</t>
        </is>
      </c>
      <c r="L60" s="4">
        <f>HYPERLINK("https://www.google.com/maps?q=-27.987468,153.428179","Open map")</f>
        <v/>
      </c>
      <c r="M60" s="2" t="inlineStr">
        <is>
          <t>on site</t>
        </is>
      </c>
      <c r="N60" s="2" t="n">
        <v>-27.987468</v>
      </c>
      <c r="O60" s="2" t="n">
        <v>153.428179</v>
      </c>
    </row>
    <row r="61">
      <c r="A61" s="5" t="inlineStr">
        <is>
          <t>WC20</t>
        </is>
      </c>
      <c r="B61" s="5" t="n">
        <v>1</v>
      </c>
      <c r="C61" s="6" t="inlineStr">
        <is>
          <t>1327225</t>
        </is>
      </c>
      <c r="D61" s="5" t="inlineStr">
        <is>
          <t>-27.987468, 153.428179</t>
        </is>
      </c>
      <c r="E61" s="5" t="inlineStr">
        <is>
          <t>Island north – by FREIGHT</t>
        </is>
      </c>
      <c r="F61" s="5" t="inlineStr">
        <is>
          <t>Toilet block 6m</t>
        </is>
      </c>
      <c r="G61" s="5" t="inlineStr">
        <is>
          <t>2 of 2</t>
        </is>
      </c>
      <c r="H61" s="5" t="inlineStr">
        <is>
          <t>Coates</t>
        </is>
      </c>
      <c r="I61" s="5" t="inlineStr">
        <is>
          <t>Toilets (Tank Mounted)</t>
        </is>
      </c>
      <c r="J61" s="5" t="inlineStr">
        <is>
          <t>S04</t>
        </is>
      </c>
      <c r="K61" s="5" t="inlineStr">
        <is>
          <t>Master plan D001 (not a phone pin)</t>
        </is>
      </c>
      <c r="L61" s="7">
        <f>HYPERLINK("https://www.google.com/maps?q=-27.987468,153.428179","Open map")</f>
        <v/>
      </c>
      <c r="M61" s="5" t="inlineStr">
        <is>
          <t>on site</t>
        </is>
      </c>
      <c r="N61" s="5" t="n">
        <v>-27.987468</v>
      </c>
      <c r="O61" s="5" t="n">
        <v>153.428179</v>
      </c>
    </row>
    <row r="62">
      <c r="A62" s="2" t="inlineStr">
        <is>
          <t>WC21</t>
        </is>
      </c>
      <c r="B62" s="2" t="n">
        <v>1</v>
      </c>
      <c r="C62" s="3" t="inlineStr">
        <is>
          <t>1002747</t>
        </is>
      </c>
      <c r="D62" s="2" t="inlineStr">
        <is>
          <t>-27.989159, 153.428619</t>
        </is>
      </c>
      <c r="E62" s="2" t="inlineStr"/>
      <c r="F62" s="2" t="inlineStr">
        <is>
          <t>FWF</t>
        </is>
      </c>
      <c r="G62" s="2" t="inlineStr">
        <is>
          <t>1 of 6</t>
        </is>
      </c>
      <c r="H62" s="2" t="inlineStr">
        <is>
          <t>Coates</t>
        </is>
      </c>
      <c r="I62" s="2" t="inlineStr">
        <is>
          <t>Toilets</t>
        </is>
      </c>
      <c r="J62" s="2" t="inlineStr">
        <is>
          <t>S05</t>
        </is>
      </c>
      <c r="K62" s="2" t="inlineStr">
        <is>
          <t>Master plan D001 (not a phone pin)</t>
        </is>
      </c>
      <c r="L62" s="4">
        <f>HYPERLINK("https://www.google.com/maps?q=-27.989159,153.428619","Open map")</f>
        <v/>
      </c>
      <c r="M62" s="2" t="inlineStr">
        <is>
          <t>on site</t>
        </is>
      </c>
      <c r="N62" s="2" t="n">
        <v>-27.989159</v>
      </c>
      <c r="O62" s="2" t="n">
        <v>153.428619</v>
      </c>
    </row>
    <row r="63">
      <c r="A63" s="5" t="inlineStr">
        <is>
          <t>WC21</t>
        </is>
      </c>
      <c r="B63" s="5" t="n">
        <v>1</v>
      </c>
      <c r="C63" s="6" t="inlineStr">
        <is>
          <t>1103497</t>
        </is>
      </c>
      <c r="D63" s="5" t="inlineStr">
        <is>
          <t>-27.989159, 153.428619</t>
        </is>
      </c>
      <c r="E63" s="5" t="inlineStr"/>
      <c r="F63" s="5" t="inlineStr">
        <is>
          <t>FWF</t>
        </is>
      </c>
      <c r="G63" s="5" t="inlineStr">
        <is>
          <t>2 of 6</t>
        </is>
      </c>
      <c r="H63" s="5" t="inlineStr">
        <is>
          <t>Coates</t>
        </is>
      </c>
      <c r="I63" s="5" t="inlineStr">
        <is>
          <t>Toilets</t>
        </is>
      </c>
      <c r="J63" s="5" t="inlineStr">
        <is>
          <t>S05</t>
        </is>
      </c>
      <c r="K63" s="5" t="inlineStr">
        <is>
          <t>Master plan D001 (not a phone pin)</t>
        </is>
      </c>
      <c r="L63" s="7">
        <f>HYPERLINK("https://www.google.com/maps?q=-27.989159,153.428619","Open map")</f>
        <v/>
      </c>
      <c r="M63" s="5" t="inlineStr">
        <is>
          <t>on site</t>
        </is>
      </c>
      <c r="N63" s="5" t="n">
        <v>-27.989159</v>
      </c>
      <c r="O63" s="5" t="n">
        <v>153.428619</v>
      </c>
    </row>
    <row r="64">
      <c r="A64" s="2" t="inlineStr">
        <is>
          <t>WC21</t>
        </is>
      </c>
      <c r="B64" s="2" t="n">
        <v>1</v>
      </c>
      <c r="C64" s="3" t="inlineStr">
        <is>
          <t>1211964</t>
        </is>
      </c>
      <c r="D64" s="2" t="inlineStr">
        <is>
          <t>-27.989159, 153.428619</t>
        </is>
      </c>
      <c r="E64" s="2" t="inlineStr"/>
      <c r="F64" s="2" t="inlineStr">
        <is>
          <t>FWF</t>
        </is>
      </c>
      <c r="G64" s="2" t="inlineStr">
        <is>
          <t>3 of 6</t>
        </is>
      </c>
      <c r="H64" s="2" t="inlineStr">
        <is>
          <t>Coates</t>
        </is>
      </c>
      <c r="I64" s="2" t="inlineStr">
        <is>
          <t>Toilets</t>
        </is>
      </c>
      <c r="J64" s="2" t="inlineStr">
        <is>
          <t>S05</t>
        </is>
      </c>
      <c r="K64" s="2" t="inlineStr">
        <is>
          <t>Master plan D001 (not a phone pin)</t>
        </is>
      </c>
      <c r="L64" s="4">
        <f>HYPERLINK("https://www.google.com/maps?q=-27.989159,153.428619","Open map")</f>
        <v/>
      </c>
      <c r="M64" s="2" t="inlineStr">
        <is>
          <t>on site</t>
        </is>
      </c>
      <c r="N64" s="2" t="n">
        <v>-27.989159</v>
      </c>
      <c r="O64" s="2" t="n">
        <v>153.428619</v>
      </c>
    </row>
    <row r="65">
      <c r="A65" s="5" t="inlineStr">
        <is>
          <t>WC21</t>
        </is>
      </c>
      <c r="B65" s="5" t="n">
        <v>1</v>
      </c>
      <c r="C65" s="6" t="inlineStr">
        <is>
          <t>1211971</t>
        </is>
      </c>
      <c r="D65" s="5" t="inlineStr">
        <is>
          <t>-27.989159, 153.428619</t>
        </is>
      </c>
      <c r="E65" s="5" t="inlineStr"/>
      <c r="F65" s="5" t="inlineStr">
        <is>
          <t>FWF</t>
        </is>
      </c>
      <c r="G65" s="5" t="inlineStr">
        <is>
          <t>4 of 6</t>
        </is>
      </c>
      <c r="H65" s="5" t="inlineStr">
        <is>
          <t>Coates</t>
        </is>
      </c>
      <c r="I65" s="5" t="inlineStr">
        <is>
          <t>Toilets</t>
        </is>
      </c>
      <c r="J65" s="5" t="inlineStr">
        <is>
          <t>S05</t>
        </is>
      </c>
      <c r="K65" s="5" t="inlineStr">
        <is>
          <t>Master plan D001 (not a phone pin)</t>
        </is>
      </c>
      <c r="L65" s="7">
        <f>HYPERLINK("https://www.google.com/maps?q=-27.989159,153.428619","Open map")</f>
        <v/>
      </c>
      <c r="M65" s="5" t="inlineStr">
        <is>
          <t>on site</t>
        </is>
      </c>
      <c r="N65" s="5" t="n">
        <v>-27.989159</v>
      </c>
      <c r="O65" s="5" t="n">
        <v>153.428619</v>
      </c>
    </row>
    <row r="66">
      <c r="A66" s="2" t="inlineStr">
        <is>
          <t>WC21</t>
        </is>
      </c>
      <c r="B66" s="2" t="n">
        <v>1</v>
      </c>
      <c r="C66" s="3" t="inlineStr">
        <is>
          <t>1211977</t>
        </is>
      </c>
      <c r="D66" s="2" t="inlineStr">
        <is>
          <t>-27.989159, 153.428619</t>
        </is>
      </c>
      <c r="E66" s="2" t="inlineStr"/>
      <c r="F66" s="2" t="inlineStr">
        <is>
          <t>FWF</t>
        </is>
      </c>
      <c r="G66" s="2" t="inlineStr">
        <is>
          <t>5 of 6</t>
        </is>
      </c>
      <c r="H66" s="2" t="inlineStr">
        <is>
          <t>Coates</t>
        </is>
      </c>
      <c r="I66" s="2" t="inlineStr">
        <is>
          <t>Toilets</t>
        </is>
      </c>
      <c r="J66" s="2" t="inlineStr">
        <is>
          <t>S05</t>
        </is>
      </c>
      <c r="K66" s="2" t="inlineStr">
        <is>
          <t>Master plan D001 (not a phone pin)</t>
        </is>
      </c>
      <c r="L66" s="4">
        <f>HYPERLINK("https://www.google.com/maps?q=-27.989159,153.428619","Open map")</f>
        <v/>
      </c>
      <c r="M66" s="2" t="inlineStr">
        <is>
          <t>on site</t>
        </is>
      </c>
      <c r="N66" s="2" t="n">
        <v>-27.989159</v>
      </c>
      <c r="O66" s="2" t="n">
        <v>153.428619</v>
      </c>
    </row>
    <row r="67">
      <c r="A67" s="5" t="inlineStr">
        <is>
          <t>WC21</t>
        </is>
      </c>
      <c r="B67" s="5" t="n">
        <v>1</v>
      </c>
      <c r="C67" s="6" t="inlineStr">
        <is>
          <t>1212172</t>
        </is>
      </c>
      <c r="D67" s="5" t="inlineStr">
        <is>
          <t>-27.989159, 153.428619</t>
        </is>
      </c>
      <c r="E67" s="5" t="inlineStr"/>
      <c r="F67" s="5" t="inlineStr">
        <is>
          <t>FWF</t>
        </is>
      </c>
      <c r="G67" s="5" t="inlineStr">
        <is>
          <t>6 of 6</t>
        </is>
      </c>
      <c r="H67" s="5" t="inlineStr">
        <is>
          <t>Coates</t>
        </is>
      </c>
      <c r="I67" s="5" t="inlineStr">
        <is>
          <t>Toilets</t>
        </is>
      </c>
      <c r="J67" s="5" t="inlineStr">
        <is>
          <t>S05</t>
        </is>
      </c>
      <c r="K67" s="5" t="inlineStr">
        <is>
          <t>Master plan D001 (not a phone pin)</t>
        </is>
      </c>
      <c r="L67" s="7">
        <f>HYPERLINK("https://www.google.com/maps?q=-27.989159,153.428619","Open map")</f>
        <v/>
      </c>
      <c r="M67" s="5" t="inlineStr">
        <is>
          <t>on site</t>
        </is>
      </c>
      <c r="N67" s="5" t="n">
        <v>-27.989159</v>
      </c>
      <c r="O67" s="5" t="n">
        <v>153.428619</v>
      </c>
    </row>
    <row r="68">
      <c r="A68" s="2" t="inlineStr">
        <is>
          <t>WC23</t>
        </is>
      </c>
      <c r="B68" s="2" t="n">
        <v>1</v>
      </c>
      <c r="C68" s="3" t="inlineStr">
        <is>
          <t>0992</t>
        </is>
      </c>
      <c r="D68" s="2" t="inlineStr">
        <is>
          <t>-27.989504, 153.429199</t>
        </is>
      </c>
      <c r="E68" s="2" t="inlineStr"/>
      <c r="F68" s="2" t="inlineStr">
        <is>
          <t>FWF</t>
        </is>
      </c>
      <c r="G68" s="2" t="inlineStr">
        <is>
          <t>1 of 5</t>
        </is>
      </c>
      <c r="H68" s="2" t="inlineStr">
        <is>
          <t>Event Portables (sub-hire)</t>
        </is>
      </c>
      <c r="I68" s="2" t="inlineStr">
        <is>
          <t>Toilets</t>
        </is>
      </c>
      <c r="J68" s="2" t="inlineStr">
        <is>
          <t>S05</t>
        </is>
      </c>
      <c r="K68" s="2" t="inlineStr">
        <is>
          <t>Master plan D001 (not a phone pin)</t>
        </is>
      </c>
      <c r="L68" s="4">
        <f>HYPERLINK("https://www.google.com/maps?q=-27.989504,153.429199","Open map")</f>
        <v/>
      </c>
      <c r="M68" s="2" t="inlineStr">
        <is>
          <t>on site</t>
        </is>
      </c>
      <c r="N68" s="2" t="n">
        <v>-27.989504</v>
      </c>
      <c r="O68" s="2" t="n">
        <v>153.429199</v>
      </c>
    </row>
    <row r="69">
      <c r="A69" s="5" t="inlineStr">
        <is>
          <t>WC23</t>
        </is>
      </c>
      <c r="B69" s="5" t="n">
        <v>1</v>
      </c>
      <c r="C69" s="6" t="inlineStr">
        <is>
          <t>0968</t>
        </is>
      </c>
      <c r="D69" s="5" t="inlineStr">
        <is>
          <t>-27.989504, 153.429199</t>
        </is>
      </c>
      <c r="E69" s="5" t="inlineStr"/>
      <c r="F69" s="5" t="inlineStr">
        <is>
          <t>FWF</t>
        </is>
      </c>
      <c r="G69" s="5" t="inlineStr">
        <is>
          <t>2 of 5</t>
        </is>
      </c>
      <c r="H69" s="5" t="inlineStr">
        <is>
          <t>Event Portables (sub-hire)</t>
        </is>
      </c>
      <c r="I69" s="5" t="inlineStr">
        <is>
          <t>Toilets</t>
        </is>
      </c>
      <c r="J69" s="5" t="inlineStr">
        <is>
          <t>S05</t>
        </is>
      </c>
      <c r="K69" s="5" t="inlineStr">
        <is>
          <t>Master plan D001 (not a phone pin)</t>
        </is>
      </c>
      <c r="L69" s="7">
        <f>HYPERLINK("https://www.google.com/maps?q=-27.989504,153.429199","Open map")</f>
        <v/>
      </c>
      <c r="M69" s="5" t="inlineStr">
        <is>
          <t>on site</t>
        </is>
      </c>
      <c r="N69" s="5" t="n">
        <v>-27.989504</v>
      </c>
      <c r="O69" s="5" t="n">
        <v>153.429199</v>
      </c>
    </row>
    <row r="70">
      <c r="A70" s="2" t="inlineStr">
        <is>
          <t>WC23</t>
        </is>
      </c>
      <c r="B70" s="2" t="n">
        <v>1</v>
      </c>
      <c r="C70" s="3" t="inlineStr">
        <is>
          <t>0960</t>
        </is>
      </c>
      <c r="D70" s="2" t="inlineStr">
        <is>
          <t>-27.989504, 153.429199</t>
        </is>
      </c>
      <c r="E70" s="2" t="inlineStr"/>
      <c r="F70" s="2" t="inlineStr">
        <is>
          <t>FWF</t>
        </is>
      </c>
      <c r="G70" s="2" t="inlineStr">
        <is>
          <t>3 of 5</t>
        </is>
      </c>
      <c r="H70" s="2" t="inlineStr">
        <is>
          <t>Event Portables (sub-hire)</t>
        </is>
      </c>
      <c r="I70" s="2" t="inlineStr">
        <is>
          <t>Toilets</t>
        </is>
      </c>
      <c r="J70" s="2" t="inlineStr">
        <is>
          <t>S05</t>
        </is>
      </c>
      <c r="K70" s="2" t="inlineStr">
        <is>
          <t>Master plan D001 (not a phone pin)</t>
        </is>
      </c>
      <c r="L70" s="4">
        <f>HYPERLINK("https://www.google.com/maps?q=-27.989504,153.429199","Open map")</f>
        <v/>
      </c>
      <c r="M70" s="2" t="inlineStr">
        <is>
          <t>on site</t>
        </is>
      </c>
      <c r="N70" s="2" t="n">
        <v>-27.989504</v>
      </c>
      <c r="O70" s="2" t="n">
        <v>153.429199</v>
      </c>
    </row>
    <row r="71">
      <c r="A71" s="5" t="inlineStr">
        <is>
          <t>WC23</t>
        </is>
      </c>
      <c r="B71" s="5" t="n">
        <v>1</v>
      </c>
      <c r="C71" s="6" t="inlineStr">
        <is>
          <t>0107</t>
        </is>
      </c>
      <c r="D71" s="5" t="inlineStr">
        <is>
          <t>-27.989504, 153.429199</t>
        </is>
      </c>
      <c r="E71" s="5" t="inlineStr"/>
      <c r="F71" s="5" t="inlineStr">
        <is>
          <t>FWF</t>
        </is>
      </c>
      <c r="G71" s="5" t="inlineStr">
        <is>
          <t>4 of 5</t>
        </is>
      </c>
      <c r="H71" s="5" t="inlineStr">
        <is>
          <t>Event Portables (sub-hire)</t>
        </is>
      </c>
      <c r="I71" s="5" t="inlineStr">
        <is>
          <t>Toilets</t>
        </is>
      </c>
      <c r="J71" s="5" t="inlineStr">
        <is>
          <t>S05</t>
        </is>
      </c>
      <c r="K71" s="5" t="inlineStr">
        <is>
          <t>Master plan D001 (not a phone pin)</t>
        </is>
      </c>
      <c r="L71" s="7">
        <f>HYPERLINK("https://www.google.com/maps?q=-27.989504,153.429199","Open map")</f>
        <v/>
      </c>
      <c r="M71" s="5" t="inlineStr">
        <is>
          <t>on site</t>
        </is>
      </c>
      <c r="N71" s="5" t="n">
        <v>-27.989504</v>
      </c>
      <c r="O71" s="5" t="n">
        <v>153.429199</v>
      </c>
    </row>
    <row r="72">
      <c r="A72" s="2" t="inlineStr">
        <is>
          <t>WC23</t>
        </is>
      </c>
      <c r="B72" s="2" t="n">
        <v>1</v>
      </c>
      <c r="C72" s="3" t="inlineStr">
        <is>
          <t>0969</t>
        </is>
      </c>
      <c r="D72" s="2" t="inlineStr">
        <is>
          <t>-27.989504, 153.429199</t>
        </is>
      </c>
      <c r="E72" s="2" t="inlineStr"/>
      <c r="F72" s="2" t="inlineStr">
        <is>
          <t>FWF</t>
        </is>
      </c>
      <c r="G72" s="2" t="inlineStr">
        <is>
          <t>5 of 5</t>
        </is>
      </c>
      <c r="H72" s="2" t="inlineStr">
        <is>
          <t>Event Portables (sub-hire)</t>
        </is>
      </c>
      <c r="I72" s="2" t="inlineStr">
        <is>
          <t>Toilets</t>
        </is>
      </c>
      <c r="J72" s="2" t="inlineStr">
        <is>
          <t>S05</t>
        </is>
      </c>
      <c r="K72" s="2" t="inlineStr">
        <is>
          <t>Master plan D001 (not a phone pin)</t>
        </is>
      </c>
      <c r="L72" s="4">
        <f>HYPERLINK("https://www.google.com/maps?q=-27.989504,153.429199","Open map")</f>
        <v/>
      </c>
      <c r="M72" s="2" t="inlineStr">
        <is>
          <t>on site</t>
        </is>
      </c>
      <c r="N72" s="2" t="n">
        <v>-27.989504</v>
      </c>
      <c r="O72" s="2" t="n">
        <v>153.429199</v>
      </c>
    </row>
    <row r="73">
      <c r="A73" s="5" t="inlineStr">
        <is>
          <t>WC24</t>
        </is>
      </c>
      <c r="B73" s="5" t="n">
        <v>1</v>
      </c>
      <c r="C73" s="6" t="inlineStr">
        <is>
          <t>0489</t>
        </is>
      </c>
      <c r="D73" s="5" t="inlineStr">
        <is>
          <t>-27.991038, 153.429656</t>
        </is>
      </c>
      <c r="E73" s="5" t="inlineStr"/>
      <c r="F73" s="5" t="inlineStr">
        <is>
          <t>FWF</t>
        </is>
      </c>
      <c r="G73" s="5" t="inlineStr">
        <is>
          <t>1 of 1</t>
        </is>
      </c>
      <c r="H73" s="5" t="inlineStr">
        <is>
          <t>Event Portables (sub-hire)</t>
        </is>
      </c>
      <c r="I73" s="5" t="inlineStr">
        <is>
          <t>Toilets</t>
        </is>
      </c>
      <c r="J73" s="5" t="inlineStr"/>
      <c r="K73" s="5" t="inlineStr">
        <is>
          <t>Master plan D001 (not a phone pin)</t>
        </is>
      </c>
      <c r="L73" s="7">
        <f>HYPERLINK("https://www.google.com/maps?q=-27.991038,153.429656","Open map")</f>
        <v/>
      </c>
      <c r="M73" s="5" t="inlineStr">
        <is>
          <t>on site</t>
        </is>
      </c>
      <c r="N73" s="5" t="n">
        <v>-27.991038</v>
      </c>
      <c r="O73" s="5" t="n">
        <v>153.429656</v>
      </c>
    </row>
    <row r="74">
      <c r="A74" s="2" t="inlineStr">
        <is>
          <t>WC25</t>
        </is>
      </c>
      <c r="B74" s="2" t="n">
        <v>1</v>
      </c>
      <c r="C74" s="3" t="inlineStr">
        <is>
          <t>0472</t>
        </is>
      </c>
      <c r="D74" s="2" t="inlineStr">
        <is>
          <t>-27.990061, 153.428838</t>
        </is>
      </c>
      <c r="E74" s="2" t="inlineStr"/>
      <c r="F74" s="2" t="inlineStr">
        <is>
          <t>FWF</t>
        </is>
      </c>
      <c r="G74" s="2" t="inlineStr">
        <is>
          <t>1 of 1</t>
        </is>
      </c>
      <c r="H74" s="2" t="inlineStr">
        <is>
          <t>Event Portables (sub-hire)</t>
        </is>
      </c>
      <c r="I74" s="2" t="inlineStr">
        <is>
          <t>Toilets</t>
        </is>
      </c>
      <c r="J74" s="2" t="inlineStr">
        <is>
          <t>S15</t>
        </is>
      </c>
      <c r="K74" s="2" t="inlineStr">
        <is>
          <t>Master plan D001 (not a phone pin)</t>
        </is>
      </c>
      <c r="L74" s="4">
        <f>HYPERLINK("https://www.google.com/maps?q=-27.990061,153.428838","Open map")</f>
        <v/>
      </c>
      <c r="M74" s="2" t="inlineStr">
        <is>
          <t>on site</t>
        </is>
      </c>
      <c r="N74" s="2" t="n">
        <v>-27.990061</v>
      </c>
      <c r="O74" s="2" t="n">
        <v>153.428838</v>
      </c>
    </row>
    <row r="75">
      <c r="A75" s="5" t="inlineStr">
        <is>
          <t>WC26</t>
        </is>
      </c>
      <c r="B75" s="5" t="n">
        <v>1</v>
      </c>
      <c r="C75" s="6" t="inlineStr">
        <is>
          <t>0075</t>
        </is>
      </c>
      <c r="D75" s="5" t="inlineStr">
        <is>
          <t>-27.988803, 153.429594</t>
        </is>
      </c>
      <c r="E75" s="5" t="inlineStr"/>
      <c r="F75" s="5" t="inlineStr">
        <is>
          <t>FWF</t>
        </is>
      </c>
      <c r="G75" s="5" t="inlineStr">
        <is>
          <t>1 of 1</t>
        </is>
      </c>
      <c r="H75" s="5" t="inlineStr">
        <is>
          <t>Event Portables (sub-hire)</t>
        </is>
      </c>
      <c r="I75" s="5" t="inlineStr">
        <is>
          <t>Toilets</t>
        </is>
      </c>
      <c r="J75" s="5" t="inlineStr"/>
      <c r="K75" s="5" t="inlineStr">
        <is>
          <t>Master plan D001 (not a phone pin)</t>
        </is>
      </c>
      <c r="L75" s="7">
        <f>HYPERLINK("https://www.google.com/maps?q=-27.988803,153.429594","Open map")</f>
        <v/>
      </c>
      <c r="M75" s="5" t="inlineStr">
        <is>
          <t>on site</t>
        </is>
      </c>
      <c r="N75" s="5" t="n">
        <v>-27.988803</v>
      </c>
      <c r="O75" s="5" t="n">
        <v>153.429594</v>
      </c>
    </row>
    <row r="76">
      <c r="A76" s="2" t="inlineStr">
        <is>
          <t>WC27</t>
        </is>
      </c>
      <c r="B76" s="2" t="n">
        <v>1</v>
      </c>
      <c r="C76" s="3" t="inlineStr">
        <is>
          <t>1119484</t>
        </is>
      </c>
      <c r="D76" s="2" t="inlineStr">
        <is>
          <t>-27.985240, 153.429459</t>
        </is>
      </c>
      <c r="E76" s="2" t="inlineStr">
        <is>
          <t>Main Beach Pde land side – by T8 / A19</t>
        </is>
      </c>
      <c r="F76" s="2" t="inlineStr">
        <is>
          <t>Toilet block 6m</t>
        </is>
      </c>
      <c r="G76" s="2" t="inlineStr">
        <is>
          <t>1 of 1</t>
        </is>
      </c>
      <c r="H76" s="2" t="inlineStr">
        <is>
          <t>Coates</t>
        </is>
      </c>
      <c r="I76" s="2" t="inlineStr">
        <is>
          <t>Toilet (Tank Mounted)</t>
        </is>
      </c>
      <c r="J76" s="2" t="inlineStr">
        <is>
          <t>S08</t>
        </is>
      </c>
      <c r="K76" s="2" t="inlineStr">
        <is>
          <t>Master plan D001 (not a phone pin)</t>
        </is>
      </c>
      <c r="L76" s="4">
        <f>HYPERLINK("https://www.google.com/maps?q=-27.98524,153.429459","Open map")</f>
        <v/>
      </c>
      <c r="M76" s="2" t="inlineStr">
        <is>
          <t>on site</t>
        </is>
      </c>
      <c r="N76" s="2" t="n">
        <v>-27.98524</v>
      </c>
      <c r="O76" s="2" t="n">
        <v>153.429459</v>
      </c>
    </row>
    <row r="77">
      <c r="A77" s="5" t="inlineStr">
        <is>
          <t>WC28</t>
        </is>
      </c>
      <c r="B77" s="5" t="n">
        <v>1</v>
      </c>
      <c r="C77" s="6" t="inlineStr">
        <is>
          <t>0102</t>
        </is>
      </c>
      <c r="D77" s="5" t="inlineStr">
        <is>
          <t>-27.983401, 153.429161</t>
        </is>
      </c>
      <c r="E77" s="5" t="inlineStr"/>
      <c r="F77" s="5" t="inlineStr">
        <is>
          <t>FWF</t>
        </is>
      </c>
      <c r="G77" s="5" t="inlineStr">
        <is>
          <t>1 of 1</t>
        </is>
      </c>
      <c r="H77" s="5" t="inlineStr">
        <is>
          <t>Event Portables (sub-hire)</t>
        </is>
      </c>
      <c r="I77" s="5" t="inlineStr">
        <is>
          <t>Toilets</t>
        </is>
      </c>
      <c r="J77" s="5" t="inlineStr"/>
      <c r="K77" s="5" t="inlineStr">
        <is>
          <t>Master plan D001 (not a phone pin)</t>
        </is>
      </c>
      <c r="L77" s="7">
        <f>HYPERLINK("https://www.google.com/maps?q=-27.983401,153.429161","Open map")</f>
        <v/>
      </c>
      <c r="M77" s="5" t="inlineStr">
        <is>
          <t>on site</t>
        </is>
      </c>
      <c r="N77" s="5" t="n">
        <v>-27.983401</v>
      </c>
      <c r="O77" s="5" t="n">
        <v>153.429161</v>
      </c>
    </row>
    <row r="78">
      <c r="A78" s="2" t="inlineStr">
        <is>
          <t>WC29</t>
        </is>
      </c>
      <c r="B78" s="2" t="n">
        <v>1</v>
      </c>
      <c r="C78" s="3" t="inlineStr">
        <is>
          <t>0079</t>
        </is>
      </c>
      <c r="D78" s="2" t="inlineStr">
        <is>
          <t>-27.983561, 153.428573</t>
        </is>
      </c>
      <c r="E78" s="2" t="inlineStr"/>
      <c r="F78" s="2" t="inlineStr">
        <is>
          <t>FWF</t>
        </is>
      </c>
      <c r="G78" s="2" t="inlineStr">
        <is>
          <t>1 of 7</t>
        </is>
      </c>
      <c r="H78" s="2" t="inlineStr">
        <is>
          <t>Event Portables (sub-hire)</t>
        </is>
      </c>
      <c r="I78" s="2" t="inlineStr">
        <is>
          <t>Toilets</t>
        </is>
      </c>
      <c r="J78" s="2" t="inlineStr"/>
      <c r="K78" s="2" t="inlineStr">
        <is>
          <t>Master plan D001 (not a phone pin)</t>
        </is>
      </c>
      <c r="L78" s="4">
        <f>HYPERLINK("https://www.google.com/maps?q=-27.983561,153.428573","Open map")</f>
        <v/>
      </c>
      <c r="M78" s="2" t="inlineStr">
        <is>
          <t>on site</t>
        </is>
      </c>
      <c r="N78" s="2" t="n">
        <v>-27.983561</v>
      </c>
      <c r="O78" s="2" t="n">
        <v>153.428573</v>
      </c>
    </row>
    <row r="79">
      <c r="A79" s="5" t="inlineStr">
        <is>
          <t>WC29</t>
        </is>
      </c>
      <c r="B79" s="5" t="n">
        <v>1</v>
      </c>
      <c r="C79" s="6" t="inlineStr">
        <is>
          <t>0546</t>
        </is>
      </c>
      <c r="D79" s="5" t="inlineStr">
        <is>
          <t>-27.983561, 153.428573</t>
        </is>
      </c>
      <c r="E79" s="5" t="inlineStr"/>
      <c r="F79" s="5" t="inlineStr">
        <is>
          <t>FWF</t>
        </is>
      </c>
      <c r="G79" s="5" t="inlineStr">
        <is>
          <t>2 of 7</t>
        </is>
      </c>
      <c r="H79" s="5" t="inlineStr">
        <is>
          <t>Event Portables (sub-hire)</t>
        </is>
      </c>
      <c r="I79" s="5" t="inlineStr">
        <is>
          <t>Toilets</t>
        </is>
      </c>
      <c r="J79" s="5" t="inlineStr"/>
      <c r="K79" s="5" t="inlineStr">
        <is>
          <t>Master plan D001 (not a phone pin)</t>
        </is>
      </c>
      <c r="L79" s="7">
        <f>HYPERLINK("https://www.google.com/maps?q=-27.983561,153.428573","Open map")</f>
        <v/>
      </c>
      <c r="M79" s="5" t="inlineStr">
        <is>
          <t>on site</t>
        </is>
      </c>
      <c r="N79" s="5" t="n">
        <v>-27.983561</v>
      </c>
      <c r="O79" s="5" t="n">
        <v>153.428573</v>
      </c>
    </row>
    <row r="80">
      <c r="A80" s="2" t="inlineStr">
        <is>
          <t>WC29</t>
        </is>
      </c>
      <c r="B80" s="2" t="n">
        <v>1</v>
      </c>
      <c r="C80" s="3" t="inlineStr">
        <is>
          <t>0707</t>
        </is>
      </c>
      <c r="D80" s="2" t="inlineStr">
        <is>
          <t>-27.983561, 153.428573</t>
        </is>
      </c>
      <c r="E80" s="2" t="inlineStr"/>
      <c r="F80" s="2" t="inlineStr">
        <is>
          <t>FWF</t>
        </is>
      </c>
      <c r="G80" s="2" t="inlineStr">
        <is>
          <t>3 of 7</t>
        </is>
      </c>
      <c r="H80" s="2" t="inlineStr">
        <is>
          <t>Event Portables (sub-hire)</t>
        </is>
      </c>
      <c r="I80" s="2" t="inlineStr">
        <is>
          <t>Toilets</t>
        </is>
      </c>
      <c r="J80" s="2" t="inlineStr"/>
      <c r="K80" s="2" t="inlineStr">
        <is>
          <t>Master plan D001 (not a phone pin)</t>
        </is>
      </c>
      <c r="L80" s="4">
        <f>HYPERLINK("https://www.google.com/maps?q=-27.983561,153.428573","Open map")</f>
        <v/>
      </c>
      <c r="M80" s="2" t="inlineStr">
        <is>
          <t>on site</t>
        </is>
      </c>
      <c r="N80" s="2" t="n">
        <v>-27.983561</v>
      </c>
      <c r="O80" s="2" t="n">
        <v>153.428573</v>
      </c>
    </row>
    <row r="81">
      <c r="A81" s="5" t="inlineStr">
        <is>
          <t>WC29</t>
        </is>
      </c>
      <c r="B81" s="5" t="n">
        <v>1</v>
      </c>
      <c r="C81" s="6" t="inlineStr">
        <is>
          <t>0564</t>
        </is>
      </c>
      <c r="D81" s="5" t="inlineStr">
        <is>
          <t>-27.983561, 153.428573</t>
        </is>
      </c>
      <c r="E81" s="5" t="inlineStr"/>
      <c r="F81" s="5" t="inlineStr">
        <is>
          <t>FWF</t>
        </is>
      </c>
      <c r="G81" s="5" t="inlineStr">
        <is>
          <t>4 of 7</t>
        </is>
      </c>
      <c r="H81" s="5" t="inlineStr">
        <is>
          <t>Event Portables (sub-hire)</t>
        </is>
      </c>
      <c r="I81" s="5" t="inlineStr">
        <is>
          <t>Toilets</t>
        </is>
      </c>
      <c r="J81" s="5" t="inlineStr"/>
      <c r="K81" s="5" t="inlineStr">
        <is>
          <t>Master plan D001 (not a phone pin)</t>
        </is>
      </c>
      <c r="L81" s="7">
        <f>HYPERLINK("https://www.google.com/maps?q=-27.983561,153.428573","Open map")</f>
        <v/>
      </c>
      <c r="M81" s="5" t="inlineStr">
        <is>
          <t>on site</t>
        </is>
      </c>
      <c r="N81" s="5" t="n">
        <v>-27.983561</v>
      </c>
      <c r="O81" s="5" t="n">
        <v>153.428573</v>
      </c>
    </row>
    <row r="82">
      <c r="A82" s="2" t="inlineStr">
        <is>
          <t>WC29</t>
        </is>
      </c>
      <c r="B82" s="2" t="n">
        <v>1</v>
      </c>
      <c r="C82" s="3" t="inlineStr">
        <is>
          <t>0044</t>
        </is>
      </c>
      <c r="D82" s="2" t="inlineStr">
        <is>
          <t>-27.983561, 153.428573</t>
        </is>
      </c>
      <c r="E82" s="2" t="inlineStr"/>
      <c r="F82" s="2" t="inlineStr">
        <is>
          <t>FWF</t>
        </is>
      </c>
      <c r="G82" s="2" t="inlineStr">
        <is>
          <t>5 of 7</t>
        </is>
      </c>
      <c r="H82" s="2" t="inlineStr">
        <is>
          <t>Event Portables (sub-hire)</t>
        </is>
      </c>
      <c r="I82" s="2" t="inlineStr">
        <is>
          <t>Toilets</t>
        </is>
      </c>
      <c r="J82" s="2" t="inlineStr"/>
      <c r="K82" s="2" t="inlineStr">
        <is>
          <t>Master plan D001 (not a phone pin)</t>
        </is>
      </c>
      <c r="L82" s="4">
        <f>HYPERLINK("https://www.google.com/maps?q=-27.983561,153.428573","Open map")</f>
        <v/>
      </c>
      <c r="M82" s="2" t="inlineStr">
        <is>
          <t>on site</t>
        </is>
      </c>
      <c r="N82" s="2" t="n">
        <v>-27.983561</v>
      </c>
      <c r="O82" s="2" t="n">
        <v>153.428573</v>
      </c>
    </row>
    <row r="83">
      <c r="A83" s="5" t="inlineStr">
        <is>
          <t>WC29</t>
        </is>
      </c>
      <c r="B83" s="5" t="n">
        <v>1</v>
      </c>
      <c r="C83" s="6" t="inlineStr">
        <is>
          <t>0441</t>
        </is>
      </c>
      <c r="D83" s="5" t="inlineStr">
        <is>
          <t>-27.983561, 153.428573</t>
        </is>
      </c>
      <c r="E83" s="5" t="inlineStr"/>
      <c r="F83" s="5" t="inlineStr">
        <is>
          <t>FWF</t>
        </is>
      </c>
      <c r="G83" s="5" t="inlineStr">
        <is>
          <t>6 of 7</t>
        </is>
      </c>
      <c r="H83" s="5" t="inlineStr">
        <is>
          <t>Event Portables (sub-hire)</t>
        </is>
      </c>
      <c r="I83" s="5" t="inlineStr">
        <is>
          <t>Toilets</t>
        </is>
      </c>
      <c r="J83" s="5" t="inlineStr"/>
      <c r="K83" s="5" t="inlineStr">
        <is>
          <t>Master plan D001 (not a phone pin)</t>
        </is>
      </c>
      <c r="L83" s="7">
        <f>HYPERLINK("https://www.google.com/maps?q=-27.983561,153.428573","Open map")</f>
        <v/>
      </c>
      <c r="M83" s="5" t="inlineStr">
        <is>
          <t>on site</t>
        </is>
      </c>
      <c r="N83" s="5" t="n">
        <v>-27.983561</v>
      </c>
      <c r="O83" s="5" t="n">
        <v>153.428573</v>
      </c>
    </row>
    <row r="84">
      <c r="A84" s="2" t="inlineStr">
        <is>
          <t>WC29</t>
        </is>
      </c>
      <c r="B84" s="2" t="n">
        <v>1</v>
      </c>
      <c r="C84" s="3" t="inlineStr">
        <is>
          <t>0598</t>
        </is>
      </c>
      <c r="D84" s="2" t="inlineStr">
        <is>
          <t>-27.983561, 153.428573</t>
        </is>
      </c>
      <c r="E84" s="2" t="inlineStr"/>
      <c r="F84" s="2" t="inlineStr">
        <is>
          <t>FWF</t>
        </is>
      </c>
      <c r="G84" s="2" t="inlineStr">
        <is>
          <t>7 of 7</t>
        </is>
      </c>
      <c r="H84" s="2" t="inlineStr">
        <is>
          <t>Event Portables (sub-hire)</t>
        </is>
      </c>
      <c r="I84" s="2" t="inlineStr">
        <is>
          <t>Toilets</t>
        </is>
      </c>
      <c r="J84" s="2" t="inlineStr"/>
      <c r="K84" s="2" t="inlineStr">
        <is>
          <t>Master plan D001 (not a phone pin)</t>
        </is>
      </c>
      <c r="L84" s="4">
        <f>HYPERLINK("https://www.google.com/maps?q=-27.983561,153.428573","Open map")</f>
        <v/>
      </c>
      <c r="M84" s="2" t="inlineStr">
        <is>
          <t>on site</t>
        </is>
      </c>
      <c r="N84" s="2" t="n">
        <v>-27.983561</v>
      </c>
      <c r="O84" s="2" t="n">
        <v>153.428573</v>
      </c>
    </row>
    <row r="85">
      <c r="A85" s="5" t="inlineStr">
        <is>
          <t>WC30</t>
        </is>
      </c>
      <c r="B85" s="5" t="n">
        <v>1</v>
      </c>
      <c r="C85" s="6" t="inlineStr">
        <is>
          <t>0428</t>
        </is>
      </c>
      <c r="D85" s="5" t="inlineStr">
        <is>
          <t>-27.982391, 153.427830</t>
        </is>
      </c>
      <c r="E85" s="5" t="inlineStr"/>
      <c r="F85" s="5" t="inlineStr">
        <is>
          <t>FWF</t>
        </is>
      </c>
      <c r="G85" s="5" t="inlineStr">
        <is>
          <t>1 of 8</t>
        </is>
      </c>
      <c r="H85" s="5" t="inlineStr">
        <is>
          <t>Event Portables (sub-hire)</t>
        </is>
      </c>
      <c r="I85" s="5" t="inlineStr">
        <is>
          <t>Toilets</t>
        </is>
      </c>
      <c r="J85" s="5" t="inlineStr"/>
      <c r="K85" s="5" t="inlineStr">
        <is>
          <t>Master plan D001 (not a phone pin)</t>
        </is>
      </c>
      <c r="L85" s="7">
        <f>HYPERLINK("https://www.google.com/maps?q=-27.982391,153.42783","Open map")</f>
        <v/>
      </c>
      <c r="M85" s="5" t="inlineStr">
        <is>
          <t>on site</t>
        </is>
      </c>
      <c r="N85" s="5" t="n">
        <v>-27.982391</v>
      </c>
      <c r="O85" s="5" t="n">
        <v>153.42783</v>
      </c>
    </row>
    <row r="86">
      <c r="A86" s="2" t="inlineStr">
        <is>
          <t>WC30</t>
        </is>
      </c>
      <c r="B86" s="2" t="n">
        <v>1</v>
      </c>
      <c r="C86" s="3" t="inlineStr">
        <is>
          <t>0440</t>
        </is>
      </c>
      <c r="D86" s="2" t="inlineStr">
        <is>
          <t>-27.982391, 153.427830</t>
        </is>
      </c>
      <c r="E86" s="2" t="inlineStr"/>
      <c r="F86" s="2" t="inlineStr">
        <is>
          <t>FWF</t>
        </is>
      </c>
      <c r="G86" s="2" t="inlineStr">
        <is>
          <t>2 of 8</t>
        </is>
      </c>
      <c r="H86" s="2" t="inlineStr">
        <is>
          <t>Event Portables (sub-hire)</t>
        </is>
      </c>
      <c r="I86" s="2" t="inlineStr">
        <is>
          <t>Toilets</t>
        </is>
      </c>
      <c r="J86" s="2" t="inlineStr"/>
      <c r="K86" s="2" t="inlineStr">
        <is>
          <t>Master plan D001 (not a phone pin)</t>
        </is>
      </c>
      <c r="L86" s="4">
        <f>HYPERLINK("https://www.google.com/maps?q=-27.982391,153.42783","Open map")</f>
        <v/>
      </c>
      <c r="M86" s="2" t="inlineStr">
        <is>
          <t>on site</t>
        </is>
      </c>
      <c r="N86" s="2" t="n">
        <v>-27.982391</v>
      </c>
      <c r="O86" s="2" t="n">
        <v>153.42783</v>
      </c>
    </row>
    <row r="87">
      <c r="A87" s="5" t="inlineStr">
        <is>
          <t>WC30</t>
        </is>
      </c>
      <c r="B87" s="5" t="n">
        <v>1</v>
      </c>
      <c r="C87" s="6" t="inlineStr">
        <is>
          <t>0963</t>
        </is>
      </c>
      <c r="D87" s="5" t="inlineStr">
        <is>
          <t>-27.982391, 153.427830</t>
        </is>
      </c>
      <c r="E87" s="5" t="inlineStr"/>
      <c r="F87" s="5" t="inlineStr">
        <is>
          <t>FWF</t>
        </is>
      </c>
      <c r="G87" s="5" t="inlineStr">
        <is>
          <t>3 of 8</t>
        </is>
      </c>
      <c r="H87" s="5" t="inlineStr">
        <is>
          <t>Event Portables (sub-hire)</t>
        </is>
      </c>
      <c r="I87" s="5" t="inlineStr">
        <is>
          <t>Toilets</t>
        </is>
      </c>
      <c r="J87" s="5" t="inlineStr"/>
      <c r="K87" s="5" t="inlineStr">
        <is>
          <t>Master plan D001 (not a phone pin)</t>
        </is>
      </c>
      <c r="L87" s="7">
        <f>HYPERLINK("https://www.google.com/maps?q=-27.982391,153.42783","Open map")</f>
        <v/>
      </c>
      <c r="M87" s="5" t="inlineStr">
        <is>
          <t>on site</t>
        </is>
      </c>
      <c r="N87" s="5" t="n">
        <v>-27.982391</v>
      </c>
      <c r="O87" s="5" t="n">
        <v>153.42783</v>
      </c>
    </row>
    <row r="88">
      <c r="A88" s="2" t="inlineStr">
        <is>
          <t>WC30</t>
        </is>
      </c>
      <c r="B88" s="2" t="n">
        <v>1</v>
      </c>
      <c r="C88" s="3" t="inlineStr">
        <is>
          <t>0681</t>
        </is>
      </c>
      <c r="D88" s="2" t="inlineStr">
        <is>
          <t>-27.982391, 153.427830</t>
        </is>
      </c>
      <c r="E88" s="2" t="inlineStr"/>
      <c r="F88" s="2" t="inlineStr">
        <is>
          <t>FWF</t>
        </is>
      </c>
      <c r="G88" s="2" t="inlineStr">
        <is>
          <t>4 of 8</t>
        </is>
      </c>
      <c r="H88" s="2" t="inlineStr">
        <is>
          <t>Event Portables (sub-hire)</t>
        </is>
      </c>
      <c r="I88" s="2" t="inlineStr">
        <is>
          <t>Toilets</t>
        </is>
      </c>
      <c r="J88" s="2" t="inlineStr"/>
      <c r="K88" s="2" t="inlineStr">
        <is>
          <t>Master plan D001 (not a phone pin)</t>
        </is>
      </c>
      <c r="L88" s="4">
        <f>HYPERLINK("https://www.google.com/maps?q=-27.982391,153.42783","Open map")</f>
        <v/>
      </c>
      <c r="M88" s="2" t="inlineStr">
        <is>
          <t>on site</t>
        </is>
      </c>
      <c r="N88" s="2" t="n">
        <v>-27.982391</v>
      </c>
      <c r="O88" s="2" t="n">
        <v>153.42783</v>
      </c>
    </row>
    <row r="89">
      <c r="A89" s="5" t="inlineStr">
        <is>
          <t>WC30</t>
        </is>
      </c>
      <c r="B89" s="5" t="n">
        <v>1</v>
      </c>
      <c r="C89" s="6" t="inlineStr">
        <is>
          <t>0043</t>
        </is>
      </c>
      <c r="D89" s="5" t="inlineStr">
        <is>
          <t>-27.982391, 153.427830</t>
        </is>
      </c>
      <c r="E89" s="5" t="inlineStr"/>
      <c r="F89" s="5" t="inlineStr">
        <is>
          <t>FWF</t>
        </is>
      </c>
      <c r="G89" s="5" t="inlineStr">
        <is>
          <t>5 of 8</t>
        </is>
      </c>
      <c r="H89" s="5" t="inlineStr">
        <is>
          <t>Event Portables (sub-hire)</t>
        </is>
      </c>
      <c r="I89" s="5" t="inlineStr">
        <is>
          <t>Toilets</t>
        </is>
      </c>
      <c r="J89" s="5" t="inlineStr"/>
      <c r="K89" s="5" t="inlineStr">
        <is>
          <t>Master plan D001 (not a phone pin)</t>
        </is>
      </c>
      <c r="L89" s="7">
        <f>HYPERLINK("https://www.google.com/maps?q=-27.982391,153.42783","Open map")</f>
        <v/>
      </c>
      <c r="M89" s="5" t="inlineStr">
        <is>
          <t>on site</t>
        </is>
      </c>
      <c r="N89" s="5" t="n">
        <v>-27.982391</v>
      </c>
      <c r="O89" s="5" t="n">
        <v>153.42783</v>
      </c>
    </row>
    <row r="90">
      <c r="A90" s="2" t="inlineStr">
        <is>
          <t>WC30</t>
        </is>
      </c>
      <c r="B90" s="2" t="n">
        <v>1</v>
      </c>
      <c r="C90" s="3" t="inlineStr">
        <is>
          <t>0419</t>
        </is>
      </c>
      <c r="D90" s="2" t="inlineStr">
        <is>
          <t>-27.982391, 153.427830</t>
        </is>
      </c>
      <c r="E90" s="2" t="inlineStr"/>
      <c r="F90" s="2" t="inlineStr">
        <is>
          <t>FWF</t>
        </is>
      </c>
      <c r="G90" s="2" t="inlineStr">
        <is>
          <t>6 of 8</t>
        </is>
      </c>
      <c r="H90" s="2" t="inlineStr">
        <is>
          <t>Event Portables (sub-hire)</t>
        </is>
      </c>
      <c r="I90" s="2" t="inlineStr">
        <is>
          <t>Toilets</t>
        </is>
      </c>
      <c r="J90" s="2" t="inlineStr"/>
      <c r="K90" s="2" t="inlineStr">
        <is>
          <t>Master plan D001 (not a phone pin)</t>
        </is>
      </c>
      <c r="L90" s="4">
        <f>HYPERLINK("https://www.google.com/maps?q=-27.982391,153.42783","Open map")</f>
        <v/>
      </c>
      <c r="M90" s="2" t="inlineStr">
        <is>
          <t>on site</t>
        </is>
      </c>
      <c r="N90" s="2" t="n">
        <v>-27.982391</v>
      </c>
      <c r="O90" s="2" t="n">
        <v>153.42783</v>
      </c>
    </row>
    <row r="91">
      <c r="A91" s="5" t="inlineStr">
        <is>
          <t>WC30</t>
        </is>
      </c>
      <c r="B91" s="5" t="n">
        <v>1</v>
      </c>
      <c r="C91" s="6" t="inlineStr">
        <is>
          <t>0545</t>
        </is>
      </c>
      <c r="D91" s="5" t="inlineStr">
        <is>
          <t>-27.982391, 153.427830</t>
        </is>
      </c>
      <c r="E91" s="5" t="inlineStr"/>
      <c r="F91" s="5" t="inlineStr">
        <is>
          <t>FWF</t>
        </is>
      </c>
      <c r="G91" s="5" t="inlineStr">
        <is>
          <t>7 of 8</t>
        </is>
      </c>
      <c r="H91" s="5" t="inlineStr">
        <is>
          <t>Event Portables (sub-hire)</t>
        </is>
      </c>
      <c r="I91" s="5" t="inlineStr">
        <is>
          <t>Toilets</t>
        </is>
      </c>
      <c r="J91" s="5" t="inlineStr"/>
      <c r="K91" s="5" t="inlineStr">
        <is>
          <t>Master plan D001 (not a phone pin)</t>
        </is>
      </c>
      <c r="L91" s="7">
        <f>HYPERLINK("https://www.google.com/maps?q=-27.982391,153.42783","Open map")</f>
        <v/>
      </c>
      <c r="M91" s="5" t="inlineStr">
        <is>
          <t>on site</t>
        </is>
      </c>
      <c r="N91" s="5" t="n">
        <v>-27.982391</v>
      </c>
      <c r="O91" s="5" t="n">
        <v>153.42783</v>
      </c>
    </row>
    <row r="92">
      <c r="A92" s="2" t="inlineStr">
        <is>
          <t>WC30</t>
        </is>
      </c>
      <c r="B92" s="2" t="n">
        <v>1</v>
      </c>
      <c r="C92" s="3" t="inlineStr">
        <is>
          <t>0024</t>
        </is>
      </c>
      <c r="D92" s="2" t="inlineStr">
        <is>
          <t>-27.982391, 153.427830</t>
        </is>
      </c>
      <c r="E92" s="2" t="inlineStr"/>
      <c r="F92" s="2" t="inlineStr">
        <is>
          <t>FWF</t>
        </is>
      </c>
      <c r="G92" s="2" t="inlineStr">
        <is>
          <t>8 of 8</t>
        </is>
      </c>
      <c r="H92" s="2" t="inlineStr">
        <is>
          <t>Event Portables (sub-hire)</t>
        </is>
      </c>
      <c r="I92" s="2" t="inlineStr">
        <is>
          <t>Toilets</t>
        </is>
      </c>
      <c r="J92" s="2" t="inlineStr"/>
      <c r="K92" s="2" t="inlineStr">
        <is>
          <t>Master plan D001 (not a phone pin)</t>
        </is>
      </c>
      <c r="L92" s="4">
        <f>HYPERLINK("https://www.google.com/maps?q=-27.982391,153.42783","Open map")</f>
        <v/>
      </c>
      <c r="M92" s="2" t="inlineStr">
        <is>
          <t>on site</t>
        </is>
      </c>
      <c r="N92" s="2" t="n">
        <v>-27.982391</v>
      </c>
      <c r="O92" s="2" t="n">
        <v>153.42783</v>
      </c>
    </row>
    <row r="93">
      <c r="A93" s="5" t="inlineStr">
        <is>
          <t>WC31</t>
        </is>
      </c>
      <c r="B93" s="5" t="n">
        <v>1</v>
      </c>
      <c r="C93" s="6" t="inlineStr">
        <is>
          <t>1317645</t>
        </is>
      </c>
      <c r="D93" s="5" t="inlineStr">
        <is>
          <t>-27.982469, 153.425324</t>
        </is>
      </c>
      <c r="E93" s="5" t="inlineStr">
        <is>
          <t>The Hill – entry point A47</t>
        </is>
      </c>
      <c r="F93" s="5" t="inlineStr">
        <is>
          <t>Accessible toilet</t>
        </is>
      </c>
      <c r="G93" s="5" t="inlineStr">
        <is>
          <t>1 of 3</t>
        </is>
      </c>
      <c r="H93" s="5" t="inlineStr">
        <is>
          <t>Coates</t>
        </is>
      </c>
      <c r="I93" s="5" t="inlineStr">
        <is>
          <t>Toilets</t>
        </is>
      </c>
      <c r="J93" s="5" t="inlineStr">
        <is>
          <t>S25</t>
        </is>
      </c>
      <c r="K93" s="5" t="inlineStr">
        <is>
          <t>Master plan D001 (not a phone pin)</t>
        </is>
      </c>
      <c r="L93" s="7">
        <f>HYPERLINK("https://www.google.com/maps?q=-27.982469,153.425324","Open map")</f>
        <v/>
      </c>
      <c r="M93" s="5" t="inlineStr">
        <is>
          <t>on site</t>
        </is>
      </c>
      <c r="N93" s="5" t="n">
        <v>-27.982469</v>
      </c>
      <c r="O93" s="5" t="n">
        <v>153.425324</v>
      </c>
    </row>
    <row r="94">
      <c r="A94" s="2" t="inlineStr">
        <is>
          <t>WC31</t>
        </is>
      </c>
      <c r="B94" s="2" t="n">
        <v>1</v>
      </c>
      <c r="C94" s="3" t="inlineStr">
        <is>
          <t>12</t>
        </is>
      </c>
      <c r="D94" s="2" t="inlineStr">
        <is>
          <t>-27.982469, 153.425324</t>
        </is>
      </c>
      <c r="E94" s="2" t="inlineStr">
        <is>
          <t>The Hill – entry point A47</t>
        </is>
      </c>
      <c r="F94" s="2" t="inlineStr">
        <is>
          <t>16-pan block</t>
        </is>
      </c>
      <c r="G94" s="2" t="inlineStr">
        <is>
          <t>2 of 3</t>
        </is>
      </c>
      <c r="H94" s="2" t="inlineStr">
        <is>
          <t>Event Portables (sub-hire)</t>
        </is>
      </c>
      <c r="I94" s="2" t="inlineStr">
        <is>
          <t>Toilets</t>
        </is>
      </c>
      <c r="J94" s="2" t="inlineStr">
        <is>
          <t>S25</t>
        </is>
      </c>
      <c r="K94" s="2" t="inlineStr">
        <is>
          <t>Master plan D001 (not a phone pin)</t>
        </is>
      </c>
      <c r="L94" s="4">
        <f>HYPERLINK("https://www.google.com/maps?q=-27.982469,153.425324","Open map")</f>
        <v/>
      </c>
      <c r="M94" s="2" t="inlineStr">
        <is>
          <t>on site</t>
        </is>
      </c>
      <c r="N94" s="2" t="n">
        <v>-27.982469</v>
      </c>
      <c r="O94" s="2" t="n">
        <v>153.425324</v>
      </c>
    </row>
    <row r="95">
      <c r="A95" s="5" t="inlineStr">
        <is>
          <t>WC31</t>
        </is>
      </c>
      <c r="B95" s="5" t="n">
        <v>1</v>
      </c>
      <c r="C95" s="6" t="inlineStr">
        <is>
          <t>74</t>
        </is>
      </c>
      <c r="D95" s="5" t="inlineStr">
        <is>
          <t>-27.982469, 153.425324</t>
        </is>
      </c>
      <c r="E95" s="5" t="inlineStr">
        <is>
          <t>The Hill – entry point A47</t>
        </is>
      </c>
      <c r="F95" s="5" t="inlineStr">
        <is>
          <t>16-pan block</t>
        </is>
      </c>
      <c r="G95" s="5" t="inlineStr">
        <is>
          <t>3 of 3</t>
        </is>
      </c>
      <c r="H95" s="5" t="inlineStr">
        <is>
          <t>Event Portables (sub-hire)</t>
        </is>
      </c>
      <c r="I95" s="5" t="inlineStr">
        <is>
          <t>Toilets</t>
        </is>
      </c>
      <c r="J95" s="5" t="inlineStr">
        <is>
          <t>S25</t>
        </is>
      </c>
      <c r="K95" s="5" t="inlineStr">
        <is>
          <t>Master plan D001 (not a phone pin)</t>
        </is>
      </c>
      <c r="L95" s="7">
        <f>HYPERLINK("https://www.google.com/maps?q=-27.982469,153.425324","Open map")</f>
        <v/>
      </c>
      <c r="M95" s="5" t="inlineStr">
        <is>
          <t>on site</t>
        </is>
      </c>
      <c r="N95" s="5" t="n">
        <v>-27.982469</v>
      </c>
      <c r="O95" s="5" t="n">
        <v>153.425324</v>
      </c>
    </row>
    <row r="96">
      <c r="A96" s="2" t="inlineStr">
        <is>
          <t>WC33</t>
        </is>
      </c>
      <c r="B96" s="2" t="n">
        <v>1</v>
      </c>
      <c r="C96" s="3" t="inlineStr">
        <is>
          <t>0634</t>
        </is>
      </c>
      <c r="D96" s="2" t="inlineStr">
        <is>
          <t>-27.986107, 153.429524</t>
        </is>
      </c>
      <c r="E96" s="2" t="inlineStr">
        <is>
          <t>Main Beach Pde land side – by T8 / A19</t>
        </is>
      </c>
      <c r="F96" s="2" t="inlineStr">
        <is>
          <t>FWF</t>
        </is>
      </c>
      <c r="G96" s="2" t="inlineStr">
        <is>
          <t>1 of 17</t>
        </is>
      </c>
      <c r="H96" s="2" t="inlineStr">
        <is>
          <t>Event Portables (sub-hire)</t>
        </is>
      </c>
      <c r="I96" s="2" t="inlineStr">
        <is>
          <t>Toilets</t>
        </is>
      </c>
      <c r="J96" s="2" t="inlineStr">
        <is>
          <t>S07</t>
        </is>
      </c>
      <c r="K96" s="2" t="inlineStr">
        <is>
          <t>Master plan D001 (not a phone pin)</t>
        </is>
      </c>
      <c r="L96" s="4">
        <f>HYPERLINK("https://www.google.com/maps?q=-27.986107,153.429524","Open map")</f>
        <v/>
      </c>
      <c r="M96" s="2" t="inlineStr">
        <is>
          <t>on site</t>
        </is>
      </c>
      <c r="N96" s="2" t="n">
        <v>-27.986107</v>
      </c>
      <c r="O96" s="2" t="n">
        <v>153.429524</v>
      </c>
    </row>
    <row r="97">
      <c r="A97" s="5" t="inlineStr">
        <is>
          <t>WC33</t>
        </is>
      </c>
      <c r="B97" s="5" t="n">
        <v>1</v>
      </c>
      <c r="C97" s="6" t="inlineStr">
        <is>
          <t>0582</t>
        </is>
      </c>
      <c r="D97" s="5" t="inlineStr">
        <is>
          <t>-27.986107, 153.429524</t>
        </is>
      </c>
      <c r="E97" s="5" t="inlineStr">
        <is>
          <t>Main Beach Pde land side – by T8 / A19</t>
        </is>
      </c>
      <c r="F97" s="5" t="inlineStr">
        <is>
          <t>FWF</t>
        </is>
      </c>
      <c r="G97" s="5" t="inlineStr">
        <is>
          <t>2 of 17</t>
        </is>
      </c>
      <c r="H97" s="5" t="inlineStr">
        <is>
          <t>Event Portables (sub-hire)</t>
        </is>
      </c>
      <c r="I97" s="5" t="inlineStr">
        <is>
          <t>Toilets</t>
        </is>
      </c>
      <c r="J97" s="5" t="inlineStr">
        <is>
          <t>S07</t>
        </is>
      </c>
      <c r="K97" s="5" t="inlineStr">
        <is>
          <t>Master plan D001 (not a phone pin)</t>
        </is>
      </c>
      <c r="L97" s="7">
        <f>HYPERLINK("https://www.google.com/maps?q=-27.986107,153.429524","Open map")</f>
        <v/>
      </c>
      <c r="M97" s="5" t="inlineStr">
        <is>
          <t>on site</t>
        </is>
      </c>
      <c r="N97" s="5" t="n">
        <v>-27.986107</v>
      </c>
      <c r="O97" s="5" t="n">
        <v>153.429524</v>
      </c>
    </row>
    <row r="98">
      <c r="A98" s="2" t="inlineStr">
        <is>
          <t>WC33</t>
        </is>
      </c>
      <c r="B98" s="2" t="n">
        <v>1</v>
      </c>
      <c r="C98" s="3" t="inlineStr">
        <is>
          <t>0548</t>
        </is>
      </c>
      <c r="D98" s="2" t="inlineStr">
        <is>
          <t>-27.986107, 153.429524</t>
        </is>
      </c>
      <c r="E98" s="2" t="inlineStr">
        <is>
          <t>Main Beach Pde land side – by T8 / A19</t>
        </is>
      </c>
      <c r="F98" s="2" t="inlineStr">
        <is>
          <t>FWF</t>
        </is>
      </c>
      <c r="G98" s="2" t="inlineStr">
        <is>
          <t>3 of 17</t>
        </is>
      </c>
      <c r="H98" s="2" t="inlineStr">
        <is>
          <t>Event Portables (sub-hire)</t>
        </is>
      </c>
      <c r="I98" s="2" t="inlineStr">
        <is>
          <t>Toilets</t>
        </is>
      </c>
      <c r="J98" s="2" t="inlineStr">
        <is>
          <t>S07</t>
        </is>
      </c>
      <c r="K98" s="2" t="inlineStr">
        <is>
          <t>Master plan D001 (not a phone pin)</t>
        </is>
      </c>
      <c r="L98" s="4">
        <f>HYPERLINK("https://www.google.com/maps?q=-27.986107,153.429524","Open map")</f>
        <v/>
      </c>
      <c r="M98" s="2" t="inlineStr">
        <is>
          <t>on site</t>
        </is>
      </c>
      <c r="N98" s="2" t="n">
        <v>-27.986107</v>
      </c>
      <c r="O98" s="2" t="n">
        <v>153.429524</v>
      </c>
    </row>
    <row r="99">
      <c r="A99" s="5" t="inlineStr">
        <is>
          <t>WC33</t>
        </is>
      </c>
      <c r="B99" s="5" t="n">
        <v>1</v>
      </c>
      <c r="C99" s="6" t="inlineStr">
        <is>
          <t>0782</t>
        </is>
      </c>
      <c r="D99" s="5" t="inlineStr">
        <is>
          <t>-27.986107, 153.429524</t>
        </is>
      </c>
      <c r="E99" s="5" t="inlineStr">
        <is>
          <t>Main Beach Pde land side – by T8 / A19</t>
        </is>
      </c>
      <c r="F99" s="5" t="inlineStr">
        <is>
          <t>FWF</t>
        </is>
      </c>
      <c r="G99" s="5" t="inlineStr">
        <is>
          <t>4 of 17</t>
        </is>
      </c>
      <c r="H99" s="5" t="inlineStr">
        <is>
          <t>Event Portables (sub-hire)</t>
        </is>
      </c>
      <c r="I99" s="5" t="inlineStr">
        <is>
          <t>Toilets</t>
        </is>
      </c>
      <c r="J99" s="5" t="inlineStr">
        <is>
          <t>S07</t>
        </is>
      </c>
      <c r="K99" s="5" t="inlineStr">
        <is>
          <t>Master plan D001 (not a phone pin)</t>
        </is>
      </c>
      <c r="L99" s="7">
        <f>HYPERLINK("https://www.google.com/maps?q=-27.986107,153.429524","Open map")</f>
        <v/>
      </c>
      <c r="M99" s="5" t="inlineStr">
        <is>
          <t>on site</t>
        </is>
      </c>
      <c r="N99" s="5" t="n">
        <v>-27.986107</v>
      </c>
      <c r="O99" s="5" t="n">
        <v>153.429524</v>
      </c>
    </row>
    <row r="100">
      <c r="A100" s="2" t="inlineStr">
        <is>
          <t>WC33</t>
        </is>
      </c>
      <c r="B100" s="2" t="n">
        <v>1</v>
      </c>
      <c r="C100" s="3" t="inlineStr">
        <is>
          <t>0657</t>
        </is>
      </c>
      <c r="D100" s="2" t="inlineStr">
        <is>
          <t>-27.986107, 153.429524</t>
        </is>
      </c>
      <c r="E100" s="2" t="inlineStr">
        <is>
          <t>Main Beach Pde land side – by T8 / A19</t>
        </is>
      </c>
      <c r="F100" s="2" t="inlineStr">
        <is>
          <t>FWF</t>
        </is>
      </c>
      <c r="G100" s="2" t="inlineStr">
        <is>
          <t>5 of 17</t>
        </is>
      </c>
      <c r="H100" s="2" t="inlineStr">
        <is>
          <t>Event Portables (sub-hire)</t>
        </is>
      </c>
      <c r="I100" s="2" t="inlineStr">
        <is>
          <t>Toilets</t>
        </is>
      </c>
      <c r="J100" s="2" t="inlineStr">
        <is>
          <t>S07</t>
        </is>
      </c>
      <c r="K100" s="2" t="inlineStr">
        <is>
          <t>Master plan D001 (not a phone pin)</t>
        </is>
      </c>
      <c r="L100" s="4">
        <f>HYPERLINK("https://www.google.com/maps?q=-27.986107,153.429524","Open map")</f>
        <v/>
      </c>
      <c r="M100" s="2" t="inlineStr">
        <is>
          <t>on site</t>
        </is>
      </c>
      <c r="N100" s="2" t="n">
        <v>-27.986107</v>
      </c>
      <c r="O100" s="2" t="n">
        <v>153.429524</v>
      </c>
    </row>
    <row r="101">
      <c r="A101" s="5" t="inlineStr">
        <is>
          <t>WC33</t>
        </is>
      </c>
      <c r="B101" s="5" t="n">
        <v>1</v>
      </c>
      <c r="C101" s="6" t="inlineStr">
        <is>
          <t>0912</t>
        </is>
      </c>
      <c r="D101" s="5" t="inlineStr">
        <is>
          <t>-27.986107, 153.429524</t>
        </is>
      </c>
      <c r="E101" s="5" t="inlineStr">
        <is>
          <t>Main Beach Pde land side – by T8 / A19</t>
        </is>
      </c>
      <c r="F101" s="5" t="inlineStr">
        <is>
          <t>FWF</t>
        </is>
      </c>
      <c r="G101" s="5" t="inlineStr">
        <is>
          <t>6 of 17</t>
        </is>
      </c>
      <c r="H101" s="5" t="inlineStr">
        <is>
          <t>Event Portables (sub-hire)</t>
        </is>
      </c>
      <c r="I101" s="5" t="inlineStr">
        <is>
          <t>Toilets</t>
        </is>
      </c>
      <c r="J101" s="5" t="inlineStr">
        <is>
          <t>S07</t>
        </is>
      </c>
      <c r="K101" s="5" t="inlineStr">
        <is>
          <t>Master plan D001 (not a phone pin)</t>
        </is>
      </c>
      <c r="L101" s="7">
        <f>HYPERLINK("https://www.google.com/maps?q=-27.986107,153.429524","Open map")</f>
        <v/>
      </c>
      <c r="M101" s="5" t="inlineStr">
        <is>
          <t>on site</t>
        </is>
      </c>
      <c r="N101" s="5" t="n">
        <v>-27.986107</v>
      </c>
      <c r="O101" s="5" t="n">
        <v>153.429524</v>
      </c>
    </row>
    <row r="102">
      <c r="A102" s="2" t="inlineStr">
        <is>
          <t>WC33</t>
        </is>
      </c>
      <c r="B102" s="2" t="n">
        <v>1</v>
      </c>
      <c r="C102" s="3" t="inlineStr">
        <is>
          <t>0554</t>
        </is>
      </c>
      <c r="D102" s="2" t="inlineStr">
        <is>
          <t>-27.986107, 153.429524</t>
        </is>
      </c>
      <c r="E102" s="2" t="inlineStr">
        <is>
          <t>Main Beach Pde land side – by T8 / A19</t>
        </is>
      </c>
      <c r="F102" s="2" t="inlineStr">
        <is>
          <t>FWF</t>
        </is>
      </c>
      <c r="G102" s="2" t="inlineStr">
        <is>
          <t>7 of 17</t>
        </is>
      </c>
      <c r="H102" s="2" t="inlineStr">
        <is>
          <t>Event Portables (sub-hire)</t>
        </is>
      </c>
      <c r="I102" s="2" t="inlineStr">
        <is>
          <t>Toilets</t>
        </is>
      </c>
      <c r="J102" s="2" t="inlineStr">
        <is>
          <t>S07</t>
        </is>
      </c>
      <c r="K102" s="2" t="inlineStr">
        <is>
          <t>Master plan D001 (not a phone pin)</t>
        </is>
      </c>
      <c r="L102" s="4">
        <f>HYPERLINK("https://www.google.com/maps?q=-27.986107,153.429524","Open map")</f>
        <v/>
      </c>
      <c r="M102" s="2" t="inlineStr">
        <is>
          <t>on site</t>
        </is>
      </c>
      <c r="N102" s="2" t="n">
        <v>-27.986107</v>
      </c>
      <c r="O102" s="2" t="n">
        <v>153.429524</v>
      </c>
    </row>
    <row r="103">
      <c r="A103" s="5" t="inlineStr">
        <is>
          <t>WC33</t>
        </is>
      </c>
      <c r="B103" s="5" t="n">
        <v>1</v>
      </c>
      <c r="C103" s="6" t="inlineStr">
        <is>
          <t>0920</t>
        </is>
      </c>
      <c r="D103" s="5" t="inlineStr">
        <is>
          <t>-27.986107, 153.429524</t>
        </is>
      </c>
      <c r="E103" s="5" t="inlineStr">
        <is>
          <t>Main Beach Pde land side – by T8 / A19</t>
        </is>
      </c>
      <c r="F103" s="5" t="inlineStr">
        <is>
          <t>FWF</t>
        </is>
      </c>
      <c r="G103" s="5" t="inlineStr">
        <is>
          <t>8 of 17</t>
        </is>
      </c>
      <c r="H103" s="5" t="inlineStr">
        <is>
          <t>Event Portables (sub-hire)</t>
        </is>
      </c>
      <c r="I103" s="5" t="inlineStr">
        <is>
          <t>Toilets</t>
        </is>
      </c>
      <c r="J103" s="5" t="inlineStr">
        <is>
          <t>S07</t>
        </is>
      </c>
      <c r="K103" s="5" t="inlineStr">
        <is>
          <t>Master plan D001 (not a phone pin)</t>
        </is>
      </c>
      <c r="L103" s="7">
        <f>HYPERLINK("https://www.google.com/maps?q=-27.986107,153.429524","Open map")</f>
        <v/>
      </c>
      <c r="M103" s="5" t="inlineStr">
        <is>
          <t>on site</t>
        </is>
      </c>
      <c r="N103" s="5" t="n">
        <v>-27.986107</v>
      </c>
      <c r="O103" s="5" t="n">
        <v>153.429524</v>
      </c>
    </row>
    <row r="104">
      <c r="A104" s="2" t="inlineStr">
        <is>
          <t>WC33</t>
        </is>
      </c>
      <c r="B104" s="2" t="n">
        <v>1</v>
      </c>
      <c r="C104" s="3" t="inlineStr">
        <is>
          <t>0971</t>
        </is>
      </c>
      <c r="D104" s="2" t="inlineStr">
        <is>
          <t>-27.986107, 153.429524</t>
        </is>
      </c>
      <c r="E104" s="2" t="inlineStr">
        <is>
          <t>Main Beach Pde land side – by T8 / A19</t>
        </is>
      </c>
      <c r="F104" s="2" t="inlineStr">
        <is>
          <t>FWF</t>
        </is>
      </c>
      <c r="G104" s="2" t="inlineStr">
        <is>
          <t>9 of 17</t>
        </is>
      </c>
      <c r="H104" s="2" t="inlineStr">
        <is>
          <t>Event Portables (sub-hire)</t>
        </is>
      </c>
      <c r="I104" s="2" t="inlineStr">
        <is>
          <t>Toilets</t>
        </is>
      </c>
      <c r="J104" s="2" t="inlineStr">
        <is>
          <t>S07</t>
        </is>
      </c>
      <c r="K104" s="2" t="inlineStr">
        <is>
          <t>Master plan D001 (not a phone pin)</t>
        </is>
      </c>
      <c r="L104" s="4">
        <f>HYPERLINK("https://www.google.com/maps?q=-27.986107,153.429524","Open map")</f>
        <v/>
      </c>
      <c r="M104" s="2" t="inlineStr">
        <is>
          <t>on site</t>
        </is>
      </c>
      <c r="N104" s="2" t="n">
        <v>-27.986107</v>
      </c>
      <c r="O104" s="2" t="n">
        <v>153.429524</v>
      </c>
    </row>
    <row r="105">
      <c r="A105" s="5" t="inlineStr">
        <is>
          <t>WC33</t>
        </is>
      </c>
      <c r="B105" s="5" t="n">
        <v>1</v>
      </c>
      <c r="C105" s="6" t="inlineStr">
        <is>
          <t>0586</t>
        </is>
      </c>
      <c r="D105" s="5" t="inlineStr">
        <is>
          <t>-27.986107, 153.429524</t>
        </is>
      </c>
      <c r="E105" s="5" t="inlineStr">
        <is>
          <t>Main Beach Pde land side – by T8 / A19</t>
        </is>
      </c>
      <c r="F105" s="5" t="inlineStr">
        <is>
          <t>FWF</t>
        </is>
      </c>
      <c r="G105" s="5" t="inlineStr">
        <is>
          <t>10 of 17</t>
        </is>
      </c>
      <c r="H105" s="5" t="inlineStr">
        <is>
          <t>Event Portables (sub-hire)</t>
        </is>
      </c>
      <c r="I105" s="5" t="inlineStr">
        <is>
          <t>Toilets</t>
        </is>
      </c>
      <c r="J105" s="5" t="inlineStr">
        <is>
          <t>S07</t>
        </is>
      </c>
      <c r="K105" s="5" t="inlineStr">
        <is>
          <t>Master plan D001 (not a phone pin)</t>
        </is>
      </c>
      <c r="L105" s="7">
        <f>HYPERLINK("https://www.google.com/maps?q=-27.986107,153.429524","Open map")</f>
        <v/>
      </c>
      <c r="M105" s="5" t="inlineStr">
        <is>
          <t>on site</t>
        </is>
      </c>
      <c r="N105" s="5" t="n">
        <v>-27.986107</v>
      </c>
      <c r="O105" s="5" t="n">
        <v>153.429524</v>
      </c>
    </row>
    <row r="106">
      <c r="A106" s="2" t="inlineStr">
        <is>
          <t>WC33</t>
        </is>
      </c>
      <c r="B106" s="2" t="n">
        <v>1</v>
      </c>
      <c r="C106" s="3" t="inlineStr">
        <is>
          <t>0487</t>
        </is>
      </c>
      <c r="D106" s="2" t="inlineStr">
        <is>
          <t>-27.986107, 153.429524</t>
        </is>
      </c>
      <c r="E106" s="2" t="inlineStr">
        <is>
          <t>Main Beach Pde land side – by T8 / A19</t>
        </is>
      </c>
      <c r="F106" s="2" t="inlineStr">
        <is>
          <t>FWF</t>
        </is>
      </c>
      <c r="G106" s="2" t="inlineStr">
        <is>
          <t>11 of 17</t>
        </is>
      </c>
      <c r="H106" s="2" t="inlineStr">
        <is>
          <t>Event Portables (sub-hire)</t>
        </is>
      </c>
      <c r="I106" s="2" t="inlineStr">
        <is>
          <t>Toilets</t>
        </is>
      </c>
      <c r="J106" s="2" t="inlineStr">
        <is>
          <t>S07</t>
        </is>
      </c>
      <c r="K106" s="2" t="inlineStr">
        <is>
          <t>Master plan D001 (not a phone pin)</t>
        </is>
      </c>
      <c r="L106" s="4">
        <f>HYPERLINK("https://www.google.com/maps?q=-27.986107,153.429524","Open map")</f>
        <v/>
      </c>
      <c r="M106" s="2" t="inlineStr">
        <is>
          <t>on site</t>
        </is>
      </c>
      <c r="N106" s="2" t="n">
        <v>-27.986107</v>
      </c>
      <c r="O106" s="2" t="n">
        <v>153.429524</v>
      </c>
    </row>
    <row r="107">
      <c r="A107" s="5" t="inlineStr">
        <is>
          <t>WC33</t>
        </is>
      </c>
      <c r="B107" s="5" t="n">
        <v>1</v>
      </c>
      <c r="C107" s="6" t="inlineStr">
        <is>
          <t>0790</t>
        </is>
      </c>
      <c r="D107" s="5" t="inlineStr">
        <is>
          <t>-27.986107, 153.429524</t>
        </is>
      </c>
      <c r="E107" s="5" t="inlineStr">
        <is>
          <t>Main Beach Pde land side – by T8 / A19</t>
        </is>
      </c>
      <c r="F107" s="5" t="inlineStr">
        <is>
          <t>FWF</t>
        </is>
      </c>
      <c r="G107" s="5" t="inlineStr">
        <is>
          <t>12 of 17</t>
        </is>
      </c>
      <c r="H107" s="5" t="inlineStr">
        <is>
          <t>Event Portables (sub-hire)</t>
        </is>
      </c>
      <c r="I107" s="5" t="inlineStr">
        <is>
          <t>Toilets</t>
        </is>
      </c>
      <c r="J107" s="5" t="inlineStr">
        <is>
          <t>S07</t>
        </is>
      </c>
      <c r="K107" s="5" t="inlineStr">
        <is>
          <t>Master plan D001 (not a phone pin)</t>
        </is>
      </c>
      <c r="L107" s="7">
        <f>HYPERLINK("https://www.google.com/maps?q=-27.986107,153.429524","Open map")</f>
        <v/>
      </c>
      <c r="M107" s="5" t="inlineStr">
        <is>
          <t>on site</t>
        </is>
      </c>
      <c r="N107" s="5" t="n">
        <v>-27.986107</v>
      </c>
      <c r="O107" s="5" t="n">
        <v>153.429524</v>
      </c>
    </row>
    <row r="108">
      <c r="A108" s="2" t="inlineStr">
        <is>
          <t>WC33</t>
        </is>
      </c>
      <c r="B108" s="2" t="n">
        <v>1</v>
      </c>
      <c r="C108" s="3" t="inlineStr">
        <is>
          <t>0297</t>
        </is>
      </c>
      <c r="D108" s="2" t="inlineStr">
        <is>
          <t>-27.986107, 153.429524</t>
        </is>
      </c>
      <c r="E108" s="2" t="inlineStr">
        <is>
          <t>Main Beach Pde land side – by T8 / A19</t>
        </is>
      </c>
      <c r="F108" s="2" t="inlineStr">
        <is>
          <t>FWF</t>
        </is>
      </c>
      <c r="G108" s="2" t="inlineStr">
        <is>
          <t>13 of 17</t>
        </is>
      </c>
      <c r="H108" s="2" t="inlineStr">
        <is>
          <t>Event Portables (sub-hire)</t>
        </is>
      </c>
      <c r="I108" s="2" t="inlineStr">
        <is>
          <t>Toilets</t>
        </is>
      </c>
      <c r="J108" s="2" t="inlineStr">
        <is>
          <t>S07</t>
        </is>
      </c>
      <c r="K108" s="2" t="inlineStr">
        <is>
          <t>Master plan D001 (not a phone pin)</t>
        </is>
      </c>
      <c r="L108" s="4">
        <f>HYPERLINK("https://www.google.com/maps?q=-27.986107,153.429524","Open map")</f>
        <v/>
      </c>
      <c r="M108" s="2" t="inlineStr">
        <is>
          <t>on site</t>
        </is>
      </c>
      <c r="N108" s="2" t="n">
        <v>-27.986107</v>
      </c>
      <c r="O108" s="2" t="n">
        <v>153.429524</v>
      </c>
    </row>
    <row r="109">
      <c r="A109" s="5" t="inlineStr">
        <is>
          <t>WC33</t>
        </is>
      </c>
      <c r="B109" s="5" t="n">
        <v>1</v>
      </c>
      <c r="C109" s="6" t="inlineStr">
        <is>
          <t>0456</t>
        </is>
      </c>
      <c r="D109" s="5" t="inlineStr">
        <is>
          <t>-27.986107, 153.429524</t>
        </is>
      </c>
      <c r="E109" s="5" t="inlineStr">
        <is>
          <t>Main Beach Pde land side – by T8 / A19</t>
        </is>
      </c>
      <c r="F109" s="5" t="inlineStr">
        <is>
          <t>FWF</t>
        </is>
      </c>
      <c r="G109" s="5" t="inlineStr">
        <is>
          <t>14 of 17</t>
        </is>
      </c>
      <c r="H109" s="5" t="inlineStr">
        <is>
          <t>Event Portables (sub-hire)</t>
        </is>
      </c>
      <c r="I109" s="5" t="inlineStr">
        <is>
          <t>Toilets</t>
        </is>
      </c>
      <c r="J109" s="5" t="inlineStr">
        <is>
          <t>S07</t>
        </is>
      </c>
      <c r="K109" s="5" t="inlineStr">
        <is>
          <t>Master plan D001 (not a phone pin)</t>
        </is>
      </c>
      <c r="L109" s="7">
        <f>HYPERLINK("https://www.google.com/maps?q=-27.986107,153.429524","Open map")</f>
        <v/>
      </c>
      <c r="M109" s="5" t="inlineStr">
        <is>
          <t>on site</t>
        </is>
      </c>
      <c r="N109" s="5" t="n">
        <v>-27.986107</v>
      </c>
      <c r="O109" s="5" t="n">
        <v>153.429524</v>
      </c>
    </row>
    <row r="110">
      <c r="A110" s="2" t="inlineStr">
        <is>
          <t>WC33</t>
        </is>
      </c>
      <c r="B110" s="2" t="n">
        <v>1</v>
      </c>
      <c r="C110" s="3" t="inlineStr">
        <is>
          <t>0012</t>
        </is>
      </c>
      <c r="D110" s="2" t="inlineStr">
        <is>
          <t>-27.986107, 153.429524</t>
        </is>
      </c>
      <c r="E110" s="2" t="inlineStr">
        <is>
          <t>Main Beach Pde land side – by T8 / A19</t>
        </is>
      </c>
      <c r="F110" s="2" t="inlineStr">
        <is>
          <t>FWF</t>
        </is>
      </c>
      <c r="G110" s="2" t="inlineStr">
        <is>
          <t>15 of 17</t>
        </is>
      </c>
      <c r="H110" s="2" t="inlineStr">
        <is>
          <t>Event Portables (sub-hire)</t>
        </is>
      </c>
      <c r="I110" s="2" t="inlineStr">
        <is>
          <t>Toilets</t>
        </is>
      </c>
      <c r="J110" s="2" t="inlineStr">
        <is>
          <t>S07</t>
        </is>
      </c>
      <c r="K110" s="2" t="inlineStr">
        <is>
          <t>Master plan D001 (not a phone pin)</t>
        </is>
      </c>
      <c r="L110" s="4">
        <f>HYPERLINK("https://www.google.com/maps?q=-27.986107,153.429524","Open map")</f>
        <v/>
      </c>
      <c r="M110" s="2" t="inlineStr">
        <is>
          <t>on site</t>
        </is>
      </c>
      <c r="N110" s="2" t="n">
        <v>-27.986107</v>
      </c>
      <c r="O110" s="2" t="n">
        <v>153.429524</v>
      </c>
    </row>
    <row r="111">
      <c r="A111" s="5" t="inlineStr">
        <is>
          <t>WC33</t>
        </is>
      </c>
      <c r="B111" s="5" t="n">
        <v>1</v>
      </c>
      <c r="C111" s="6" t="inlineStr">
        <is>
          <t>0938</t>
        </is>
      </c>
      <c r="D111" s="5" t="inlineStr">
        <is>
          <t>-27.986107, 153.429524</t>
        </is>
      </c>
      <c r="E111" s="5" t="inlineStr">
        <is>
          <t>Main Beach Pde land side – by T8 / A19</t>
        </is>
      </c>
      <c r="F111" s="5" t="inlineStr">
        <is>
          <t>FWF</t>
        </is>
      </c>
      <c r="G111" s="5" t="inlineStr">
        <is>
          <t>16 of 17</t>
        </is>
      </c>
      <c r="H111" s="5" t="inlineStr">
        <is>
          <t>Event Portables (sub-hire)</t>
        </is>
      </c>
      <c r="I111" s="5" t="inlineStr">
        <is>
          <t>Toilets</t>
        </is>
      </c>
      <c r="J111" s="5" t="inlineStr">
        <is>
          <t>S07</t>
        </is>
      </c>
      <c r="K111" s="5" t="inlineStr">
        <is>
          <t>Master plan D001 (not a phone pin)</t>
        </is>
      </c>
      <c r="L111" s="7">
        <f>HYPERLINK("https://www.google.com/maps?q=-27.986107,153.429524","Open map")</f>
        <v/>
      </c>
      <c r="M111" s="5" t="inlineStr">
        <is>
          <t>on site</t>
        </is>
      </c>
      <c r="N111" s="5" t="n">
        <v>-27.986107</v>
      </c>
      <c r="O111" s="5" t="n">
        <v>153.429524</v>
      </c>
    </row>
    <row r="112">
      <c r="A112" s="2" t="inlineStr">
        <is>
          <t>WC33</t>
        </is>
      </c>
      <c r="B112" s="2" t="n">
        <v>1</v>
      </c>
      <c r="C112" s="3" t="inlineStr">
        <is>
          <t>0597</t>
        </is>
      </c>
      <c r="D112" s="2" t="inlineStr">
        <is>
          <t>-27.986107, 153.429524</t>
        </is>
      </c>
      <c r="E112" s="2" t="inlineStr">
        <is>
          <t>Main Beach Pde land side – by T8 / A19</t>
        </is>
      </c>
      <c r="F112" s="2" t="inlineStr">
        <is>
          <t>FWF</t>
        </is>
      </c>
      <c r="G112" s="2" t="inlineStr">
        <is>
          <t>17 of 17</t>
        </is>
      </c>
      <c r="H112" s="2" t="inlineStr">
        <is>
          <t>Event Portables (sub-hire)</t>
        </is>
      </c>
      <c r="I112" s="2" t="inlineStr">
        <is>
          <t>Toilets</t>
        </is>
      </c>
      <c r="J112" s="2" t="inlineStr">
        <is>
          <t>S07</t>
        </is>
      </c>
      <c r="K112" s="2" t="inlineStr">
        <is>
          <t>Master plan D001 (not a phone pin)</t>
        </is>
      </c>
      <c r="L112" s="4">
        <f>HYPERLINK("https://www.google.com/maps?q=-27.986107,153.429524","Open map")</f>
        <v/>
      </c>
      <c r="M112" s="2" t="inlineStr">
        <is>
          <t>on site</t>
        </is>
      </c>
      <c r="N112" s="2" t="n">
        <v>-27.986107</v>
      </c>
      <c r="O112" s="2" t="n">
        <v>153.429524</v>
      </c>
    </row>
    <row r="113">
      <c r="A113" s="5" t="inlineStr">
        <is>
          <t>WC34</t>
        </is>
      </c>
      <c r="B113" s="5" t="n">
        <v>1</v>
      </c>
      <c r="C113" s="6" t="inlineStr">
        <is>
          <t>0526</t>
        </is>
      </c>
      <c r="D113" s="5" t="inlineStr">
        <is>
          <t>-27.982306, 153.425877</t>
        </is>
      </c>
      <c r="E113" s="5" t="inlineStr">
        <is>
          <t>The Hill – entry point A47</t>
        </is>
      </c>
      <c r="F113" s="5" t="inlineStr">
        <is>
          <t>FWF</t>
        </is>
      </c>
      <c r="G113" s="5" t="inlineStr">
        <is>
          <t>1 of 1</t>
        </is>
      </c>
      <c r="H113" s="5" t="inlineStr">
        <is>
          <t>Event Portables (sub-hire)</t>
        </is>
      </c>
      <c r="I113" s="5" t="inlineStr">
        <is>
          <t>Toilets</t>
        </is>
      </c>
      <c r="J113" s="5" t="inlineStr"/>
      <c r="K113" s="5" t="inlineStr">
        <is>
          <t>Master plan D001 (not a phone pin)</t>
        </is>
      </c>
      <c r="L113" s="7">
        <f>HYPERLINK("https://www.google.com/maps?q=-27.982306,153.425877","Open map")</f>
        <v/>
      </c>
      <c r="M113" s="5" t="inlineStr">
        <is>
          <t>on site</t>
        </is>
      </c>
      <c r="N113" s="5" t="n">
        <v>-27.982306</v>
      </c>
      <c r="O113" s="5" t="n">
        <v>153.425877</v>
      </c>
    </row>
    <row r="114">
      <c r="A114" s="2" t="inlineStr">
        <is>
          <t>WC35</t>
        </is>
      </c>
      <c r="B114" s="2" t="n">
        <v>1</v>
      </c>
      <c r="C114" s="3" t="inlineStr">
        <is>
          <t>0284</t>
        </is>
      </c>
      <c r="D114" s="2" t="inlineStr">
        <is>
          <t>-27.981799, 153.427761</t>
        </is>
      </c>
      <c r="E114" s="2" t="inlineStr"/>
      <c r="F114" s="2" t="inlineStr">
        <is>
          <t>FWF</t>
        </is>
      </c>
      <c r="G114" s="2" t="inlineStr">
        <is>
          <t>1 of 1</t>
        </is>
      </c>
      <c r="H114" s="2" t="inlineStr">
        <is>
          <t>Event Portables (sub-hire)</t>
        </is>
      </c>
      <c r="I114" s="2" t="inlineStr">
        <is>
          <t>Toilets</t>
        </is>
      </c>
      <c r="J114" s="2" t="inlineStr"/>
      <c r="K114" s="2" t="inlineStr">
        <is>
          <t>Master plan D001 (not a phone pin)</t>
        </is>
      </c>
      <c r="L114" s="4">
        <f>HYPERLINK("https://www.google.com/maps?q=-27.981799,153.427761","Open map")</f>
        <v/>
      </c>
      <c r="M114" s="2" t="inlineStr">
        <is>
          <t>on site</t>
        </is>
      </c>
      <c r="N114" s="2" t="n">
        <v>-27.981799</v>
      </c>
      <c r="O114" s="2" t="n">
        <v>153.427761</v>
      </c>
    </row>
    <row r="115">
      <c r="A115" s="5" t="inlineStr">
        <is>
          <t>WC38</t>
        </is>
      </c>
      <c r="B115" s="5" t="n">
        <v>1</v>
      </c>
      <c r="C115" s="6" t="inlineStr">
        <is>
          <t>0183</t>
        </is>
      </c>
      <c r="D115" s="5" t="inlineStr">
        <is>
          <t>-27.983593, 153.424130</t>
        </is>
      </c>
      <c r="E115" s="5" t="inlineStr">
        <is>
          <t>Commodore Park drop point (red dot)</t>
        </is>
      </c>
      <c r="F115" s="5" t="inlineStr">
        <is>
          <t>FWF</t>
        </is>
      </c>
      <c r="G115" s="5" t="inlineStr">
        <is>
          <t>1 of 1</t>
        </is>
      </c>
      <c r="H115" s="5" t="inlineStr">
        <is>
          <t>Event Portables (sub-hire)</t>
        </is>
      </c>
      <c r="I115" s="5" t="inlineStr">
        <is>
          <t>Toilet</t>
        </is>
      </c>
      <c r="J115" s="5" t="inlineStr">
        <is>
          <t>S10</t>
        </is>
      </c>
      <c r="K115" s="5" t="inlineStr">
        <is>
          <t>Master plan D001 (not a phone pin)</t>
        </is>
      </c>
      <c r="L115" s="7">
        <f>HYPERLINK("https://www.google.com/maps?q=-27.983593,153.42413","Open map")</f>
        <v/>
      </c>
      <c r="M115" s="5" t="inlineStr">
        <is>
          <t>on site</t>
        </is>
      </c>
      <c r="N115" s="5" t="n">
        <v>-27.983593</v>
      </c>
      <c r="O115" s="5" t="n">
        <v>153.42413</v>
      </c>
    </row>
    <row r="116">
      <c r="A116" s="2" t="inlineStr">
        <is>
          <t>WC39</t>
        </is>
      </c>
      <c r="B116" s="2" t="n">
        <v>1</v>
      </c>
      <c r="C116" s="3" t="inlineStr">
        <is>
          <t>0188</t>
        </is>
      </c>
      <c r="D116" s="2" t="inlineStr">
        <is>
          <t>-27.983626, 153.423993</t>
        </is>
      </c>
      <c r="E116" s="2" t="inlineStr">
        <is>
          <t>Commodore Park drop point (red dot)</t>
        </is>
      </c>
      <c r="F116" s="2" t="inlineStr">
        <is>
          <t>FWF</t>
        </is>
      </c>
      <c r="G116" s="2" t="inlineStr">
        <is>
          <t>1 of 2</t>
        </is>
      </c>
      <c r="H116" s="2" t="inlineStr">
        <is>
          <t>Event Portables (sub-hire)</t>
        </is>
      </c>
      <c r="I116" s="2" t="inlineStr">
        <is>
          <t>Toilets</t>
        </is>
      </c>
      <c r="J116" s="2" t="inlineStr"/>
      <c r="K116" s="2" t="inlineStr">
        <is>
          <t>Master plan D001 (not a phone pin)</t>
        </is>
      </c>
      <c r="L116" s="4">
        <f>HYPERLINK("https://www.google.com/maps?q=-27.983626,153.423993","Open map")</f>
        <v/>
      </c>
      <c r="M116" s="2" t="inlineStr">
        <is>
          <t>on site</t>
        </is>
      </c>
      <c r="N116" s="2" t="n">
        <v>-27.983626</v>
      </c>
      <c r="O116" s="2" t="n">
        <v>153.423993</v>
      </c>
    </row>
    <row r="117">
      <c r="A117" s="5" t="inlineStr">
        <is>
          <t>WC39</t>
        </is>
      </c>
      <c r="B117" s="5" t="n">
        <v>1</v>
      </c>
      <c r="C117" s="6" t="inlineStr">
        <is>
          <t>0637</t>
        </is>
      </c>
      <c r="D117" s="5" t="inlineStr">
        <is>
          <t>-27.983626, 153.423993</t>
        </is>
      </c>
      <c r="E117" s="5" t="inlineStr">
        <is>
          <t>Commodore Park drop point (red dot)</t>
        </is>
      </c>
      <c r="F117" s="5" t="inlineStr">
        <is>
          <t>FWF</t>
        </is>
      </c>
      <c r="G117" s="5" t="inlineStr">
        <is>
          <t>2 of 2</t>
        </is>
      </c>
      <c r="H117" s="5" t="inlineStr">
        <is>
          <t>Event Portables (sub-hire)</t>
        </is>
      </c>
      <c r="I117" s="5" t="inlineStr">
        <is>
          <t>Toilets</t>
        </is>
      </c>
      <c r="J117" s="5" t="inlineStr"/>
      <c r="K117" s="5" t="inlineStr">
        <is>
          <t>Master plan D001 (not a phone pin)</t>
        </is>
      </c>
      <c r="L117" s="7">
        <f>HYPERLINK("https://www.google.com/maps?q=-27.983626,153.423993","Open map")</f>
        <v/>
      </c>
      <c r="M117" s="5" t="inlineStr">
        <is>
          <t>on site</t>
        </is>
      </c>
      <c r="N117" s="5" t="n">
        <v>-27.983626</v>
      </c>
      <c r="O117" s="5" t="n">
        <v>153.423993</v>
      </c>
    </row>
    <row r="118">
      <c r="A118" s="2" t="inlineStr">
        <is>
          <t>WC40</t>
        </is>
      </c>
      <c r="B118" s="2" t="n">
        <v>1</v>
      </c>
      <c r="C118" s="3" t="inlineStr">
        <is>
          <t>0626</t>
        </is>
      </c>
      <c r="D118" s="2" t="inlineStr">
        <is>
          <t>-27.983659, 153.424450</t>
        </is>
      </c>
      <c r="E118" s="2" t="inlineStr">
        <is>
          <t>Commodore Park drop point (red dot)</t>
        </is>
      </c>
      <c r="F118" s="2" t="inlineStr">
        <is>
          <t>FWF</t>
        </is>
      </c>
      <c r="G118" s="2" t="inlineStr">
        <is>
          <t>1 of 5</t>
        </is>
      </c>
      <c r="H118" s="2" t="inlineStr">
        <is>
          <t>Event Portables (sub-hire)</t>
        </is>
      </c>
      <c r="I118" s="2" t="inlineStr">
        <is>
          <t>Toilets</t>
        </is>
      </c>
      <c r="J118" s="2" t="inlineStr">
        <is>
          <t>S10</t>
        </is>
      </c>
      <c r="K118" s="2" t="inlineStr">
        <is>
          <t>Master plan D001 (not a phone pin)</t>
        </is>
      </c>
      <c r="L118" s="4">
        <f>HYPERLINK("https://www.google.com/maps?q=-27.983659,153.42445","Open map")</f>
        <v/>
      </c>
      <c r="M118" s="2" t="inlineStr">
        <is>
          <t>on site</t>
        </is>
      </c>
      <c r="N118" s="2" t="n">
        <v>-27.983659</v>
      </c>
      <c r="O118" s="2" t="n">
        <v>153.42445</v>
      </c>
    </row>
    <row r="119">
      <c r="A119" s="5" t="inlineStr">
        <is>
          <t>WC40</t>
        </is>
      </c>
      <c r="B119" s="5" t="n">
        <v>1</v>
      </c>
      <c r="C119" s="6" t="inlineStr">
        <is>
          <t>0541</t>
        </is>
      </c>
      <c r="D119" s="5" t="inlineStr">
        <is>
          <t>-27.983659, 153.424450</t>
        </is>
      </c>
      <c r="E119" s="5" t="inlineStr">
        <is>
          <t>Commodore Park drop point (red dot)</t>
        </is>
      </c>
      <c r="F119" s="5" t="inlineStr">
        <is>
          <t>FWF</t>
        </is>
      </c>
      <c r="G119" s="5" t="inlineStr">
        <is>
          <t>2 of 5</t>
        </is>
      </c>
      <c r="H119" s="5" t="inlineStr">
        <is>
          <t>Event Portables (sub-hire)</t>
        </is>
      </c>
      <c r="I119" s="5" t="inlineStr">
        <is>
          <t>Toilets</t>
        </is>
      </c>
      <c r="J119" s="5" t="inlineStr">
        <is>
          <t>S10</t>
        </is>
      </c>
      <c r="K119" s="5" t="inlineStr">
        <is>
          <t>Master plan D001 (not a phone pin)</t>
        </is>
      </c>
      <c r="L119" s="7">
        <f>HYPERLINK("https://www.google.com/maps?q=-27.983659,153.42445","Open map")</f>
        <v/>
      </c>
      <c r="M119" s="5" t="inlineStr">
        <is>
          <t>on site</t>
        </is>
      </c>
      <c r="N119" s="5" t="n">
        <v>-27.983659</v>
      </c>
      <c r="O119" s="5" t="n">
        <v>153.42445</v>
      </c>
    </row>
    <row r="120">
      <c r="A120" s="2" t="inlineStr">
        <is>
          <t>WC40</t>
        </is>
      </c>
      <c r="B120" s="2" t="n">
        <v>1</v>
      </c>
      <c r="C120" s="3" t="inlineStr">
        <is>
          <t>0965</t>
        </is>
      </c>
      <c r="D120" s="2" t="inlineStr">
        <is>
          <t>-27.983659, 153.424450</t>
        </is>
      </c>
      <c r="E120" s="2" t="inlineStr">
        <is>
          <t>Commodore Park drop point (red dot)</t>
        </is>
      </c>
      <c r="F120" s="2" t="inlineStr">
        <is>
          <t>FWF</t>
        </is>
      </c>
      <c r="G120" s="2" t="inlineStr">
        <is>
          <t>3 of 5</t>
        </is>
      </c>
      <c r="H120" s="2" t="inlineStr">
        <is>
          <t>Event Portables (sub-hire)</t>
        </is>
      </c>
      <c r="I120" s="2" t="inlineStr">
        <is>
          <t>Toilets</t>
        </is>
      </c>
      <c r="J120" s="2" t="inlineStr">
        <is>
          <t>S10</t>
        </is>
      </c>
      <c r="K120" s="2" t="inlineStr">
        <is>
          <t>Master plan D001 (not a phone pin)</t>
        </is>
      </c>
      <c r="L120" s="4">
        <f>HYPERLINK("https://www.google.com/maps?q=-27.983659,153.42445","Open map")</f>
        <v/>
      </c>
      <c r="M120" s="2" t="inlineStr">
        <is>
          <t>on site</t>
        </is>
      </c>
      <c r="N120" s="2" t="n">
        <v>-27.983659</v>
      </c>
      <c r="O120" s="2" t="n">
        <v>153.42445</v>
      </c>
    </row>
    <row r="121">
      <c r="A121" s="5" t="inlineStr">
        <is>
          <t>WC40</t>
        </is>
      </c>
      <c r="B121" s="5" t="n">
        <v>1</v>
      </c>
      <c r="C121" s="6" t="inlineStr">
        <is>
          <t>0433</t>
        </is>
      </c>
      <c r="D121" s="5" t="inlineStr">
        <is>
          <t>-27.983659, 153.424450</t>
        </is>
      </c>
      <c r="E121" s="5" t="inlineStr">
        <is>
          <t>Commodore Park drop point (red dot)</t>
        </is>
      </c>
      <c r="F121" s="5" t="inlineStr">
        <is>
          <t>FWF</t>
        </is>
      </c>
      <c r="G121" s="5" t="inlineStr">
        <is>
          <t>4 of 5</t>
        </is>
      </c>
      <c r="H121" s="5" t="inlineStr">
        <is>
          <t>Event Portables (sub-hire)</t>
        </is>
      </c>
      <c r="I121" s="5" t="inlineStr">
        <is>
          <t>Toilets</t>
        </is>
      </c>
      <c r="J121" s="5" t="inlineStr">
        <is>
          <t>S10</t>
        </is>
      </c>
      <c r="K121" s="5" t="inlineStr">
        <is>
          <t>Master plan D001 (not a phone pin)</t>
        </is>
      </c>
      <c r="L121" s="7">
        <f>HYPERLINK("https://www.google.com/maps?q=-27.983659,153.42445","Open map")</f>
        <v/>
      </c>
      <c r="M121" s="5" t="inlineStr">
        <is>
          <t>on site</t>
        </is>
      </c>
      <c r="N121" s="5" t="n">
        <v>-27.983659</v>
      </c>
      <c r="O121" s="5" t="n">
        <v>153.42445</v>
      </c>
    </row>
    <row r="122">
      <c r="A122" s="2" t="inlineStr">
        <is>
          <t>WC40</t>
        </is>
      </c>
      <c r="B122" s="2" t="n">
        <v>1</v>
      </c>
      <c r="C122" s="3" t="inlineStr">
        <is>
          <t>0648</t>
        </is>
      </c>
      <c r="D122" s="2" t="inlineStr">
        <is>
          <t>-27.983659, 153.424450</t>
        </is>
      </c>
      <c r="E122" s="2" t="inlineStr">
        <is>
          <t>Commodore Park drop point (red dot)</t>
        </is>
      </c>
      <c r="F122" s="2" t="inlineStr">
        <is>
          <t>FWF</t>
        </is>
      </c>
      <c r="G122" s="2" t="inlineStr">
        <is>
          <t>5 of 5</t>
        </is>
      </c>
      <c r="H122" s="2" t="inlineStr">
        <is>
          <t>Event Portables (sub-hire)</t>
        </is>
      </c>
      <c r="I122" s="2" t="inlineStr">
        <is>
          <t>Toilets</t>
        </is>
      </c>
      <c r="J122" s="2" t="inlineStr">
        <is>
          <t>S10</t>
        </is>
      </c>
      <c r="K122" s="2" t="inlineStr">
        <is>
          <t>Master plan D001 (not a phone pin)</t>
        </is>
      </c>
      <c r="L122" s="4">
        <f>HYPERLINK("https://www.google.com/maps?q=-27.983659,153.42445","Open map")</f>
        <v/>
      </c>
      <c r="M122" s="2" t="inlineStr">
        <is>
          <t>on site</t>
        </is>
      </c>
      <c r="N122" s="2" t="n">
        <v>-27.983659</v>
      </c>
      <c r="O122" s="2" t="n">
        <v>153.42445</v>
      </c>
    </row>
    <row r="123">
      <c r="A123" s="5" t="inlineStr">
        <is>
          <t>WC41</t>
        </is>
      </c>
      <c r="B123" s="5" t="n">
        <v>1</v>
      </c>
      <c r="C123" s="6" t="inlineStr">
        <is>
          <t>0521</t>
        </is>
      </c>
      <c r="D123" s="5" t="inlineStr">
        <is>
          <t>-27.984835, 153.426054</t>
        </is>
      </c>
      <c r="E123" s="5" t="inlineStr">
        <is>
          <t>Median strip meet-up – pit stop, by FOAM</t>
        </is>
      </c>
      <c r="F123" s="5" t="inlineStr">
        <is>
          <t>FWF</t>
        </is>
      </c>
      <c r="G123" s="5" t="inlineStr">
        <is>
          <t>1 of 10</t>
        </is>
      </c>
      <c r="H123" s="5" t="inlineStr">
        <is>
          <t>Event Portables (sub-hire)</t>
        </is>
      </c>
      <c r="I123" s="5" t="inlineStr">
        <is>
          <t>Toilets</t>
        </is>
      </c>
      <c r="J123" s="5" t="inlineStr">
        <is>
          <t>S11</t>
        </is>
      </c>
      <c r="K123" s="5" t="inlineStr">
        <is>
          <t>Master plan D001 (not a phone pin)</t>
        </is>
      </c>
      <c r="L123" s="7">
        <f>HYPERLINK("https://www.google.com/maps?q=-27.984835,153.426054","Open map")</f>
        <v/>
      </c>
      <c r="M123" s="5" t="inlineStr">
        <is>
          <t>on site</t>
        </is>
      </c>
      <c r="N123" s="5" t="n">
        <v>-27.984835</v>
      </c>
      <c r="O123" s="5" t="n">
        <v>153.426054</v>
      </c>
    </row>
    <row r="124">
      <c r="A124" s="2" t="inlineStr">
        <is>
          <t>WC41</t>
        </is>
      </c>
      <c r="B124" s="2" t="n">
        <v>1</v>
      </c>
      <c r="C124" s="3" t="inlineStr">
        <is>
          <t>0996</t>
        </is>
      </c>
      <c r="D124" s="2" t="inlineStr">
        <is>
          <t>-27.984835, 153.426054</t>
        </is>
      </c>
      <c r="E124" s="2" t="inlineStr">
        <is>
          <t>Median strip meet-up – pit stop, by FOAM</t>
        </is>
      </c>
      <c r="F124" s="2" t="inlineStr">
        <is>
          <t>FWF</t>
        </is>
      </c>
      <c r="G124" s="2" t="inlineStr">
        <is>
          <t>2 of 10</t>
        </is>
      </c>
      <c r="H124" s="2" t="inlineStr">
        <is>
          <t>Event Portables (sub-hire)</t>
        </is>
      </c>
      <c r="I124" s="2" t="inlineStr">
        <is>
          <t>Toilets</t>
        </is>
      </c>
      <c r="J124" s="2" t="inlineStr">
        <is>
          <t>S11</t>
        </is>
      </c>
      <c r="K124" s="2" t="inlineStr">
        <is>
          <t>Master plan D001 (not a phone pin)</t>
        </is>
      </c>
      <c r="L124" s="4">
        <f>HYPERLINK("https://www.google.com/maps?q=-27.984835,153.426054","Open map")</f>
        <v/>
      </c>
      <c r="M124" s="2" t="inlineStr">
        <is>
          <t>on site</t>
        </is>
      </c>
      <c r="N124" s="2" t="n">
        <v>-27.984835</v>
      </c>
      <c r="O124" s="2" t="n">
        <v>153.426054</v>
      </c>
    </row>
    <row r="125">
      <c r="A125" s="5" t="inlineStr">
        <is>
          <t>WC41</t>
        </is>
      </c>
      <c r="B125" s="5" t="n">
        <v>1</v>
      </c>
      <c r="C125" s="6" t="inlineStr">
        <is>
          <t>0191</t>
        </is>
      </c>
      <c r="D125" s="5" t="inlineStr">
        <is>
          <t>-27.984835, 153.426054</t>
        </is>
      </c>
      <c r="E125" s="5" t="inlineStr">
        <is>
          <t>Median strip meet-up – pit stop, by FOAM</t>
        </is>
      </c>
      <c r="F125" s="5" t="inlineStr">
        <is>
          <t>FWF</t>
        </is>
      </c>
      <c r="G125" s="5" t="inlineStr">
        <is>
          <t>3 of 10</t>
        </is>
      </c>
      <c r="H125" s="5" t="inlineStr">
        <is>
          <t>Event Portables (sub-hire)</t>
        </is>
      </c>
      <c r="I125" s="5" t="inlineStr">
        <is>
          <t>Toilets</t>
        </is>
      </c>
      <c r="J125" s="5" t="inlineStr">
        <is>
          <t>S11</t>
        </is>
      </c>
      <c r="K125" s="5" t="inlineStr">
        <is>
          <t>Master plan D001 (not a phone pin)</t>
        </is>
      </c>
      <c r="L125" s="7">
        <f>HYPERLINK("https://www.google.com/maps?q=-27.984835,153.426054","Open map")</f>
        <v/>
      </c>
      <c r="M125" s="5" t="inlineStr">
        <is>
          <t>on site</t>
        </is>
      </c>
      <c r="N125" s="5" t="n">
        <v>-27.984835</v>
      </c>
      <c r="O125" s="5" t="n">
        <v>153.426054</v>
      </c>
    </row>
    <row r="126">
      <c r="A126" s="2" t="inlineStr">
        <is>
          <t>WC41</t>
        </is>
      </c>
      <c r="B126" s="2" t="n">
        <v>1</v>
      </c>
      <c r="C126" s="3" t="inlineStr">
        <is>
          <t>0669</t>
        </is>
      </c>
      <c r="D126" s="2" t="inlineStr">
        <is>
          <t>-27.984835, 153.426054</t>
        </is>
      </c>
      <c r="E126" s="2" t="inlineStr">
        <is>
          <t>Median strip meet-up – pit stop, by FOAM</t>
        </is>
      </c>
      <c r="F126" s="2" t="inlineStr">
        <is>
          <t>FWF</t>
        </is>
      </c>
      <c r="G126" s="2" t="inlineStr">
        <is>
          <t>4 of 10</t>
        </is>
      </c>
      <c r="H126" s="2" t="inlineStr">
        <is>
          <t>Event Portables (sub-hire)</t>
        </is>
      </c>
      <c r="I126" s="2" t="inlineStr">
        <is>
          <t>Toilets</t>
        </is>
      </c>
      <c r="J126" s="2" t="inlineStr">
        <is>
          <t>S11</t>
        </is>
      </c>
      <c r="K126" s="2" t="inlineStr">
        <is>
          <t>Master plan D001 (not a phone pin)</t>
        </is>
      </c>
      <c r="L126" s="4">
        <f>HYPERLINK("https://www.google.com/maps?q=-27.984835,153.426054","Open map")</f>
        <v/>
      </c>
      <c r="M126" s="2" t="inlineStr">
        <is>
          <t>on site</t>
        </is>
      </c>
      <c r="N126" s="2" t="n">
        <v>-27.984835</v>
      </c>
      <c r="O126" s="2" t="n">
        <v>153.426054</v>
      </c>
    </row>
    <row r="127">
      <c r="A127" s="5" t="inlineStr">
        <is>
          <t>WC41</t>
        </is>
      </c>
      <c r="B127" s="5" t="n">
        <v>1</v>
      </c>
      <c r="C127" s="6" t="inlineStr">
        <is>
          <t>0643</t>
        </is>
      </c>
      <c r="D127" s="5" t="inlineStr">
        <is>
          <t>-27.984835, 153.426054</t>
        </is>
      </c>
      <c r="E127" s="5" t="inlineStr">
        <is>
          <t>Median strip meet-up – pit stop, by FOAM</t>
        </is>
      </c>
      <c r="F127" s="5" t="inlineStr">
        <is>
          <t>FWF</t>
        </is>
      </c>
      <c r="G127" s="5" t="inlineStr">
        <is>
          <t>5 of 10</t>
        </is>
      </c>
      <c r="H127" s="5" t="inlineStr">
        <is>
          <t>Event Portables (sub-hire)</t>
        </is>
      </c>
      <c r="I127" s="5" t="inlineStr">
        <is>
          <t>Toilets</t>
        </is>
      </c>
      <c r="J127" s="5" t="inlineStr">
        <is>
          <t>S11</t>
        </is>
      </c>
      <c r="K127" s="5" t="inlineStr">
        <is>
          <t>Master plan D001 (not a phone pin)</t>
        </is>
      </c>
      <c r="L127" s="7">
        <f>HYPERLINK("https://www.google.com/maps?q=-27.984835,153.426054","Open map")</f>
        <v/>
      </c>
      <c r="M127" s="5" t="inlineStr">
        <is>
          <t>on site</t>
        </is>
      </c>
      <c r="N127" s="5" t="n">
        <v>-27.984835</v>
      </c>
      <c r="O127" s="5" t="n">
        <v>153.426054</v>
      </c>
    </row>
    <row r="128">
      <c r="A128" s="2" t="inlineStr">
        <is>
          <t>WC41</t>
        </is>
      </c>
      <c r="B128" s="2" t="n">
        <v>1</v>
      </c>
      <c r="C128" s="3" t="inlineStr">
        <is>
          <t>0517</t>
        </is>
      </c>
      <c r="D128" s="2" t="inlineStr">
        <is>
          <t>-27.984835, 153.426054</t>
        </is>
      </c>
      <c r="E128" s="2" t="inlineStr">
        <is>
          <t>Median strip meet-up – pit stop, by FOAM</t>
        </is>
      </c>
      <c r="F128" s="2" t="inlineStr">
        <is>
          <t>FWF</t>
        </is>
      </c>
      <c r="G128" s="2" t="inlineStr">
        <is>
          <t>6 of 10</t>
        </is>
      </c>
      <c r="H128" s="2" t="inlineStr">
        <is>
          <t>Event Portables (sub-hire)</t>
        </is>
      </c>
      <c r="I128" s="2" t="inlineStr">
        <is>
          <t>Toilets</t>
        </is>
      </c>
      <c r="J128" s="2" t="inlineStr">
        <is>
          <t>S11</t>
        </is>
      </c>
      <c r="K128" s="2" t="inlineStr">
        <is>
          <t>Master plan D001 (not a phone pin)</t>
        </is>
      </c>
      <c r="L128" s="4">
        <f>HYPERLINK("https://www.google.com/maps?q=-27.984835,153.426054","Open map")</f>
        <v/>
      </c>
      <c r="M128" s="2" t="inlineStr">
        <is>
          <t>on site</t>
        </is>
      </c>
      <c r="N128" s="2" t="n">
        <v>-27.984835</v>
      </c>
      <c r="O128" s="2" t="n">
        <v>153.426054</v>
      </c>
    </row>
    <row r="129">
      <c r="A129" s="5" t="inlineStr">
        <is>
          <t>WC41</t>
        </is>
      </c>
      <c r="B129" s="5" t="n">
        <v>1</v>
      </c>
      <c r="C129" s="6" t="inlineStr">
        <is>
          <t>0682</t>
        </is>
      </c>
      <c r="D129" s="5" t="inlineStr">
        <is>
          <t>-27.984835, 153.426054</t>
        </is>
      </c>
      <c r="E129" s="5" t="inlineStr">
        <is>
          <t>Median strip meet-up – pit stop, by FOAM</t>
        </is>
      </c>
      <c r="F129" s="5" t="inlineStr">
        <is>
          <t>FWF</t>
        </is>
      </c>
      <c r="G129" s="5" t="inlineStr">
        <is>
          <t>7 of 10</t>
        </is>
      </c>
      <c r="H129" s="5" t="inlineStr">
        <is>
          <t>Event Portables (sub-hire)</t>
        </is>
      </c>
      <c r="I129" s="5" t="inlineStr">
        <is>
          <t>Toilets</t>
        </is>
      </c>
      <c r="J129" s="5" t="inlineStr">
        <is>
          <t>S11</t>
        </is>
      </c>
      <c r="K129" s="5" t="inlineStr">
        <is>
          <t>Master plan D001 (not a phone pin)</t>
        </is>
      </c>
      <c r="L129" s="7">
        <f>HYPERLINK("https://www.google.com/maps?q=-27.984835,153.426054","Open map")</f>
        <v/>
      </c>
      <c r="M129" s="5" t="inlineStr">
        <is>
          <t>on site</t>
        </is>
      </c>
      <c r="N129" s="5" t="n">
        <v>-27.984835</v>
      </c>
      <c r="O129" s="5" t="n">
        <v>153.426054</v>
      </c>
    </row>
    <row r="130">
      <c r="A130" s="2" t="inlineStr">
        <is>
          <t>WC41</t>
        </is>
      </c>
      <c r="B130" s="2" t="n">
        <v>1</v>
      </c>
      <c r="C130" s="3" t="inlineStr">
        <is>
          <t>0651</t>
        </is>
      </c>
      <c r="D130" s="2" t="inlineStr">
        <is>
          <t>-27.984835, 153.426054</t>
        </is>
      </c>
      <c r="E130" s="2" t="inlineStr">
        <is>
          <t>Median strip meet-up – pit stop, by FOAM</t>
        </is>
      </c>
      <c r="F130" s="2" t="inlineStr">
        <is>
          <t>FWF</t>
        </is>
      </c>
      <c r="G130" s="2" t="inlineStr">
        <is>
          <t>8 of 10</t>
        </is>
      </c>
      <c r="H130" s="2" t="inlineStr">
        <is>
          <t>Event Portables (sub-hire)</t>
        </is>
      </c>
      <c r="I130" s="2" t="inlineStr">
        <is>
          <t>Toilets</t>
        </is>
      </c>
      <c r="J130" s="2" t="inlineStr">
        <is>
          <t>S11</t>
        </is>
      </c>
      <c r="K130" s="2" t="inlineStr">
        <is>
          <t>Master plan D001 (not a phone pin)</t>
        </is>
      </c>
      <c r="L130" s="4">
        <f>HYPERLINK("https://www.google.com/maps?q=-27.984835,153.426054","Open map")</f>
        <v/>
      </c>
      <c r="M130" s="2" t="inlineStr">
        <is>
          <t>on site</t>
        </is>
      </c>
      <c r="N130" s="2" t="n">
        <v>-27.984835</v>
      </c>
      <c r="O130" s="2" t="n">
        <v>153.426054</v>
      </c>
    </row>
    <row r="131">
      <c r="A131" s="5" t="inlineStr">
        <is>
          <t>WC41</t>
        </is>
      </c>
      <c r="B131" s="5" t="n">
        <v>1</v>
      </c>
      <c r="C131" s="6" t="inlineStr">
        <is>
          <t>0065</t>
        </is>
      </c>
      <c r="D131" s="5" t="inlineStr">
        <is>
          <t>-27.984835, 153.426054</t>
        </is>
      </c>
      <c r="E131" s="5" t="inlineStr">
        <is>
          <t>Median strip meet-up – pit stop, by FOAM</t>
        </is>
      </c>
      <c r="F131" s="5" t="inlineStr">
        <is>
          <t>FWF</t>
        </is>
      </c>
      <c r="G131" s="5" t="inlineStr">
        <is>
          <t>9 of 10</t>
        </is>
      </c>
      <c r="H131" s="5" t="inlineStr">
        <is>
          <t>Event Portables (sub-hire)</t>
        </is>
      </c>
      <c r="I131" s="5" t="inlineStr">
        <is>
          <t>Toilets</t>
        </is>
      </c>
      <c r="J131" s="5" t="inlineStr">
        <is>
          <t>S11</t>
        </is>
      </c>
      <c r="K131" s="5" t="inlineStr">
        <is>
          <t>Master plan D001 (not a phone pin)</t>
        </is>
      </c>
      <c r="L131" s="7">
        <f>HYPERLINK("https://www.google.com/maps?q=-27.984835,153.426054","Open map")</f>
        <v/>
      </c>
      <c r="M131" s="5" t="inlineStr">
        <is>
          <t>on site</t>
        </is>
      </c>
      <c r="N131" s="5" t="n">
        <v>-27.984835</v>
      </c>
      <c r="O131" s="5" t="n">
        <v>153.426054</v>
      </c>
    </row>
    <row r="132">
      <c r="A132" s="2" t="inlineStr">
        <is>
          <t>WC41</t>
        </is>
      </c>
      <c r="B132" s="2" t="n">
        <v>1</v>
      </c>
      <c r="C132" s="3" t="inlineStr">
        <is>
          <t>0518</t>
        </is>
      </c>
      <c r="D132" s="2" t="inlineStr">
        <is>
          <t>-27.984835, 153.426054</t>
        </is>
      </c>
      <c r="E132" s="2" t="inlineStr">
        <is>
          <t>Median strip meet-up – pit stop, by FOAM</t>
        </is>
      </c>
      <c r="F132" s="2" t="inlineStr">
        <is>
          <t>FWF</t>
        </is>
      </c>
      <c r="G132" s="2" t="inlineStr">
        <is>
          <t>10 of 10</t>
        </is>
      </c>
      <c r="H132" s="2" t="inlineStr">
        <is>
          <t>Event Portables (sub-hire)</t>
        </is>
      </c>
      <c r="I132" s="2" t="inlineStr">
        <is>
          <t>Toilets</t>
        </is>
      </c>
      <c r="J132" s="2" t="inlineStr">
        <is>
          <t>S11</t>
        </is>
      </c>
      <c r="K132" s="2" t="inlineStr">
        <is>
          <t>Master plan D001 (not a phone pin)</t>
        </is>
      </c>
      <c r="L132" s="4">
        <f>HYPERLINK("https://www.google.com/maps?q=-27.984835,153.426054","Open map")</f>
        <v/>
      </c>
      <c r="M132" s="2" t="inlineStr">
        <is>
          <t>on site</t>
        </is>
      </c>
      <c r="N132" s="2" t="n">
        <v>-27.984835</v>
      </c>
      <c r="O132" s="2" t="n">
        <v>153.426054</v>
      </c>
    </row>
    <row r="133">
      <c r="A133" s="5" t="inlineStr">
        <is>
          <t>WC42</t>
        </is>
      </c>
      <c r="B133" s="5" t="n">
        <v>1</v>
      </c>
      <c r="C133" s="6" t="inlineStr">
        <is>
          <t>0141</t>
        </is>
      </c>
      <c r="D133" s="5" t="inlineStr">
        <is>
          <t>-27.983280, 153.424840</t>
        </is>
      </c>
      <c r="E133" s="5" t="inlineStr">
        <is>
          <t>Commodore Park drop point (red dot)</t>
        </is>
      </c>
      <c r="F133" s="5" t="inlineStr">
        <is>
          <t>FWF</t>
        </is>
      </c>
      <c r="G133" s="5" t="inlineStr">
        <is>
          <t>1 of 1</t>
        </is>
      </c>
      <c r="H133" s="5" t="inlineStr">
        <is>
          <t>Event Portables (sub-hire)</t>
        </is>
      </c>
      <c r="I133" s="5" t="inlineStr">
        <is>
          <t>Toilets</t>
        </is>
      </c>
      <c r="J133" s="5" t="inlineStr">
        <is>
          <t>S10</t>
        </is>
      </c>
      <c r="K133" s="5" t="inlineStr">
        <is>
          <t>Master plan D001 (not a phone pin)</t>
        </is>
      </c>
      <c r="L133" s="7">
        <f>HYPERLINK("https://www.google.com/maps?q=-27.98328,153.42484","Open map")</f>
        <v/>
      </c>
      <c r="M133" s="5" t="inlineStr">
        <is>
          <t>on site</t>
        </is>
      </c>
      <c r="N133" s="5" t="n">
        <v>-27.98328</v>
      </c>
      <c r="O133" s="5" t="n">
        <v>153.42484</v>
      </c>
    </row>
    <row r="134">
      <c r="A134" s="2" t="inlineStr">
        <is>
          <t>WC43</t>
        </is>
      </c>
      <c r="B134" s="2" t="n">
        <v>1</v>
      </c>
      <c r="C134" s="3" t="inlineStr">
        <is>
          <t>0723</t>
        </is>
      </c>
      <c r="D134" s="2" t="inlineStr">
        <is>
          <t>-27.986371, 153.427224</t>
        </is>
      </c>
      <c r="E134" s="2" t="inlineStr">
        <is>
          <t>Island north – by FREIGHT</t>
        </is>
      </c>
      <c r="F134" s="2" t="inlineStr">
        <is>
          <t>FWF</t>
        </is>
      </c>
      <c r="G134" s="2" t="inlineStr">
        <is>
          <t>1 of 10</t>
        </is>
      </c>
      <c r="H134" s="2" t="inlineStr">
        <is>
          <t>Event Portables (sub-hire)</t>
        </is>
      </c>
      <c r="I134" s="2" t="inlineStr">
        <is>
          <t>Toilets</t>
        </is>
      </c>
      <c r="J134" s="2" t="inlineStr">
        <is>
          <t>S14</t>
        </is>
      </c>
      <c r="K134" s="2" t="inlineStr">
        <is>
          <t>Master plan D001 (not a phone pin)</t>
        </is>
      </c>
      <c r="L134" s="4">
        <f>HYPERLINK("https://www.google.com/maps?q=-27.986371,153.427224","Open map")</f>
        <v/>
      </c>
      <c r="M134" s="2" t="inlineStr">
        <is>
          <t>on site</t>
        </is>
      </c>
      <c r="N134" s="2" t="n">
        <v>-27.986371</v>
      </c>
      <c r="O134" s="2" t="n">
        <v>153.427224</v>
      </c>
    </row>
    <row r="135">
      <c r="A135" s="5" t="inlineStr">
        <is>
          <t>WC43</t>
        </is>
      </c>
      <c r="B135" s="5" t="n">
        <v>1</v>
      </c>
      <c r="C135" s="6" t="inlineStr">
        <is>
          <t>0056</t>
        </is>
      </c>
      <c r="D135" s="5" t="inlineStr">
        <is>
          <t>-27.986371, 153.427224</t>
        </is>
      </c>
      <c r="E135" s="5" t="inlineStr">
        <is>
          <t>Island north – by FREIGHT</t>
        </is>
      </c>
      <c r="F135" s="5" t="inlineStr">
        <is>
          <t>FWF</t>
        </is>
      </c>
      <c r="G135" s="5" t="inlineStr">
        <is>
          <t>2 of 10</t>
        </is>
      </c>
      <c r="H135" s="5" t="inlineStr">
        <is>
          <t>Event Portables (sub-hire)</t>
        </is>
      </c>
      <c r="I135" s="5" t="inlineStr">
        <is>
          <t>Toilets</t>
        </is>
      </c>
      <c r="J135" s="5" t="inlineStr">
        <is>
          <t>S14</t>
        </is>
      </c>
      <c r="K135" s="5" t="inlineStr">
        <is>
          <t>Master plan D001 (not a phone pin)</t>
        </is>
      </c>
      <c r="L135" s="7">
        <f>HYPERLINK("https://www.google.com/maps?q=-27.986371,153.427224","Open map")</f>
        <v/>
      </c>
      <c r="M135" s="5" t="inlineStr">
        <is>
          <t>on site</t>
        </is>
      </c>
      <c r="N135" s="5" t="n">
        <v>-27.986371</v>
      </c>
      <c r="O135" s="5" t="n">
        <v>153.427224</v>
      </c>
    </row>
    <row r="136">
      <c r="A136" s="2" t="inlineStr">
        <is>
          <t>WC43</t>
        </is>
      </c>
      <c r="B136" s="2" t="n">
        <v>1</v>
      </c>
      <c r="C136" s="3" t="inlineStr">
        <is>
          <t>0161</t>
        </is>
      </c>
      <c r="D136" s="2" t="inlineStr">
        <is>
          <t>-27.986371, 153.427224</t>
        </is>
      </c>
      <c r="E136" s="2" t="inlineStr">
        <is>
          <t>Island north – by FREIGHT</t>
        </is>
      </c>
      <c r="F136" s="2" t="inlineStr">
        <is>
          <t>FWF</t>
        </is>
      </c>
      <c r="G136" s="2" t="inlineStr">
        <is>
          <t>3 of 10</t>
        </is>
      </c>
      <c r="H136" s="2" t="inlineStr">
        <is>
          <t>Event Portables (sub-hire)</t>
        </is>
      </c>
      <c r="I136" s="2" t="inlineStr">
        <is>
          <t>Toilets</t>
        </is>
      </c>
      <c r="J136" s="2" t="inlineStr">
        <is>
          <t>S14</t>
        </is>
      </c>
      <c r="K136" s="2" t="inlineStr">
        <is>
          <t>Master plan D001 (not a phone pin)</t>
        </is>
      </c>
      <c r="L136" s="4">
        <f>HYPERLINK("https://www.google.com/maps?q=-27.986371,153.427224","Open map")</f>
        <v/>
      </c>
      <c r="M136" s="2" t="inlineStr">
        <is>
          <t>on site</t>
        </is>
      </c>
      <c r="N136" s="2" t="n">
        <v>-27.986371</v>
      </c>
      <c r="O136" s="2" t="n">
        <v>153.427224</v>
      </c>
    </row>
    <row r="137">
      <c r="A137" s="5" t="inlineStr">
        <is>
          <t>WC43</t>
        </is>
      </c>
      <c r="B137" s="5" t="n">
        <v>1</v>
      </c>
      <c r="C137" s="6" t="inlineStr">
        <is>
          <t>0182</t>
        </is>
      </c>
      <c r="D137" s="5" t="inlineStr">
        <is>
          <t>-27.986371, 153.427224</t>
        </is>
      </c>
      <c r="E137" s="5" t="inlineStr">
        <is>
          <t>Island north – by FREIGHT</t>
        </is>
      </c>
      <c r="F137" s="5" t="inlineStr">
        <is>
          <t>FWF</t>
        </is>
      </c>
      <c r="G137" s="5" t="inlineStr">
        <is>
          <t>4 of 10</t>
        </is>
      </c>
      <c r="H137" s="5" t="inlineStr">
        <is>
          <t>Event Portables (sub-hire)</t>
        </is>
      </c>
      <c r="I137" s="5" t="inlineStr">
        <is>
          <t>Toilets</t>
        </is>
      </c>
      <c r="J137" s="5" t="inlineStr">
        <is>
          <t>S14</t>
        </is>
      </c>
      <c r="K137" s="5" t="inlineStr">
        <is>
          <t>Master plan D001 (not a phone pin)</t>
        </is>
      </c>
      <c r="L137" s="7">
        <f>HYPERLINK("https://www.google.com/maps?q=-27.986371,153.427224","Open map")</f>
        <v/>
      </c>
      <c r="M137" s="5" t="inlineStr">
        <is>
          <t>on site</t>
        </is>
      </c>
      <c r="N137" s="5" t="n">
        <v>-27.986371</v>
      </c>
      <c r="O137" s="5" t="n">
        <v>153.427224</v>
      </c>
    </row>
    <row r="138">
      <c r="A138" s="2" t="inlineStr">
        <is>
          <t>WC43</t>
        </is>
      </c>
      <c r="B138" s="2" t="n">
        <v>1</v>
      </c>
      <c r="C138" s="3" t="inlineStr">
        <is>
          <t>0528</t>
        </is>
      </c>
      <c r="D138" s="2" t="inlineStr">
        <is>
          <t>-27.986371, 153.427224</t>
        </is>
      </c>
      <c r="E138" s="2" t="inlineStr">
        <is>
          <t>Island north – by FREIGHT</t>
        </is>
      </c>
      <c r="F138" s="2" t="inlineStr">
        <is>
          <t>FWF</t>
        </is>
      </c>
      <c r="G138" s="2" t="inlineStr">
        <is>
          <t>5 of 10</t>
        </is>
      </c>
      <c r="H138" s="2" t="inlineStr">
        <is>
          <t>Event Portables (sub-hire)</t>
        </is>
      </c>
      <c r="I138" s="2" t="inlineStr">
        <is>
          <t>Toilets</t>
        </is>
      </c>
      <c r="J138" s="2" t="inlineStr">
        <is>
          <t>S14</t>
        </is>
      </c>
      <c r="K138" s="2" t="inlineStr">
        <is>
          <t>Master plan D001 (not a phone pin)</t>
        </is>
      </c>
      <c r="L138" s="4">
        <f>HYPERLINK("https://www.google.com/maps?q=-27.986371,153.427224","Open map")</f>
        <v/>
      </c>
      <c r="M138" s="2" t="inlineStr">
        <is>
          <t>on site</t>
        </is>
      </c>
      <c r="N138" s="2" t="n">
        <v>-27.986371</v>
      </c>
      <c r="O138" s="2" t="n">
        <v>153.427224</v>
      </c>
    </row>
    <row r="139">
      <c r="A139" s="5" t="inlineStr">
        <is>
          <t>WC43</t>
        </is>
      </c>
      <c r="B139" s="5" t="n">
        <v>1</v>
      </c>
      <c r="C139" s="6" t="inlineStr">
        <is>
          <t>0696</t>
        </is>
      </c>
      <c r="D139" s="5" t="inlineStr">
        <is>
          <t>-27.986371, 153.427224</t>
        </is>
      </c>
      <c r="E139" s="5" t="inlineStr">
        <is>
          <t>Island north – by FREIGHT</t>
        </is>
      </c>
      <c r="F139" s="5" t="inlineStr">
        <is>
          <t>FWF</t>
        </is>
      </c>
      <c r="G139" s="5" t="inlineStr">
        <is>
          <t>6 of 10</t>
        </is>
      </c>
      <c r="H139" s="5" t="inlineStr">
        <is>
          <t>Event Portables (sub-hire)</t>
        </is>
      </c>
      <c r="I139" s="5" t="inlineStr">
        <is>
          <t>Toilets</t>
        </is>
      </c>
      <c r="J139" s="5" t="inlineStr">
        <is>
          <t>S14</t>
        </is>
      </c>
      <c r="K139" s="5" t="inlineStr">
        <is>
          <t>Master plan D001 (not a phone pin)</t>
        </is>
      </c>
      <c r="L139" s="7">
        <f>HYPERLINK("https://www.google.com/maps?q=-27.986371,153.427224","Open map")</f>
        <v/>
      </c>
      <c r="M139" s="5" t="inlineStr">
        <is>
          <t>on site</t>
        </is>
      </c>
      <c r="N139" s="5" t="n">
        <v>-27.986371</v>
      </c>
      <c r="O139" s="5" t="n">
        <v>153.427224</v>
      </c>
    </row>
    <row r="140">
      <c r="A140" s="2" t="inlineStr">
        <is>
          <t>WC43</t>
        </is>
      </c>
      <c r="B140" s="2" t="n">
        <v>1</v>
      </c>
      <c r="C140" s="3" t="inlineStr">
        <is>
          <t>0420</t>
        </is>
      </c>
      <c r="D140" s="2" t="inlineStr">
        <is>
          <t>-27.986371, 153.427224</t>
        </is>
      </c>
      <c r="E140" s="2" t="inlineStr">
        <is>
          <t>Island north – by FREIGHT</t>
        </is>
      </c>
      <c r="F140" s="2" t="inlineStr">
        <is>
          <t>FWF</t>
        </is>
      </c>
      <c r="G140" s="2" t="inlineStr">
        <is>
          <t>7 of 10</t>
        </is>
      </c>
      <c r="H140" s="2" t="inlineStr">
        <is>
          <t>Event Portables (sub-hire)</t>
        </is>
      </c>
      <c r="I140" s="2" t="inlineStr">
        <is>
          <t>Toilets</t>
        </is>
      </c>
      <c r="J140" s="2" t="inlineStr">
        <is>
          <t>S14</t>
        </is>
      </c>
      <c r="K140" s="2" t="inlineStr">
        <is>
          <t>Master plan D001 (not a phone pin)</t>
        </is>
      </c>
      <c r="L140" s="4">
        <f>HYPERLINK("https://www.google.com/maps?q=-27.986371,153.427224","Open map")</f>
        <v/>
      </c>
      <c r="M140" s="2" t="inlineStr">
        <is>
          <t>on site</t>
        </is>
      </c>
      <c r="N140" s="2" t="n">
        <v>-27.986371</v>
      </c>
      <c r="O140" s="2" t="n">
        <v>153.427224</v>
      </c>
    </row>
    <row r="141">
      <c r="A141" s="5" t="inlineStr">
        <is>
          <t>WC43</t>
        </is>
      </c>
      <c r="B141" s="5" t="n">
        <v>1</v>
      </c>
      <c r="C141" s="6" t="inlineStr">
        <is>
          <t>0961</t>
        </is>
      </c>
      <c r="D141" s="5" t="inlineStr">
        <is>
          <t>-27.986371, 153.427224</t>
        </is>
      </c>
      <c r="E141" s="5" t="inlineStr">
        <is>
          <t>Island north – by FREIGHT</t>
        </is>
      </c>
      <c r="F141" s="5" t="inlineStr">
        <is>
          <t>FWF</t>
        </is>
      </c>
      <c r="G141" s="5" t="inlineStr">
        <is>
          <t>8 of 10</t>
        </is>
      </c>
      <c r="H141" s="5" t="inlineStr">
        <is>
          <t>Event Portables (sub-hire)</t>
        </is>
      </c>
      <c r="I141" s="5" t="inlineStr">
        <is>
          <t>Toilets</t>
        </is>
      </c>
      <c r="J141" s="5" t="inlineStr">
        <is>
          <t>S14</t>
        </is>
      </c>
      <c r="K141" s="5" t="inlineStr">
        <is>
          <t>Master plan D001 (not a phone pin)</t>
        </is>
      </c>
      <c r="L141" s="7">
        <f>HYPERLINK("https://www.google.com/maps?q=-27.986371,153.427224","Open map")</f>
        <v/>
      </c>
      <c r="M141" s="5" t="inlineStr">
        <is>
          <t>on site</t>
        </is>
      </c>
      <c r="N141" s="5" t="n">
        <v>-27.986371</v>
      </c>
      <c r="O141" s="5" t="n">
        <v>153.427224</v>
      </c>
    </row>
    <row r="142">
      <c r="A142" s="2" t="inlineStr">
        <is>
          <t>WC43</t>
        </is>
      </c>
      <c r="B142" s="2" t="n">
        <v>1</v>
      </c>
      <c r="C142" s="3" t="inlineStr">
        <is>
          <t>0646</t>
        </is>
      </c>
      <c r="D142" s="2" t="inlineStr">
        <is>
          <t>-27.986371, 153.427224</t>
        </is>
      </c>
      <c r="E142" s="2" t="inlineStr">
        <is>
          <t>Island north – by FREIGHT</t>
        </is>
      </c>
      <c r="F142" s="2" t="inlineStr">
        <is>
          <t>FWF</t>
        </is>
      </c>
      <c r="G142" s="2" t="inlineStr">
        <is>
          <t>9 of 10</t>
        </is>
      </c>
      <c r="H142" s="2" t="inlineStr">
        <is>
          <t>Event Portables (sub-hire)</t>
        </is>
      </c>
      <c r="I142" s="2" t="inlineStr">
        <is>
          <t>Toilets</t>
        </is>
      </c>
      <c r="J142" s="2" t="inlineStr">
        <is>
          <t>S14</t>
        </is>
      </c>
      <c r="K142" s="2" t="inlineStr">
        <is>
          <t>Master plan D001 (not a phone pin)</t>
        </is>
      </c>
      <c r="L142" s="4">
        <f>HYPERLINK("https://www.google.com/maps?q=-27.986371,153.427224","Open map")</f>
        <v/>
      </c>
      <c r="M142" s="2" t="inlineStr">
        <is>
          <t>on site</t>
        </is>
      </c>
      <c r="N142" s="2" t="n">
        <v>-27.986371</v>
      </c>
      <c r="O142" s="2" t="n">
        <v>153.427224</v>
      </c>
    </row>
    <row r="143">
      <c r="A143" s="5" t="inlineStr">
        <is>
          <t>WC43</t>
        </is>
      </c>
      <c r="B143" s="5" t="n">
        <v>1</v>
      </c>
      <c r="C143" s="6" t="inlineStr">
        <is>
          <t>0581</t>
        </is>
      </c>
      <c r="D143" s="5" t="inlineStr">
        <is>
          <t>-27.986371, 153.427224</t>
        </is>
      </c>
      <c r="E143" s="5" t="inlineStr">
        <is>
          <t>Island north – by FREIGHT</t>
        </is>
      </c>
      <c r="F143" s="5" t="inlineStr">
        <is>
          <t>FWF</t>
        </is>
      </c>
      <c r="G143" s="5" t="inlineStr">
        <is>
          <t>10 of 10</t>
        </is>
      </c>
      <c r="H143" s="5" t="inlineStr">
        <is>
          <t>Event Portables (sub-hire)</t>
        </is>
      </c>
      <c r="I143" s="5" t="inlineStr">
        <is>
          <t>Toilets</t>
        </is>
      </c>
      <c r="J143" s="5" t="inlineStr">
        <is>
          <t>S14</t>
        </is>
      </c>
      <c r="K143" s="5" t="inlineStr">
        <is>
          <t>Master plan D001 (not a phone pin)</t>
        </is>
      </c>
      <c r="L143" s="7">
        <f>HYPERLINK("https://www.google.com/maps?q=-27.986371,153.427224","Open map")</f>
        <v/>
      </c>
      <c r="M143" s="5" t="inlineStr">
        <is>
          <t>on site</t>
        </is>
      </c>
      <c r="N143" s="5" t="n">
        <v>-27.986371</v>
      </c>
      <c r="O143" s="5" t="n">
        <v>153.427224</v>
      </c>
    </row>
    <row r="144">
      <c r="A144" s="2" t="inlineStr">
        <is>
          <t>WC44</t>
        </is>
      </c>
      <c r="B144" s="2" t="n">
        <v>1</v>
      </c>
      <c r="C144" s="3" t="inlineStr">
        <is>
          <t>0146</t>
        </is>
      </c>
      <c r="D144" s="2" t="inlineStr">
        <is>
          <t>-27.988968, 153.428254</t>
        </is>
      </c>
      <c r="E144" s="2" t="inlineStr"/>
      <c r="F144" s="2" t="inlineStr">
        <is>
          <t>FWF</t>
        </is>
      </c>
      <c r="G144" s="2" t="inlineStr">
        <is>
          <t>1 of 2</t>
        </is>
      </c>
      <c r="H144" s="2" t="inlineStr">
        <is>
          <t>Event Portables (sub-hire)</t>
        </is>
      </c>
      <c r="I144" s="2" t="inlineStr">
        <is>
          <t>Toilets</t>
        </is>
      </c>
      <c r="J144" s="2" t="inlineStr">
        <is>
          <t>S05</t>
        </is>
      </c>
      <c r="K144" s="2" t="inlineStr">
        <is>
          <t>Master plan D001 (not a phone pin)</t>
        </is>
      </c>
      <c r="L144" s="4">
        <f>HYPERLINK("https://www.google.com/maps?q=-27.988968,153.428254","Open map")</f>
        <v/>
      </c>
      <c r="M144" s="2" t="inlineStr">
        <is>
          <t>on site</t>
        </is>
      </c>
      <c r="N144" s="2" t="n">
        <v>-27.988968</v>
      </c>
      <c r="O144" s="2" t="n">
        <v>153.428254</v>
      </c>
    </row>
    <row r="145">
      <c r="A145" s="5" t="inlineStr">
        <is>
          <t>WC44</t>
        </is>
      </c>
      <c r="B145" s="5" t="n">
        <v>1</v>
      </c>
      <c r="C145" s="6" t="inlineStr">
        <is>
          <t>0037</t>
        </is>
      </c>
      <c r="D145" s="5" t="inlineStr">
        <is>
          <t>-27.988968, 153.428254</t>
        </is>
      </c>
      <c r="E145" s="5" t="inlineStr"/>
      <c r="F145" s="5" t="inlineStr">
        <is>
          <t>FWF</t>
        </is>
      </c>
      <c r="G145" s="5" t="inlineStr">
        <is>
          <t>2 of 2</t>
        </is>
      </c>
      <c r="H145" s="5" t="inlineStr">
        <is>
          <t>Event Portables (sub-hire)</t>
        </is>
      </c>
      <c r="I145" s="5" t="inlineStr">
        <is>
          <t>Toilets</t>
        </is>
      </c>
      <c r="J145" s="5" t="inlineStr">
        <is>
          <t>S05</t>
        </is>
      </c>
      <c r="K145" s="5" t="inlineStr">
        <is>
          <t>Master plan D001 (not a phone pin)</t>
        </is>
      </c>
      <c r="L145" s="7">
        <f>HYPERLINK("https://www.google.com/maps?q=-27.988968,153.428254","Open map")</f>
        <v/>
      </c>
      <c r="M145" s="5" t="inlineStr">
        <is>
          <t>on site</t>
        </is>
      </c>
      <c r="N145" s="5" t="n">
        <v>-27.988968</v>
      </c>
      <c r="O145" s="5" t="n">
        <v>153.428254</v>
      </c>
    </row>
    <row r="146">
      <c r="A146" s="2" t="inlineStr">
        <is>
          <t>WC45</t>
        </is>
      </c>
      <c r="B146" s="2" t="n">
        <v>1</v>
      </c>
      <c r="C146" s="3" t="inlineStr">
        <is>
          <t>0542</t>
        </is>
      </c>
      <c r="D146" s="2" t="inlineStr">
        <is>
          <t>-27.990710, 153.428391</t>
        </is>
      </c>
      <c r="E146" s="2" t="inlineStr"/>
      <c r="F146" s="2" t="inlineStr">
        <is>
          <t>FWF</t>
        </is>
      </c>
      <c r="G146" s="2" t="inlineStr">
        <is>
          <t>1 of 8</t>
        </is>
      </c>
      <c r="H146" s="2" t="inlineStr">
        <is>
          <t>Event Portables (sub-hire)</t>
        </is>
      </c>
      <c r="I146" s="2" t="inlineStr">
        <is>
          <t>Toilets</t>
        </is>
      </c>
      <c r="J146" s="2" t="inlineStr">
        <is>
          <t>S15</t>
        </is>
      </c>
      <c r="K146" s="2" t="inlineStr">
        <is>
          <t>Master plan D001 (not a phone pin)</t>
        </is>
      </c>
      <c r="L146" s="4">
        <f>HYPERLINK("https://www.google.com/maps?q=-27.99071,153.428391","Open map")</f>
        <v/>
      </c>
      <c r="M146" s="2" t="inlineStr">
        <is>
          <t>on site</t>
        </is>
      </c>
      <c r="N146" s="2" t="n">
        <v>-27.99071</v>
      </c>
      <c r="O146" s="2" t="n">
        <v>153.428391</v>
      </c>
    </row>
    <row r="147">
      <c r="A147" s="5" t="inlineStr">
        <is>
          <t>WC45</t>
        </is>
      </c>
      <c r="B147" s="5" t="n">
        <v>1</v>
      </c>
      <c r="C147" s="6" t="inlineStr">
        <is>
          <t>0086</t>
        </is>
      </c>
      <c r="D147" s="5" t="inlineStr">
        <is>
          <t>-27.990710, 153.428391</t>
        </is>
      </c>
      <c r="E147" s="5" t="inlineStr"/>
      <c r="F147" s="5" t="inlineStr">
        <is>
          <t>FWF</t>
        </is>
      </c>
      <c r="G147" s="5" t="inlineStr">
        <is>
          <t>2 of 8</t>
        </is>
      </c>
      <c r="H147" s="5" t="inlineStr">
        <is>
          <t>Event Portables (sub-hire)</t>
        </is>
      </c>
      <c r="I147" s="5" t="inlineStr">
        <is>
          <t>Toilets</t>
        </is>
      </c>
      <c r="J147" s="5" t="inlineStr">
        <is>
          <t>S15</t>
        </is>
      </c>
      <c r="K147" s="5" t="inlineStr">
        <is>
          <t>Master plan D001 (not a phone pin)</t>
        </is>
      </c>
      <c r="L147" s="7">
        <f>HYPERLINK("https://www.google.com/maps?q=-27.99071,153.428391","Open map")</f>
        <v/>
      </c>
      <c r="M147" s="5" t="inlineStr">
        <is>
          <t>on site</t>
        </is>
      </c>
      <c r="N147" s="5" t="n">
        <v>-27.99071</v>
      </c>
      <c r="O147" s="5" t="n">
        <v>153.428391</v>
      </c>
    </row>
    <row r="148">
      <c r="A148" s="2" t="inlineStr">
        <is>
          <t>WC45</t>
        </is>
      </c>
      <c r="B148" s="2" t="n">
        <v>1</v>
      </c>
      <c r="C148" s="3" t="inlineStr">
        <is>
          <t>0947</t>
        </is>
      </c>
      <c r="D148" s="2" t="inlineStr">
        <is>
          <t>-27.990710, 153.428391</t>
        </is>
      </c>
      <c r="E148" s="2" t="inlineStr"/>
      <c r="F148" s="2" t="inlineStr">
        <is>
          <t>FWF</t>
        </is>
      </c>
      <c r="G148" s="2" t="inlineStr">
        <is>
          <t>3 of 8</t>
        </is>
      </c>
      <c r="H148" s="2" t="inlineStr">
        <is>
          <t>Event Portables (sub-hire)</t>
        </is>
      </c>
      <c r="I148" s="2" t="inlineStr">
        <is>
          <t>Toilets</t>
        </is>
      </c>
      <c r="J148" s="2" t="inlineStr">
        <is>
          <t>S15</t>
        </is>
      </c>
      <c r="K148" s="2" t="inlineStr">
        <is>
          <t>Master plan D001 (not a phone pin)</t>
        </is>
      </c>
      <c r="L148" s="4">
        <f>HYPERLINK("https://www.google.com/maps?q=-27.99071,153.428391","Open map")</f>
        <v/>
      </c>
      <c r="M148" s="2" t="inlineStr">
        <is>
          <t>on site</t>
        </is>
      </c>
      <c r="N148" s="2" t="n">
        <v>-27.99071</v>
      </c>
      <c r="O148" s="2" t="n">
        <v>153.428391</v>
      </c>
    </row>
    <row r="149">
      <c r="A149" s="5" t="inlineStr">
        <is>
          <t>WC45</t>
        </is>
      </c>
      <c r="B149" s="5" t="n">
        <v>1</v>
      </c>
      <c r="C149" s="6" t="inlineStr">
        <is>
          <t>0544</t>
        </is>
      </c>
      <c r="D149" s="5" t="inlineStr">
        <is>
          <t>-27.990710, 153.428391</t>
        </is>
      </c>
      <c r="E149" s="5" t="inlineStr"/>
      <c r="F149" s="5" t="inlineStr">
        <is>
          <t>FWF</t>
        </is>
      </c>
      <c r="G149" s="5" t="inlineStr">
        <is>
          <t>4 of 8</t>
        </is>
      </c>
      <c r="H149" s="5" t="inlineStr">
        <is>
          <t>Event Portables (sub-hire)</t>
        </is>
      </c>
      <c r="I149" s="5" t="inlineStr">
        <is>
          <t>Toilets</t>
        </is>
      </c>
      <c r="J149" s="5" t="inlineStr">
        <is>
          <t>S15</t>
        </is>
      </c>
      <c r="K149" s="5" t="inlineStr">
        <is>
          <t>Master plan D001 (not a phone pin)</t>
        </is>
      </c>
      <c r="L149" s="7">
        <f>HYPERLINK("https://www.google.com/maps?q=-27.99071,153.428391","Open map")</f>
        <v/>
      </c>
      <c r="M149" s="5" t="inlineStr">
        <is>
          <t>on site</t>
        </is>
      </c>
      <c r="N149" s="5" t="n">
        <v>-27.99071</v>
      </c>
      <c r="O149" s="5" t="n">
        <v>153.428391</v>
      </c>
    </row>
    <row r="150">
      <c r="A150" s="2" t="inlineStr">
        <is>
          <t>WC45</t>
        </is>
      </c>
      <c r="B150" s="2" t="n">
        <v>1</v>
      </c>
      <c r="C150" s="3" t="inlineStr">
        <is>
          <t>0632</t>
        </is>
      </c>
      <c r="D150" s="2" t="inlineStr">
        <is>
          <t>-27.990710, 153.428391</t>
        </is>
      </c>
      <c r="E150" s="2" t="inlineStr"/>
      <c r="F150" s="2" t="inlineStr">
        <is>
          <t>FWF</t>
        </is>
      </c>
      <c r="G150" s="2" t="inlineStr">
        <is>
          <t>5 of 8</t>
        </is>
      </c>
      <c r="H150" s="2" t="inlineStr">
        <is>
          <t>Event Portables (sub-hire)</t>
        </is>
      </c>
      <c r="I150" s="2" t="inlineStr">
        <is>
          <t>Toilets</t>
        </is>
      </c>
      <c r="J150" s="2" t="inlineStr">
        <is>
          <t>S15</t>
        </is>
      </c>
      <c r="K150" s="2" t="inlineStr">
        <is>
          <t>Master plan D001 (not a phone pin)</t>
        </is>
      </c>
      <c r="L150" s="4">
        <f>HYPERLINK("https://www.google.com/maps?q=-27.99071,153.428391","Open map")</f>
        <v/>
      </c>
      <c r="M150" s="2" t="inlineStr">
        <is>
          <t>on site</t>
        </is>
      </c>
      <c r="N150" s="2" t="n">
        <v>-27.99071</v>
      </c>
      <c r="O150" s="2" t="n">
        <v>153.428391</v>
      </c>
    </row>
    <row r="151">
      <c r="A151" s="5" t="inlineStr">
        <is>
          <t>WC45</t>
        </is>
      </c>
      <c r="B151" s="5" t="n">
        <v>1</v>
      </c>
      <c r="C151" s="6" t="inlineStr">
        <is>
          <t>0562</t>
        </is>
      </c>
      <c r="D151" s="5" t="inlineStr">
        <is>
          <t>-27.990710, 153.428391</t>
        </is>
      </c>
      <c r="E151" s="5" t="inlineStr"/>
      <c r="F151" s="5" t="inlineStr">
        <is>
          <t>FWF</t>
        </is>
      </c>
      <c r="G151" s="5" t="inlineStr">
        <is>
          <t>6 of 8</t>
        </is>
      </c>
      <c r="H151" s="5" t="inlineStr">
        <is>
          <t>Event Portables (sub-hire)</t>
        </is>
      </c>
      <c r="I151" s="5" t="inlineStr">
        <is>
          <t>Toilets</t>
        </is>
      </c>
      <c r="J151" s="5" t="inlineStr">
        <is>
          <t>S15</t>
        </is>
      </c>
      <c r="K151" s="5" t="inlineStr">
        <is>
          <t>Master plan D001 (not a phone pin)</t>
        </is>
      </c>
      <c r="L151" s="7">
        <f>HYPERLINK("https://www.google.com/maps?q=-27.99071,153.428391","Open map")</f>
        <v/>
      </c>
      <c r="M151" s="5" t="inlineStr">
        <is>
          <t>on site</t>
        </is>
      </c>
      <c r="N151" s="5" t="n">
        <v>-27.99071</v>
      </c>
      <c r="O151" s="5" t="n">
        <v>153.428391</v>
      </c>
    </row>
    <row r="152">
      <c r="A152" s="2" t="inlineStr">
        <is>
          <t>WC45</t>
        </is>
      </c>
      <c r="B152" s="2" t="n">
        <v>1</v>
      </c>
      <c r="C152" s="3" t="inlineStr">
        <is>
          <t>0549</t>
        </is>
      </c>
      <c r="D152" s="2" t="inlineStr">
        <is>
          <t>-27.990710, 153.428391</t>
        </is>
      </c>
      <c r="E152" s="2" t="inlineStr"/>
      <c r="F152" s="2" t="inlineStr">
        <is>
          <t>FWF</t>
        </is>
      </c>
      <c r="G152" s="2" t="inlineStr">
        <is>
          <t>7 of 8</t>
        </is>
      </c>
      <c r="H152" s="2" t="inlineStr">
        <is>
          <t>Event Portables (sub-hire)</t>
        </is>
      </c>
      <c r="I152" s="2" t="inlineStr">
        <is>
          <t>Toilets</t>
        </is>
      </c>
      <c r="J152" s="2" t="inlineStr">
        <is>
          <t>S15</t>
        </is>
      </c>
      <c r="K152" s="2" t="inlineStr">
        <is>
          <t>Master plan D001 (not a phone pin)</t>
        </is>
      </c>
      <c r="L152" s="4">
        <f>HYPERLINK("https://www.google.com/maps?q=-27.99071,153.428391","Open map")</f>
        <v/>
      </c>
      <c r="M152" s="2" t="inlineStr">
        <is>
          <t>on site</t>
        </is>
      </c>
      <c r="N152" s="2" t="n">
        <v>-27.99071</v>
      </c>
      <c r="O152" s="2" t="n">
        <v>153.428391</v>
      </c>
    </row>
    <row r="153">
      <c r="A153" s="5" t="inlineStr">
        <is>
          <t>WC45</t>
        </is>
      </c>
      <c r="B153" s="5" t="n">
        <v>1</v>
      </c>
      <c r="C153" s="6" t="inlineStr">
        <is>
          <t>0673</t>
        </is>
      </c>
      <c r="D153" s="5" t="inlineStr">
        <is>
          <t>-27.990710, 153.428391</t>
        </is>
      </c>
      <c r="E153" s="5" t="inlineStr"/>
      <c r="F153" s="5" t="inlineStr">
        <is>
          <t>FWF</t>
        </is>
      </c>
      <c r="G153" s="5" t="inlineStr">
        <is>
          <t>8 of 8</t>
        </is>
      </c>
      <c r="H153" s="5" t="inlineStr">
        <is>
          <t>Event Portables (sub-hire)</t>
        </is>
      </c>
      <c r="I153" s="5" t="inlineStr">
        <is>
          <t>Toilets</t>
        </is>
      </c>
      <c r="J153" s="5" t="inlineStr">
        <is>
          <t>S15</t>
        </is>
      </c>
      <c r="K153" s="5" t="inlineStr">
        <is>
          <t>Master plan D001 (not a phone pin)</t>
        </is>
      </c>
      <c r="L153" s="7">
        <f>HYPERLINK("https://www.google.com/maps?q=-27.99071,153.428391","Open map")</f>
        <v/>
      </c>
      <c r="M153" s="5" t="inlineStr">
        <is>
          <t>on site</t>
        </is>
      </c>
      <c r="N153" s="5" t="n">
        <v>-27.99071</v>
      </c>
      <c r="O153" s="5" t="n">
        <v>153.428391</v>
      </c>
    </row>
    <row r="154">
      <c r="A154" s="2" t="inlineStr">
        <is>
          <t>WC46</t>
        </is>
      </c>
      <c r="B154" s="2" t="n">
        <v>1</v>
      </c>
      <c r="C154" s="3" t="inlineStr">
        <is>
          <t>0525</t>
        </is>
      </c>
      <c r="D154" s="2" t="inlineStr">
        <is>
          <t>-27.992223, 153.429380</t>
        </is>
      </c>
      <c r="E154" s="2" t="inlineStr"/>
      <c r="F154" s="2" t="inlineStr">
        <is>
          <t>FWF</t>
        </is>
      </c>
      <c r="G154" s="2" t="inlineStr">
        <is>
          <t>1 of 1</t>
        </is>
      </c>
      <c r="H154" s="2" t="inlineStr">
        <is>
          <t>Event Portables (sub-hire)</t>
        </is>
      </c>
      <c r="I154" s="2" t="inlineStr">
        <is>
          <t>Toilets</t>
        </is>
      </c>
      <c r="J154" s="2" t="inlineStr"/>
      <c r="K154" s="2" t="inlineStr">
        <is>
          <t>Master plan D001 (not a phone pin)</t>
        </is>
      </c>
      <c r="L154" s="4">
        <f>HYPERLINK("https://www.google.com/maps?q=-27.992223,153.42938","Open map")</f>
        <v/>
      </c>
      <c r="M154" s="2" t="inlineStr">
        <is>
          <t>on site</t>
        </is>
      </c>
      <c r="N154" s="2" t="n">
        <v>-27.992223</v>
      </c>
      <c r="O154" s="2" t="n">
        <v>153.42938</v>
      </c>
    </row>
    <row r="155">
      <c r="A155" s="5" t="inlineStr">
        <is>
          <t>WC47</t>
        </is>
      </c>
      <c r="B155" s="5" t="n">
        <v>1</v>
      </c>
      <c r="C155" s="6" t="inlineStr">
        <is>
          <t>0949</t>
        </is>
      </c>
      <c r="D155" s="5" t="inlineStr">
        <is>
          <t>-27.990183, 153.428381</t>
        </is>
      </c>
      <c r="E155" s="5" t="inlineStr"/>
      <c r="F155" s="5" t="inlineStr">
        <is>
          <t>FWF</t>
        </is>
      </c>
      <c r="G155" s="5" t="inlineStr">
        <is>
          <t>1 of 1</t>
        </is>
      </c>
      <c r="H155" s="5" t="inlineStr">
        <is>
          <t>Event Portables (sub-hire)</t>
        </is>
      </c>
      <c r="I155" s="5" t="inlineStr">
        <is>
          <t>Toilets</t>
        </is>
      </c>
      <c r="J155" s="5" t="inlineStr">
        <is>
          <t>S15</t>
        </is>
      </c>
      <c r="K155" s="5" t="inlineStr">
        <is>
          <t>Master plan D001 (not a phone pin)</t>
        </is>
      </c>
      <c r="L155" s="7">
        <f>HYPERLINK("https://www.google.com/maps?q=-27.990183,153.428381","Open map")</f>
        <v/>
      </c>
      <c r="M155" s="5" t="inlineStr">
        <is>
          <t>on site</t>
        </is>
      </c>
      <c r="N155" s="5" t="n">
        <v>-27.990183</v>
      </c>
      <c r="O155" s="5" t="n">
        <v>153.428381</v>
      </c>
    </row>
    <row r="156">
      <c r="A156" s="2" t="inlineStr">
        <is>
          <t>WC48</t>
        </is>
      </c>
      <c r="B156" s="2" t="n">
        <v>1</v>
      </c>
      <c r="C156" s="3" t="inlineStr">
        <is>
          <t>0050</t>
        </is>
      </c>
      <c r="D156" s="2" t="inlineStr">
        <is>
          <t>-27.993750, 153.430458</t>
        </is>
      </c>
      <c r="E156" s="2" t="inlineStr"/>
      <c r="F156" s="2" t="inlineStr">
        <is>
          <t>FWF</t>
        </is>
      </c>
      <c r="G156" s="2" t="inlineStr">
        <is>
          <t>1 of 4</t>
        </is>
      </c>
      <c r="H156" s="2" t="inlineStr">
        <is>
          <t>Event Portables (sub-hire)</t>
        </is>
      </c>
      <c r="I156" s="2" t="inlineStr">
        <is>
          <t>Toilets</t>
        </is>
      </c>
      <c r="J156" s="2" t="inlineStr"/>
      <c r="K156" s="2" t="inlineStr">
        <is>
          <t>Master plan D001 (not a phone pin)</t>
        </is>
      </c>
      <c r="L156" s="4">
        <f>HYPERLINK("https://www.google.com/maps?q=-27.99375,153.430458","Open map")</f>
        <v/>
      </c>
      <c r="M156" s="2" t="inlineStr">
        <is>
          <t>on site</t>
        </is>
      </c>
      <c r="N156" s="2" t="n">
        <v>-27.99375</v>
      </c>
      <c r="O156" s="2" t="n">
        <v>153.430458</v>
      </c>
    </row>
    <row r="157">
      <c r="A157" s="5" t="inlineStr">
        <is>
          <t>WC48</t>
        </is>
      </c>
      <c r="B157" s="5" t="n">
        <v>1</v>
      </c>
      <c r="C157" s="6" t="inlineStr">
        <is>
          <t>0471</t>
        </is>
      </c>
      <c r="D157" s="5" t="inlineStr">
        <is>
          <t>-27.993750, 153.430458</t>
        </is>
      </c>
      <c r="E157" s="5" t="inlineStr"/>
      <c r="F157" s="5" t="inlineStr">
        <is>
          <t>FWF</t>
        </is>
      </c>
      <c r="G157" s="5" t="inlineStr">
        <is>
          <t>2 of 4</t>
        </is>
      </c>
      <c r="H157" s="5" t="inlineStr">
        <is>
          <t>Event Portables (sub-hire)</t>
        </is>
      </c>
      <c r="I157" s="5" t="inlineStr">
        <is>
          <t>Toilets</t>
        </is>
      </c>
      <c r="J157" s="5" t="inlineStr"/>
      <c r="K157" s="5" t="inlineStr">
        <is>
          <t>Master plan D001 (not a phone pin)</t>
        </is>
      </c>
      <c r="L157" s="7">
        <f>HYPERLINK("https://www.google.com/maps?q=-27.99375,153.430458","Open map")</f>
        <v/>
      </c>
      <c r="M157" s="5" t="inlineStr">
        <is>
          <t>on site</t>
        </is>
      </c>
      <c r="N157" s="5" t="n">
        <v>-27.99375</v>
      </c>
      <c r="O157" s="5" t="n">
        <v>153.430458</v>
      </c>
    </row>
    <row r="158">
      <c r="A158" s="2" t="inlineStr">
        <is>
          <t>WC48</t>
        </is>
      </c>
      <c r="B158" s="2" t="n">
        <v>1</v>
      </c>
      <c r="C158" s="3" t="inlineStr">
        <is>
          <t>0289</t>
        </is>
      </c>
      <c r="D158" s="2" t="inlineStr">
        <is>
          <t>-27.993750, 153.430458</t>
        </is>
      </c>
      <c r="E158" s="2" t="inlineStr"/>
      <c r="F158" s="2" t="inlineStr">
        <is>
          <t>FWF</t>
        </is>
      </c>
      <c r="G158" s="2" t="inlineStr">
        <is>
          <t>3 of 4</t>
        </is>
      </c>
      <c r="H158" s="2" t="inlineStr">
        <is>
          <t>Event Portables (sub-hire)</t>
        </is>
      </c>
      <c r="I158" s="2" t="inlineStr">
        <is>
          <t>Toilets</t>
        </is>
      </c>
      <c r="J158" s="2" t="inlineStr"/>
      <c r="K158" s="2" t="inlineStr">
        <is>
          <t>Master plan D001 (not a phone pin)</t>
        </is>
      </c>
      <c r="L158" s="4">
        <f>HYPERLINK("https://www.google.com/maps?q=-27.99375,153.430458","Open map")</f>
        <v/>
      </c>
      <c r="M158" s="2" t="inlineStr">
        <is>
          <t>on site</t>
        </is>
      </c>
      <c r="N158" s="2" t="n">
        <v>-27.99375</v>
      </c>
      <c r="O158" s="2" t="n">
        <v>153.430458</v>
      </c>
    </row>
    <row r="159">
      <c r="A159" s="5" t="inlineStr">
        <is>
          <t>WC48</t>
        </is>
      </c>
      <c r="B159" s="5" t="n">
        <v>1</v>
      </c>
      <c r="C159" s="6" t="inlineStr">
        <is>
          <t>0486</t>
        </is>
      </c>
      <c r="D159" s="5" t="inlineStr">
        <is>
          <t>-27.993750, 153.430458</t>
        </is>
      </c>
      <c r="E159" s="5" t="inlineStr"/>
      <c r="F159" s="5" t="inlineStr">
        <is>
          <t>FWF</t>
        </is>
      </c>
      <c r="G159" s="5" t="inlineStr">
        <is>
          <t>4 of 4</t>
        </is>
      </c>
      <c r="H159" s="5" t="inlineStr">
        <is>
          <t>Event Portables (sub-hire)</t>
        </is>
      </c>
      <c r="I159" s="5" t="inlineStr">
        <is>
          <t>Toilets</t>
        </is>
      </c>
      <c r="J159" s="5" t="inlineStr"/>
      <c r="K159" s="5" t="inlineStr">
        <is>
          <t>Master plan D001 (not a phone pin)</t>
        </is>
      </c>
      <c r="L159" s="7">
        <f>HYPERLINK("https://www.google.com/maps?q=-27.99375,153.430458","Open map")</f>
        <v/>
      </c>
      <c r="M159" s="5" t="inlineStr">
        <is>
          <t>on site</t>
        </is>
      </c>
      <c r="N159" s="5" t="n">
        <v>-27.99375</v>
      </c>
      <c r="O159" s="5" t="n">
        <v>153.430458</v>
      </c>
    </row>
    <row r="160">
      <c r="A160" s="2" t="inlineStr">
        <is>
          <t>WC49</t>
        </is>
      </c>
      <c r="B160" s="2" t="n">
        <v>1</v>
      </c>
      <c r="C160" s="3" t="inlineStr">
        <is>
          <t>0919</t>
        </is>
      </c>
      <c r="D160" s="2" t="inlineStr">
        <is>
          <t>-27.993812, 153.430597</t>
        </is>
      </c>
      <c r="E160" s="2" t="inlineStr"/>
      <c r="F160" s="2" t="inlineStr">
        <is>
          <t>FWF</t>
        </is>
      </c>
      <c r="G160" s="2" t="inlineStr">
        <is>
          <t>1 of 3</t>
        </is>
      </c>
      <c r="H160" s="2" t="inlineStr">
        <is>
          <t>Event Portables (sub-hire)</t>
        </is>
      </c>
      <c r="I160" s="2" t="inlineStr">
        <is>
          <t>Toilets</t>
        </is>
      </c>
      <c r="J160" s="2" t="inlineStr"/>
      <c r="K160" s="2" t="inlineStr">
        <is>
          <t>Master plan D001 (not a phone pin)</t>
        </is>
      </c>
      <c r="L160" s="4">
        <f>HYPERLINK("https://www.google.com/maps?q=-27.993812,153.430597","Open map")</f>
        <v/>
      </c>
      <c r="M160" s="2" t="inlineStr">
        <is>
          <t>on site</t>
        </is>
      </c>
      <c r="N160" s="2" t="n">
        <v>-27.993812</v>
      </c>
      <c r="O160" s="2" t="n">
        <v>153.430597</v>
      </c>
    </row>
    <row r="161">
      <c r="A161" s="5" t="inlineStr">
        <is>
          <t>WC49</t>
        </is>
      </c>
      <c r="B161" s="5" t="n">
        <v>1</v>
      </c>
      <c r="C161" s="6" t="inlineStr">
        <is>
          <t>0907</t>
        </is>
      </c>
      <c r="D161" s="5" t="inlineStr">
        <is>
          <t>-27.993812, 153.430597</t>
        </is>
      </c>
      <c r="E161" s="5" t="inlineStr"/>
      <c r="F161" s="5" t="inlineStr">
        <is>
          <t>FWF</t>
        </is>
      </c>
      <c r="G161" s="5" t="inlineStr">
        <is>
          <t>2 of 3</t>
        </is>
      </c>
      <c r="H161" s="5" t="inlineStr">
        <is>
          <t>Event Portables (sub-hire)</t>
        </is>
      </c>
      <c r="I161" s="5" t="inlineStr">
        <is>
          <t>Toilets</t>
        </is>
      </c>
      <c r="J161" s="5" t="inlineStr"/>
      <c r="K161" s="5" t="inlineStr">
        <is>
          <t>Master plan D001 (not a phone pin)</t>
        </is>
      </c>
      <c r="L161" s="7">
        <f>HYPERLINK("https://www.google.com/maps?q=-27.993812,153.430597","Open map")</f>
        <v/>
      </c>
      <c r="M161" s="5" t="inlineStr">
        <is>
          <t>on site</t>
        </is>
      </c>
      <c r="N161" s="5" t="n">
        <v>-27.993812</v>
      </c>
      <c r="O161" s="5" t="n">
        <v>153.430597</v>
      </c>
    </row>
    <row r="162">
      <c r="A162" s="2" t="inlineStr">
        <is>
          <t>WC49</t>
        </is>
      </c>
      <c r="B162" s="2" t="n">
        <v>1</v>
      </c>
      <c r="C162" s="3" t="inlineStr">
        <is>
          <t>0084</t>
        </is>
      </c>
      <c r="D162" s="2" t="inlineStr">
        <is>
          <t>-27.993812, 153.430597</t>
        </is>
      </c>
      <c r="E162" s="2" t="inlineStr"/>
      <c r="F162" s="2" t="inlineStr">
        <is>
          <t>FWF</t>
        </is>
      </c>
      <c r="G162" s="2" t="inlineStr">
        <is>
          <t>3 of 3</t>
        </is>
      </c>
      <c r="H162" s="2" t="inlineStr">
        <is>
          <t>Event Portables (sub-hire)</t>
        </is>
      </c>
      <c r="I162" s="2" t="inlineStr">
        <is>
          <t>Toilets</t>
        </is>
      </c>
      <c r="J162" s="2" t="inlineStr"/>
      <c r="K162" s="2" t="inlineStr">
        <is>
          <t>Master plan D001 (not a phone pin)</t>
        </is>
      </c>
      <c r="L162" s="4">
        <f>HYPERLINK("https://www.google.com/maps?q=-27.993812,153.430597","Open map")</f>
        <v/>
      </c>
      <c r="M162" s="2" t="inlineStr">
        <is>
          <t>on site</t>
        </is>
      </c>
      <c r="N162" s="2" t="n">
        <v>-27.993812</v>
      </c>
      <c r="O162" s="2" t="n">
        <v>153.430597</v>
      </c>
    </row>
    <row r="163">
      <c r="A163" s="5" t="inlineStr">
        <is>
          <t>WC50</t>
        </is>
      </c>
      <c r="B163" s="5" t="n">
        <v>1</v>
      </c>
      <c r="C163" s="6" t="inlineStr">
        <is>
          <t>1211974</t>
        </is>
      </c>
      <c r="D163" s="5" t="inlineStr">
        <is>
          <t>-27.989786, 153.429821</t>
        </is>
      </c>
      <c r="E163" s="5" t="inlineStr"/>
      <c r="F163" s="5" t="inlineStr">
        <is>
          <t>FWF</t>
        </is>
      </c>
      <c r="G163" s="5" t="inlineStr">
        <is>
          <t>1 of 1</t>
        </is>
      </c>
      <c r="H163" s="5" t="inlineStr">
        <is>
          <t>Coates</t>
        </is>
      </c>
      <c r="I163" s="5" t="inlineStr">
        <is>
          <t>Toilet</t>
        </is>
      </c>
      <c r="J163" s="5" t="inlineStr">
        <is>
          <t>S18</t>
        </is>
      </c>
      <c r="K163" s="5" t="inlineStr">
        <is>
          <t>Master plan D001 (not a phone pin)</t>
        </is>
      </c>
      <c r="L163" s="7">
        <f>HYPERLINK("https://www.google.com/maps?q=-27.989786,153.429821","Open map")</f>
        <v/>
      </c>
      <c r="M163" s="5" t="inlineStr">
        <is>
          <t>on site</t>
        </is>
      </c>
      <c r="N163" s="5" t="n">
        <v>-27.989786</v>
      </c>
      <c r="O163" s="5" t="n">
        <v>153.429821</v>
      </c>
    </row>
    <row r="164">
      <c r="A164" s="2" t="inlineStr">
        <is>
          <t>WC51</t>
        </is>
      </c>
      <c r="B164" s="2" t="n">
        <v>1</v>
      </c>
      <c r="C164" s="3" t="inlineStr">
        <is>
          <t>1197174</t>
        </is>
      </c>
      <c r="D164" s="2" t="inlineStr">
        <is>
          <t>-27.992857, 153.430460</t>
        </is>
      </c>
      <c r="E164" s="2" t="inlineStr"/>
      <c r="F164" s="2" t="inlineStr">
        <is>
          <t>Accessible toilet</t>
        </is>
      </c>
      <c r="G164" s="2" t="inlineStr">
        <is>
          <t>1 of 7</t>
        </is>
      </c>
      <c r="H164" s="2" t="inlineStr">
        <is>
          <t>Coates</t>
        </is>
      </c>
      <c r="I164" s="2" t="inlineStr">
        <is>
          <t>Toilets</t>
        </is>
      </c>
      <c r="J164" s="2" t="inlineStr"/>
      <c r="K164" s="2" t="inlineStr">
        <is>
          <t>Master plan D001 (not a phone pin)</t>
        </is>
      </c>
      <c r="L164" s="4">
        <f>HYPERLINK("https://www.google.com/maps?q=-27.992857,153.43046","Open map")</f>
        <v/>
      </c>
      <c r="M164" s="2" t="inlineStr">
        <is>
          <t>on site</t>
        </is>
      </c>
      <c r="N164" s="2" t="n">
        <v>-27.992857</v>
      </c>
      <c r="O164" s="2" t="n">
        <v>153.43046</v>
      </c>
    </row>
    <row r="165">
      <c r="A165" s="5" t="inlineStr">
        <is>
          <t>WC51</t>
        </is>
      </c>
      <c r="B165" s="5" t="n">
        <v>1</v>
      </c>
      <c r="C165" s="6" t="inlineStr">
        <is>
          <t>0991</t>
        </is>
      </c>
      <c r="D165" s="5" t="inlineStr">
        <is>
          <t>-27.992857, 153.430460</t>
        </is>
      </c>
      <c r="E165" s="5" t="inlineStr"/>
      <c r="F165" s="5" t="inlineStr">
        <is>
          <t>FWF</t>
        </is>
      </c>
      <c r="G165" s="5" t="inlineStr">
        <is>
          <t>2 of 7</t>
        </is>
      </c>
      <c r="H165" s="5" t="inlineStr">
        <is>
          <t>Event Portables (sub-hire)</t>
        </is>
      </c>
      <c r="I165" s="5" t="inlineStr">
        <is>
          <t>Toilets</t>
        </is>
      </c>
      <c r="J165" s="5" t="inlineStr"/>
      <c r="K165" s="5" t="inlineStr">
        <is>
          <t>Master plan D001 (not a phone pin)</t>
        </is>
      </c>
      <c r="L165" s="7">
        <f>HYPERLINK("https://www.google.com/maps?q=-27.992857,153.43046","Open map")</f>
        <v/>
      </c>
      <c r="M165" s="5" t="inlineStr">
        <is>
          <t>on site</t>
        </is>
      </c>
      <c r="N165" s="5" t="n">
        <v>-27.992857</v>
      </c>
      <c r="O165" s="5" t="n">
        <v>153.43046</v>
      </c>
    </row>
    <row r="166">
      <c r="A166" s="2" t="inlineStr">
        <is>
          <t>WC51</t>
        </is>
      </c>
      <c r="B166" s="2" t="n">
        <v>1</v>
      </c>
      <c r="C166" s="3" t="inlineStr">
        <is>
          <t>0167</t>
        </is>
      </c>
      <c r="D166" s="2" t="inlineStr">
        <is>
          <t>-27.992857, 153.430460</t>
        </is>
      </c>
      <c r="E166" s="2" t="inlineStr"/>
      <c r="F166" s="2" t="inlineStr">
        <is>
          <t>FWF</t>
        </is>
      </c>
      <c r="G166" s="2" t="inlineStr">
        <is>
          <t>3 of 7</t>
        </is>
      </c>
      <c r="H166" s="2" t="inlineStr">
        <is>
          <t>Event Portables (sub-hire)</t>
        </is>
      </c>
      <c r="I166" s="2" t="inlineStr">
        <is>
          <t>Toilets</t>
        </is>
      </c>
      <c r="J166" s="2" t="inlineStr"/>
      <c r="K166" s="2" t="inlineStr">
        <is>
          <t>Master plan D001 (not a phone pin)</t>
        </is>
      </c>
      <c r="L166" s="4">
        <f>HYPERLINK("https://www.google.com/maps?q=-27.992857,153.43046","Open map")</f>
        <v/>
      </c>
      <c r="M166" s="2" t="inlineStr">
        <is>
          <t>on site</t>
        </is>
      </c>
      <c r="N166" s="2" t="n">
        <v>-27.992857</v>
      </c>
      <c r="O166" s="2" t="n">
        <v>153.43046</v>
      </c>
    </row>
    <row r="167">
      <c r="A167" s="5" t="inlineStr">
        <is>
          <t>WC51</t>
        </is>
      </c>
      <c r="B167" s="5" t="n">
        <v>1</v>
      </c>
      <c r="C167" s="6" t="inlineStr">
        <is>
          <t>0653</t>
        </is>
      </c>
      <c r="D167" s="5" t="inlineStr">
        <is>
          <t>-27.992857, 153.430460</t>
        </is>
      </c>
      <c r="E167" s="5" t="inlineStr"/>
      <c r="F167" s="5" t="inlineStr">
        <is>
          <t>FWF</t>
        </is>
      </c>
      <c r="G167" s="5" t="inlineStr">
        <is>
          <t>4 of 7</t>
        </is>
      </c>
      <c r="H167" s="5" t="inlineStr">
        <is>
          <t>Event Portables (sub-hire)</t>
        </is>
      </c>
      <c r="I167" s="5" t="inlineStr">
        <is>
          <t>Toilets</t>
        </is>
      </c>
      <c r="J167" s="5" t="inlineStr"/>
      <c r="K167" s="5" t="inlineStr">
        <is>
          <t>Master plan D001 (not a phone pin)</t>
        </is>
      </c>
      <c r="L167" s="7">
        <f>HYPERLINK("https://www.google.com/maps?q=-27.992857,153.43046","Open map")</f>
        <v/>
      </c>
      <c r="M167" s="5" t="inlineStr">
        <is>
          <t>on site</t>
        </is>
      </c>
      <c r="N167" s="5" t="n">
        <v>-27.992857</v>
      </c>
      <c r="O167" s="5" t="n">
        <v>153.43046</v>
      </c>
    </row>
    <row r="168">
      <c r="A168" s="2" t="inlineStr">
        <is>
          <t>WC51</t>
        </is>
      </c>
      <c r="B168" s="2" t="n">
        <v>1</v>
      </c>
      <c r="C168" s="3" t="inlineStr">
        <is>
          <t>0136</t>
        </is>
      </c>
      <c r="D168" s="2" t="inlineStr">
        <is>
          <t>-27.992857, 153.430460</t>
        </is>
      </c>
      <c r="E168" s="2" t="inlineStr"/>
      <c r="F168" s="2" t="inlineStr">
        <is>
          <t>FWF</t>
        </is>
      </c>
      <c r="G168" s="2" t="inlineStr">
        <is>
          <t>5 of 7</t>
        </is>
      </c>
      <c r="H168" s="2" t="inlineStr">
        <is>
          <t>Event Portables (sub-hire)</t>
        </is>
      </c>
      <c r="I168" s="2" t="inlineStr">
        <is>
          <t>Toilets</t>
        </is>
      </c>
      <c r="J168" s="2" t="inlineStr"/>
      <c r="K168" s="2" t="inlineStr">
        <is>
          <t>Master plan D001 (not a phone pin)</t>
        </is>
      </c>
      <c r="L168" s="4">
        <f>HYPERLINK("https://www.google.com/maps?q=-27.992857,153.43046","Open map")</f>
        <v/>
      </c>
      <c r="M168" s="2" t="inlineStr">
        <is>
          <t>on site</t>
        </is>
      </c>
      <c r="N168" s="2" t="n">
        <v>-27.992857</v>
      </c>
      <c r="O168" s="2" t="n">
        <v>153.43046</v>
      </c>
    </row>
    <row r="169">
      <c r="A169" s="5" t="inlineStr">
        <is>
          <t>WC51</t>
        </is>
      </c>
      <c r="B169" s="5" t="n">
        <v>1</v>
      </c>
      <c r="C169" s="6" t="inlineStr">
        <is>
          <t>0453</t>
        </is>
      </c>
      <c r="D169" s="5" t="inlineStr">
        <is>
          <t>-27.992857, 153.430460</t>
        </is>
      </c>
      <c r="E169" s="5" t="inlineStr"/>
      <c r="F169" s="5" t="inlineStr">
        <is>
          <t>FWF</t>
        </is>
      </c>
      <c r="G169" s="5" t="inlineStr">
        <is>
          <t>6 of 7</t>
        </is>
      </c>
      <c r="H169" s="5" t="inlineStr">
        <is>
          <t>Event Portables (sub-hire)</t>
        </is>
      </c>
      <c r="I169" s="5" t="inlineStr">
        <is>
          <t>Toilets</t>
        </is>
      </c>
      <c r="J169" s="5" t="inlineStr"/>
      <c r="K169" s="5" t="inlineStr">
        <is>
          <t>Master plan D001 (not a phone pin)</t>
        </is>
      </c>
      <c r="L169" s="7">
        <f>HYPERLINK("https://www.google.com/maps?q=-27.992857,153.43046","Open map")</f>
        <v/>
      </c>
      <c r="M169" s="5" t="inlineStr">
        <is>
          <t>on site</t>
        </is>
      </c>
      <c r="N169" s="5" t="n">
        <v>-27.992857</v>
      </c>
      <c r="O169" s="5" t="n">
        <v>153.43046</v>
      </c>
    </row>
    <row r="170">
      <c r="A170" s="2" t="inlineStr">
        <is>
          <t>WC51</t>
        </is>
      </c>
      <c r="B170" s="2" t="n">
        <v>1</v>
      </c>
      <c r="C170" s="3" t="inlineStr">
        <is>
          <t>0028</t>
        </is>
      </c>
      <c r="D170" s="2" t="inlineStr">
        <is>
          <t>-27.992857, 153.430460</t>
        </is>
      </c>
      <c r="E170" s="2" t="inlineStr"/>
      <c r="F170" s="2" t="inlineStr">
        <is>
          <t>FWF</t>
        </is>
      </c>
      <c r="G170" s="2" t="inlineStr">
        <is>
          <t>7 of 7</t>
        </is>
      </c>
      <c r="H170" s="2" t="inlineStr">
        <is>
          <t>Event Portables (sub-hire)</t>
        </is>
      </c>
      <c r="I170" s="2" t="inlineStr">
        <is>
          <t>Toilets</t>
        </is>
      </c>
      <c r="J170" s="2" t="inlineStr"/>
      <c r="K170" s="2" t="inlineStr">
        <is>
          <t>Master plan D001 (not a phone pin)</t>
        </is>
      </c>
      <c r="L170" s="4">
        <f>HYPERLINK("https://www.google.com/maps?q=-27.992857,153.43046","Open map")</f>
        <v/>
      </c>
      <c r="M170" s="2" t="inlineStr">
        <is>
          <t>on site</t>
        </is>
      </c>
      <c r="N170" s="2" t="n">
        <v>-27.992857</v>
      </c>
      <c r="O170" s="2" t="n">
        <v>153.43046</v>
      </c>
    </row>
    <row r="171">
      <c r="A171" s="5" t="inlineStr">
        <is>
          <t>WC53</t>
        </is>
      </c>
      <c r="B171" s="5" t="n">
        <v>1</v>
      </c>
      <c r="C171" s="6" t="inlineStr">
        <is>
          <t>0952</t>
        </is>
      </c>
      <c r="D171" s="5" t="inlineStr">
        <is>
          <t>-27.992664, 153.430290</t>
        </is>
      </c>
      <c r="E171" s="5" t="inlineStr"/>
      <c r="F171" s="5" t="inlineStr">
        <is>
          <t>FWF</t>
        </is>
      </c>
      <c r="G171" s="5" t="inlineStr">
        <is>
          <t>1 of 3</t>
        </is>
      </c>
      <c r="H171" s="5" t="inlineStr">
        <is>
          <t>Event Portables (sub-hire)</t>
        </is>
      </c>
      <c r="I171" s="5" t="inlineStr">
        <is>
          <t>Toilets</t>
        </is>
      </c>
      <c r="J171" s="5" t="inlineStr"/>
      <c r="K171" s="5" t="inlineStr">
        <is>
          <t>Master plan D001 (not a phone pin)</t>
        </is>
      </c>
      <c r="L171" s="7">
        <f>HYPERLINK("https://www.google.com/maps?q=-27.992664,153.43029","Open map")</f>
        <v/>
      </c>
      <c r="M171" s="5" t="inlineStr">
        <is>
          <t>on site</t>
        </is>
      </c>
      <c r="N171" s="5" t="n">
        <v>-27.992664</v>
      </c>
      <c r="O171" s="5" t="n">
        <v>153.43029</v>
      </c>
    </row>
    <row r="172">
      <c r="A172" s="2" t="inlineStr">
        <is>
          <t>WC53</t>
        </is>
      </c>
      <c r="B172" s="2" t="n">
        <v>1</v>
      </c>
      <c r="C172" s="3" t="inlineStr">
        <is>
          <t>0951</t>
        </is>
      </c>
      <c r="D172" s="2" t="inlineStr">
        <is>
          <t>-27.992664, 153.430290</t>
        </is>
      </c>
      <c r="E172" s="2" t="inlineStr"/>
      <c r="F172" s="2" t="inlineStr">
        <is>
          <t>FWF</t>
        </is>
      </c>
      <c r="G172" s="2" t="inlineStr">
        <is>
          <t>2 of 3</t>
        </is>
      </c>
      <c r="H172" s="2" t="inlineStr">
        <is>
          <t>Event Portables (sub-hire)</t>
        </is>
      </c>
      <c r="I172" s="2" t="inlineStr">
        <is>
          <t>Toilets</t>
        </is>
      </c>
      <c r="J172" s="2" t="inlineStr"/>
      <c r="K172" s="2" t="inlineStr">
        <is>
          <t>Master plan D001 (not a phone pin)</t>
        </is>
      </c>
      <c r="L172" s="4">
        <f>HYPERLINK("https://www.google.com/maps?q=-27.992664,153.43029","Open map")</f>
        <v/>
      </c>
      <c r="M172" s="2" t="inlineStr">
        <is>
          <t>on site</t>
        </is>
      </c>
      <c r="N172" s="2" t="n">
        <v>-27.992664</v>
      </c>
      <c r="O172" s="2" t="n">
        <v>153.43029</v>
      </c>
    </row>
    <row r="173">
      <c r="A173" s="5" t="inlineStr">
        <is>
          <t>WC53</t>
        </is>
      </c>
      <c r="B173" s="5" t="n">
        <v>1</v>
      </c>
      <c r="C173" s="6" t="inlineStr">
        <is>
          <t>0074</t>
        </is>
      </c>
      <c r="D173" s="5" t="inlineStr">
        <is>
          <t>-27.992664, 153.430290</t>
        </is>
      </c>
      <c r="E173" s="5" t="inlineStr"/>
      <c r="F173" s="5" t="inlineStr">
        <is>
          <t>FWF</t>
        </is>
      </c>
      <c r="G173" s="5" t="inlineStr">
        <is>
          <t>3 of 3</t>
        </is>
      </c>
      <c r="H173" s="5" t="inlineStr">
        <is>
          <t>Event Portables (sub-hire)</t>
        </is>
      </c>
      <c r="I173" s="5" t="inlineStr">
        <is>
          <t>Toilets</t>
        </is>
      </c>
      <c r="J173" s="5" t="inlineStr"/>
      <c r="K173" s="5" t="inlineStr">
        <is>
          <t>Master plan D001 (not a phone pin)</t>
        </is>
      </c>
      <c r="L173" s="7">
        <f>HYPERLINK("https://www.google.com/maps?q=-27.992664,153.43029","Open map")</f>
        <v/>
      </c>
      <c r="M173" s="5" t="inlineStr">
        <is>
          <t>on site</t>
        </is>
      </c>
      <c r="N173" s="5" t="n">
        <v>-27.992664</v>
      </c>
      <c r="O173" s="5" t="n">
        <v>153.43029</v>
      </c>
    </row>
    <row r="174">
      <c r="A174" s="2" t="inlineStr">
        <is>
          <t>WC54</t>
        </is>
      </c>
      <c r="B174" s="2" t="n">
        <v>1</v>
      </c>
      <c r="C174" s="3" t="inlineStr">
        <is>
          <t>0186</t>
        </is>
      </c>
      <c r="D174" s="2" t="inlineStr">
        <is>
          <t>-27.991588, 153.430458</t>
        </is>
      </c>
      <c r="E174" s="2" t="inlineStr"/>
      <c r="F174" s="2" t="inlineStr">
        <is>
          <t>FWF</t>
        </is>
      </c>
      <c r="G174" s="2" t="inlineStr">
        <is>
          <t>1 of 6</t>
        </is>
      </c>
      <c r="H174" s="2" t="inlineStr">
        <is>
          <t>Event Portables (sub-hire)</t>
        </is>
      </c>
      <c r="I174" s="2" t="inlineStr">
        <is>
          <t>Toilets</t>
        </is>
      </c>
      <c r="J174" s="2" t="inlineStr"/>
      <c r="K174" s="2" t="inlineStr">
        <is>
          <t>Master plan D001 (not a phone pin)</t>
        </is>
      </c>
      <c r="L174" s="4">
        <f>HYPERLINK("https://www.google.com/maps?q=-27.991588,153.430458","Open map")</f>
        <v/>
      </c>
      <c r="M174" s="2" t="inlineStr">
        <is>
          <t>on site</t>
        </is>
      </c>
      <c r="N174" s="2" t="n">
        <v>-27.991588</v>
      </c>
      <c r="O174" s="2" t="n">
        <v>153.430458</v>
      </c>
    </row>
    <row r="175">
      <c r="A175" s="5" t="inlineStr">
        <is>
          <t>WC54</t>
        </is>
      </c>
      <c r="B175" s="5" t="n">
        <v>1</v>
      </c>
      <c r="C175" s="6" t="inlineStr">
        <is>
          <t>0619</t>
        </is>
      </c>
      <c r="D175" s="5" t="inlineStr">
        <is>
          <t>-27.991588, 153.430458</t>
        </is>
      </c>
      <c r="E175" s="5" t="inlineStr"/>
      <c r="F175" s="5" t="inlineStr">
        <is>
          <t>FWF</t>
        </is>
      </c>
      <c r="G175" s="5" t="inlineStr">
        <is>
          <t>2 of 6</t>
        </is>
      </c>
      <c r="H175" s="5" t="inlineStr">
        <is>
          <t>Event Portables (sub-hire)</t>
        </is>
      </c>
      <c r="I175" s="5" t="inlineStr">
        <is>
          <t>Toilets</t>
        </is>
      </c>
      <c r="J175" s="5" t="inlineStr"/>
      <c r="K175" s="5" t="inlineStr">
        <is>
          <t>Master plan D001 (not a phone pin)</t>
        </is>
      </c>
      <c r="L175" s="7">
        <f>HYPERLINK("https://www.google.com/maps?q=-27.991588,153.430458","Open map")</f>
        <v/>
      </c>
      <c r="M175" s="5" t="inlineStr">
        <is>
          <t>on site</t>
        </is>
      </c>
      <c r="N175" s="5" t="n">
        <v>-27.991588</v>
      </c>
      <c r="O175" s="5" t="n">
        <v>153.430458</v>
      </c>
    </row>
    <row r="176">
      <c r="A176" s="2" t="inlineStr">
        <is>
          <t>WC54</t>
        </is>
      </c>
      <c r="B176" s="2" t="n">
        <v>1</v>
      </c>
      <c r="C176" s="3" t="inlineStr">
        <is>
          <t>0071</t>
        </is>
      </c>
      <c r="D176" s="2" t="inlineStr">
        <is>
          <t>-27.991588, 153.430458</t>
        </is>
      </c>
      <c r="E176" s="2" t="inlineStr"/>
      <c r="F176" s="2" t="inlineStr">
        <is>
          <t>FWF</t>
        </is>
      </c>
      <c r="G176" s="2" t="inlineStr">
        <is>
          <t>3 of 6</t>
        </is>
      </c>
      <c r="H176" s="2" t="inlineStr">
        <is>
          <t>Event Portables (sub-hire)</t>
        </is>
      </c>
      <c r="I176" s="2" t="inlineStr">
        <is>
          <t>Toilets</t>
        </is>
      </c>
      <c r="J176" s="2" t="inlineStr"/>
      <c r="K176" s="2" t="inlineStr">
        <is>
          <t>Master plan D001 (not a phone pin)</t>
        </is>
      </c>
      <c r="L176" s="4">
        <f>HYPERLINK("https://www.google.com/maps?q=-27.991588,153.430458","Open map")</f>
        <v/>
      </c>
      <c r="M176" s="2" t="inlineStr">
        <is>
          <t>on site</t>
        </is>
      </c>
      <c r="N176" s="2" t="n">
        <v>-27.991588</v>
      </c>
      <c r="O176" s="2" t="n">
        <v>153.430458</v>
      </c>
    </row>
    <row r="177">
      <c r="A177" s="5" t="inlineStr">
        <is>
          <t>WC54</t>
        </is>
      </c>
      <c r="B177" s="5" t="n">
        <v>1</v>
      </c>
      <c r="C177" s="6" t="inlineStr">
        <is>
          <t>0295</t>
        </is>
      </c>
      <c r="D177" s="5" t="inlineStr">
        <is>
          <t>-27.991588, 153.430458</t>
        </is>
      </c>
      <c r="E177" s="5" t="inlineStr"/>
      <c r="F177" s="5" t="inlineStr">
        <is>
          <t>FWF</t>
        </is>
      </c>
      <c r="G177" s="5" t="inlineStr">
        <is>
          <t>4 of 6</t>
        </is>
      </c>
      <c r="H177" s="5" t="inlineStr">
        <is>
          <t>Event Portables (sub-hire)</t>
        </is>
      </c>
      <c r="I177" s="5" t="inlineStr">
        <is>
          <t>Toilets</t>
        </is>
      </c>
      <c r="J177" s="5" t="inlineStr"/>
      <c r="K177" s="5" t="inlineStr">
        <is>
          <t>Master plan D001 (not a phone pin)</t>
        </is>
      </c>
      <c r="L177" s="7">
        <f>HYPERLINK("https://www.google.com/maps?q=-27.991588,153.430458","Open map")</f>
        <v/>
      </c>
      <c r="M177" s="5" t="inlineStr">
        <is>
          <t>on site</t>
        </is>
      </c>
      <c r="N177" s="5" t="n">
        <v>-27.991588</v>
      </c>
      <c r="O177" s="5" t="n">
        <v>153.430458</v>
      </c>
    </row>
    <row r="178">
      <c r="A178" s="2" t="inlineStr">
        <is>
          <t>WC54</t>
        </is>
      </c>
      <c r="B178" s="2" t="n">
        <v>1</v>
      </c>
      <c r="C178" s="3" t="inlineStr">
        <is>
          <t>0007</t>
        </is>
      </c>
      <c r="D178" s="2" t="inlineStr">
        <is>
          <t>-27.991588, 153.430458</t>
        </is>
      </c>
      <c r="E178" s="2" t="inlineStr"/>
      <c r="F178" s="2" t="inlineStr">
        <is>
          <t>FWF</t>
        </is>
      </c>
      <c r="G178" s="2" t="inlineStr">
        <is>
          <t>5 of 6</t>
        </is>
      </c>
      <c r="H178" s="2" t="inlineStr">
        <is>
          <t>Event Portables (sub-hire)</t>
        </is>
      </c>
      <c r="I178" s="2" t="inlineStr">
        <is>
          <t>Toilets</t>
        </is>
      </c>
      <c r="J178" s="2" t="inlineStr"/>
      <c r="K178" s="2" t="inlineStr">
        <is>
          <t>Master plan D001 (not a phone pin)</t>
        </is>
      </c>
      <c r="L178" s="4">
        <f>HYPERLINK("https://www.google.com/maps?q=-27.991588,153.430458","Open map")</f>
        <v/>
      </c>
      <c r="M178" s="2" t="inlineStr">
        <is>
          <t>on site</t>
        </is>
      </c>
      <c r="N178" s="2" t="n">
        <v>-27.991588</v>
      </c>
      <c r="O178" s="2" t="n">
        <v>153.430458</v>
      </c>
    </row>
    <row r="179">
      <c r="A179" s="5" t="inlineStr">
        <is>
          <t>WC54</t>
        </is>
      </c>
      <c r="B179" s="5" t="n">
        <v>1</v>
      </c>
      <c r="C179" s="6" t="inlineStr">
        <is>
          <t>0087</t>
        </is>
      </c>
      <c r="D179" s="5" t="inlineStr">
        <is>
          <t>-27.991588, 153.430458</t>
        </is>
      </c>
      <c r="E179" s="5" t="inlineStr"/>
      <c r="F179" s="5" t="inlineStr">
        <is>
          <t>FWF</t>
        </is>
      </c>
      <c r="G179" s="5" t="inlineStr">
        <is>
          <t>6 of 6</t>
        </is>
      </c>
      <c r="H179" s="5" t="inlineStr">
        <is>
          <t>Event Portables (sub-hire)</t>
        </is>
      </c>
      <c r="I179" s="5" t="inlineStr">
        <is>
          <t>Toilets</t>
        </is>
      </c>
      <c r="J179" s="5" t="inlineStr"/>
      <c r="K179" s="5" t="inlineStr">
        <is>
          <t>Master plan D001 (not a phone pin)</t>
        </is>
      </c>
      <c r="L179" s="7">
        <f>HYPERLINK("https://www.google.com/maps?q=-27.991588,153.430458","Open map")</f>
        <v/>
      </c>
      <c r="M179" s="5" t="inlineStr">
        <is>
          <t>on site</t>
        </is>
      </c>
      <c r="N179" s="5" t="n">
        <v>-27.991588</v>
      </c>
      <c r="O179" s="5" t="n">
        <v>153.430458</v>
      </c>
    </row>
    <row r="180">
      <c r="A180" s="2" t="inlineStr">
        <is>
          <t>WC55</t>
        </is>
      </c>
      <c r="B180" s="2" t="n">
        <v>1</v>
      </c>
      <c r="C180" s="3" t="inlineStr">
        <is>
          <t>0650</t>
        </is>
      </c>
      <c r="D180" s="2" t="inlineStr">
        <is>
          <t>-27.991242, 153.429832</t>
        </is>
      </c>
      <c r="E180" s="2" t="inlineStr"/>
      <c r="F180" s="2" t="inlineStr">
        <is>
          <t>FWF</t>
        </is>
      </c>
      <c r="G180" s="2" t="inlineStr">
        <is>
          <t>1 of 1</t>
        </is>
      </c>
      <c r="H180" s="2" t="inlineStr">
        <is>
          <t>Event Portables (sub-hire)</t>
        </is>
      </c>
      <c r="I180" s="2" t="inlineStr">
        <is>
          <t>Toilets</t>
        </is>
      </c>
      <c r="J180" s="2" t="inlineStr"/>
      <c r="K180" s="2" t="inlineStr">
        <is>
          <t>Master plan D001 (not a phone pin)</t>
        </is>
      </c>
      <c r="L180" s="4">
        <f>HYPERLINK("https://www.google.com/maps?q=-27.991242,153.429832","Open map")</f>
        <v/>
      </c>
      <c r="M180" s="2" t="inlineStr">
        <is>
          <t>on site</t>
        </is>
      </c>
      <c r="N180" s="2" t="n">
        <v>-27.991242</v>
      </c>
      <c r="O180" s="2" t="n">
        <v>153.429832</v>
      </c>
    </row>
    <row r="181">
      <c r="A181" s="5" t="inlineStr">
        <is>
          <t>WC56</t>
        </is>
      </c>
      <c r="B181" s="5" t="n">
        <v>1</v>
      </c>
      <c r="C181" s="6" t="inlineStr">
        <is>
          <t>0721</t>
        </is>
      </c>
      <c r="D181" s="5" t="inlineStr">
        <is>
          <t>-27.989820, 153.430077</t>
        </is>
      </c>
      <c r="E181" s="5" t="inlineStr"/>
      <c r="F181" s="5" t="inlineStr">
        <is>
          <t>FWF</t>
        </is>
      </c>
      <c r="G181" s="5" t="inlineStr">
        <is>
          <t>1 of 12</t>
        </is>
      </c>
      <c r="H181" s="5" t="inlineStr">
        <is>
          <t>Event Portables (sub-hire)</t>
        </is>
      </c>
      <c r="I181" s="5" t="inlineStr">
        <is>
          <t>Toilets</t>
        </is>
      </c>
      <c r="J181" s="5" t="inlineStr">
        <is>
          <t>S18</t>
        </is>
      </c>
      <c r="K181" s="5" t="inlineStr">
        <is>
          <t>Master plan D001 (not a phone pin)</t>
        </is>
      </c>
      <c r="L181" s="7">
        <f>HYPERLINK("https://www.google.com/maps?q=-27.98982,153.430077","Open map")</f>
        <v/>
      </c>
      <c r="M181" s="5" t="inlineStr">
        <is>
          <t>on site</t>
        </is>
      </c>
      <c r="N181" s="5" t="n">
        <v>-27.98982</v>
      </c>
      <c r="O181" s="5" t="n">
        <v>153.430077</v>
      </c>
    </row>
    <row r="182">
      <c r="A182" s="2" t="inlineStr">
        <is>
          <t>WC56</t>
        </is>
      </c>
      <c r="B182" s="2" t="n">
        <v>1</v>
      </c>
      <c r="C182" s="3" t="inlineStr">
        <is>
          <t>0491</t>
        </is>
      </c>
      <c r="D182" s="2" t="inlineStr">
        <is>
          <t>-27.989820, 153.430077</t>
        </is>
      </c>
      <c r="E182" s="2" t="inlineStr"/>
      <c r="F182" s="2" t="inlineStr">
        <is>
          <t>FWF</t>
        </is>
      </c>
      <c r="G182" s="2" t="inlineStr">
        <is>
          <t>2 of 12</t>
        </is>
      </c>
      <c r="H182" s="2" t="inlineStr">
        <is>
          <t>Event Portables (sub-hire)</t>
        </is>
      </c>
      <c r="I182" s="2" t="inlineStr">
        <is>
          <t>Toilets</t>
        </is>
      </c>
      <c r="J182" s="2" t="inlineStr">
        <is>
          <t>S18</t>
        </is>
      </c>
      <c r="K182" s="2" t="inlineStr">
        <is>
          <t>Master plan D001 (not a phone pin)</t>
        </is>
      </c>
      <c r="L182" s="4">
        <f>HYPERLINK("https://www.google.com/maps?q=-27.98982,153.430077","Open map")</f>
        <v/>
      </c>
      <c r="M182" s="2" t="inlineStr">
        <is>
          <t>on site</t>
        </is>
      </c>
      <c r="N182" s="2" t="n">
        <v>-27.98982</v>
      </c>
      <c r="O182" s="2" t="n">
        <v>153.430077</v>
      </c>
    </row>
    <row r="183">
      <c r="A183" s="5" t="inlineStr">
        <is>
          <t>WC56</t>
        </is>
      </c>
      <c r="B183" s="5" t="n">
        <v>1</v>
      </c>
      <c r="C183" s="6" t="inlineStr">
        <is>
          <t>0190</t>
        </is>
      </c>
      <c r="D183" s="5" t="inlineStr">
        <is>
          <t>-27.989820, 153.430077</t>
        </is>
      </c>
      <c r="E183" s="5" t="inlineStr"/>
      <c r="F183" s="5" t="inlineStr">
        <is>
          <t>FWF</t>
        </is>
      </c>
      <c r="G183" s="5" t="inlineStr">
        <is>
          <t>3 of 12</t>
        </is>
      </c>
      <c r="H183" s="5" t="inlineStr">
        <is>
          <t>Event Portables (sub-hire)</t>
        </is>
      </c>
      <c r="I183" s="5" t="inlineStr">
        <is>
          <t>Toilets</t>
        </is>
      </c>
      <c r="J183" s="5" t="inlineStr">
        <is>
          <t>S18</t>
        </is>
      </c>
      <c r="K183" s="5" t="inlineStr">
        <is>
          <t>Master plan D001 (not a phone pin)</t>
        </is>
      </c>
      <c r="L183" s="7">
        <f>HYPERLINK("https://www.google.com/maps?q=-27.98982,153.430077","Open map")</f>
        <v/>
      </c>
      <c r="M183" s="5" t="inlineStr">
        <is>
          <t>on site</t>
        </is>
      </c>
      <c r="N183" s="5" t="n">
        <v>-27.98982</v>
      </c>
      <c r="O183" s="5" t="n">
        <v>153.430077</v>
      </c>
    </row>
    <row r="184">
      <c r="A184" s="2" t="inlineStr">
        <is>
          <t>WC56</t>
        </is>
      </c>
      <c r="B184" s="2" t="n">
        <v>1</v>
      </c>
      <c r="C184" s="3" t="inlineStr">
        <is>
          <t>0294</t>
        </is>
      </c>
      <c r="D184" s="2" t="inlineStr">
        <is>
          <t>-27.989820, 153.430077</t>
        </is>
      </c>
      <c r="E184" s="2" t="inlineStr"/>
      <c r="F184" s="2" t="inlineStr">
        <is>
          <t>FWF</t>
        </is>
      </c>
      <c r="G184" s="2" t="inlineStr">
        <is>
          <t>4 of 12</t>
        </is>
      </c>
      <c r="H184" s="2" t="inlineStr">
        <is>
          <t>Event Portables (sub-hire)</t>
        </is>
      </c>
      <c r="I184" s="2" t="inlineStr">
        <is>
          <t>Toilets</t>
        </is>
      </c>
      <c r="J184" s="2" t="inlineStr">
        <is>
          <t>S18</t>
        </is>
      </c>
      <c r="K184" s="2" t="inlineStr">
        <is>
          <t>Master plan D001 (not a phone pin)</t>
        </is>
      </c>
      <c r="L184" s="4">
        <f>HYPERLINK("https://www.google.com/maps?q=-27.98982,153.430077","Open map")</f>
        <v/>
      </c>
      <c r="M184" s="2" t="inlineStr">
        <is>
          <t>on site</t>
        </is>
      </c>
      <c r="N184" s="2" t="n">
        <v>-27.98982</v>
      </c>
      <c r="O184" s="2" t="n">
        <v>153.430077</v>
      </c>
    </row>
    <row r="185">
      <c r="A185" s="5" t="inlineStr">
        <is>
          <t>WC56</t>
        </is>
      </c>
      <c r="B185" s="5" t="n">
        <v>1</v>
      </c>
      <c r="C185" s="6" t="inlineStr">
        <is>
          <t>0970</t>
        </is>
      </c>
      <c r="D185" s="5" t="inlineStr">
        <is>
          <t>-27.989820, 153.430077</t>
        </is>
      </c>
      <c r="E185" s="5" t="inlineStr"/>
      <c r="F185" s="5" t="inlineStr">
        <is>
          <t>FWF</t>
        </is>
      </c>
      <c r="G185" s="5" t="inlineStr">
        <is>
          <t>5 of 12</t>
        </is>
      </c>
      <c r="H185" s="5" t="inlineStr">
        <is>
          <t>Event Portables (sub-hire)</t>
        </is>
      </c>
      <c r="I185" s="5" t="inlineStr">
        <is>
          <t>Toilets</t>
        </is>
      </c>
      <c r="J185" s="5" t="inlineStr">
        <is>
          <t>S18</t>
        </is>
      </c>
      <c r="K185" s="5" t="inlineStr">
        <is>
          <t>Master plan D001 (not a phone pin)</t>
        </is>
      </c>
      <c r="L185" s="7">
        <f>HYPERLINK("https://www.google.com/maps?q=-27.98982,153.430077","Open map")</f>
        <v/>
      </c>
      <c r="M185" s="5" t="inlineStr">
        <is>
          <t>on site</t>
        </is>
      </c>
      <c r="N185" s="5" t="n">
        <v>-27.98982</v>
      </c>
      <c r="O185" s="5" t="n">
        <v>153.430077</v>
      </c>
    </row>
    <row r="186">
      <c r="A186" s="2" t="inlineStr">
        <is>
          <t>WC56</t>
        </is>
      </c>
      <c r="B186" s="2" t="n">
        <v>1</v>
      </c>
      <c r="C186" s="3" t="inlineStr">
        <is>
          <t>0974</t>
        </is>
      </c>
      <c r="D186" s="2" t="inlineStr">
        <is>
          <t>-27.989820, 153.430077</t>
        </is>
      </c>
      <c r="E186" s="2" t="inlineStr"/>
      <c r="F186" s="2" t="inlineStr">
        <is>
          <t>FWF</t>
        </is>
      </c>
      <c r="G186" s="2" t="inlineStr">
        <is>
          <t>6 of 12</t>
        </is>
      </c>
      <c r="H186" s="2" t="inlineStr">
        <is>
          <t>Event Portables (sub-hire)</t>
        </is>
      </c>
      <c r="I186" s="2" t="inlineStr">
        <is>
          <t>Toilets</t>
        </is>
      </c>
      <c r="J186" s="2" t="inlineStr">
        <is>
          <t>S18</t>
        </is>
      </c>
      <c r="K186" s="2" t="inlineStr">
        <is>
          <t>Master plan D001 (not a phone pin)</t>
        </is>
      </c>
      <c r="L186" s="4">
        <f>HYPERLINK("https://www.google.com/maps?q=-27.98982,153.430077","Open map")</f>
        <v/>
      </c>
      <c r="M186" s="2" t="inlineStr">
        <is>
          <t>on site</t>
        </is>
      </c>
      <c r="N186" s="2" t="n">
        <v>-27.98982</v>
      </c>
      <c r="O186" s="2" t="n">
        <v>153.430077</v>
      </c>
    </row>
    <row r="187">
      <c r="A187" s="5" t="inlineStr">
        <is>
          <t>WC56</t>
        </is>
      </c>
      <c r="B187" s="5" t="n">
        <v>1</v>
      </c>
      <c r="C187" s="6" t="inlineStr">
        <is>
          <t>0004</t>
        </is>
      </c>
      <c r="D187" s="5" t="inlineStr">
        <is>
          <t>-27.989820, 153.430077</t>
        </is>
      </c>
      <c r="E187" s="5" t="inlineStr"/>
      <c r="F187" s="5" t="inlineStr">
        <is>
          <t>FWF</t>
        </is>
      </c>
      <c r="G187" s="5" t="inlineStr">
        <is>
          <t>7 of 12</t>
        </is>
      </c>
      <c r="H187" s="5" t="inlineStr">
        <is>
          <t>Event Portables (sub-hire)</t>
        </is>
      </c>
      <c r="I187" s="5" t="inlineStr">
        <is>
          <t>Toilets</t>
        </is>
      </c>
      <c r="J187" s="5" t="inlineStr">
        <is>
          <t>S18</t>
        </is>
      </c>
      <c r="K187" s="5" t="inlineStr">
        <is>
          <t>Master plan D001 (not a phone pin)</t>
        </is>
      </c>
      <c r="L187" s="7">
        <f>HYPERLINK("https://www.google.com/maps?q=-27.98982,153.430077","Open map")</f>
        <v/>
      </c>
      <c r="M187" s="5" t="inlineStr">
        <is>
          <t>on site</t>
        </is>
      </c>
      <c r="N187" s="5" t="n">
        <v>-27.98982</v>
      </c>
      <c r="O187" s="5" t="n">
        <v>153.430077</v>
      </c>
    </row>
    <row r="188">
      <c r="A188" s="2" t="inlineStr">
        <is>
          <t>WC56</t>
        </is>
      </c>
      <c r="B188" s="2" t="n">
        <v>1</v>
      </c>
      <c r="C188" s="3" t="inlineStr">
        <is>
          <t>0003</t>
        </is>
      </c>
      <c r="D188" s="2" t="inlineStr">
        <is>
          <t>-27.989820, 153.430077</t>
        </is>
      </c>
      <c r="E188" s="2" t="inlineStr"/>
      <c r="F188" s="2" t="inlineStr">
        <is>
          <t>FWF</t>
        </is>
      </c>
      <c r="G188" s="2" t="inlineStr">
        <is>
          <t>8 of 12</t>
        </is>
      </c>
      <c r="H188" s="2" t="inlineStr">
        <is>
          <t>Event Portables (sub-hire)</t>
        </is>
      </c>
      <c r="I188" s="2" t="inlineStr">
        <is>
          <t>Toilets</t>
        </is>
      </c>
      <c r="J188" s="2" t="inlineStr">
        <is>
          <t>S18</t>
        </is>
      </c>
      <c r="K188" s="2" t="inlineStr">
        <is>
          <t>Master plan D001 (not a phone pin)</t>
        </is>
      </c>
      <c r="L188" s="4">
        <f>HYPERLINK("https://www.google.com/maps?q=-27.98982,153.430077","Open map")</f>
        <v/>
      </c>
      <c r="M188" s="2" t="inlineStr">
        <is>
          <t>on site</t>
        </is>
      </c>
      <c r="N188" s="2" t="n">
        <v>-27.98982</v>
      </c>
      <c r="O188" s="2" t="n">
        <v>153.430077</v>
      </c>
    </row>
    <row r="189">
      <c r="A189" s="5" t="inlineStr">
        <is>
          <t>WC56</t>
        </is>
      </c>
      <c r="B189" s="5" t="n">
        <v>1</v>
      </c>
      <c r="C189" s="6" t="inlineStr">
        <is>
          <t>0445</t>
        </is>
      </c>
      <c r="D189" s="5" t="inlineStr">
        <is>
          <t>-27.989820, 153.430077</t>
        </is>
      </c>
      <c r="E189" s="5" t="inlineStr"/>
      <c r="F189" s="5" t="inlineStr">
        <is>
          <t>FWF</t>
        </is>
      </c>
      <c r="G189" s="5" t="inlineStr">
        <is>
          <t>9 of 12</t>
        </is>
      </c>
      <c r="H189" s="5" t="inlineStr">
        <is>
          <t>Event Portables (sub-hire)</t>
        </is>
      </c>
      <c r="I189" s="5" t="inlineStr">
        <is>
          <t>Toilets</t>
        </is>
      </c>
      <c r="J189" s="5" t="inlineStr">
        <is>
          <t>S18</t>
        </is>
      </c>
      <c r="K189" s="5" t="inlineStr">
        <is>
          <t>Master plan D001 (not a phone pin)</t>
        </is>
      </c>
      <c r="L189" s="7">
        <f>HYPERLINK("https://www.google.com/maps?q=-27.98982,153.430077","Open map")</f>
        <v/>
      </c>
      <c r="M189" s="5" t="inlineStr">
        <is>
          <t>on site</t>
        </is>
      </c>
      <c r="N189" s="5" t="n">
        <v>-27.98982</v>
      </c>
      <c r="O189" s="5" t="n">
        <v>153.430077</v>
      </c>
    </row>
    <row r="190">
      <c r="A190" s="2" t="inlineStr">
        <is>
          <t>WC56</t>
        </is>
      </c>
      <c r="B190" s="2" t="n">
        <v>1</v>
      </c>
      <c r="C190" s="3" t="inlineStr">
        <is>
          <t>0088</t>
        </is>
      </c>
      <c r="D190" s="2" t="inlineStr">
        <is>
          <t>-27.989820, 153.430077</t>
        </is>
      </c>
      <c r="E190" s="2" t="inlineStr"/>
      <c r="F190" s="2" t="inlineStr">
        <is>
          <t>FWF</t>
        </is>
      </c>
      <c r="G190" s="2" t="inlineStr">
        <is>
          <t>10 of 12</t>
        </is>
      </c>
      <c r="H190" s="2" t="inlineStr">
        <is>
          <t>Event Portables (sub-hire)</t>
        </is>
      </c>
      <c r="I190" s="2" t="inlineStr">
        <is>
          <t>Toilets</t>
        </is>
      </c>
      <c r="J190" s="2" t="inlineStr">
        <is>
          <t>S18</t>
        </is>
      </c>
      <c r="K190" s="2" t="inlineStr">
        <is>
          <t>Master plan D001 (not a phone pin)</t>
        </is>
      </c>
      <c r="L190" s="4">
        <f>HYPERLINK("https://www.google.com/maps?q=-27.98982,153.430077","Open map")</f>
        <v/>
      </c>
      <c r="M190" s="2" t="inlineStr">
        <is>
          <t>on site</t>
        </is>
      </c>
      <c r="N190" s="2" t="n">
        <v>-27.98982</v>
      </c>
      <c r="O190" s="2" t="n">
        <v>153.430077</v>
      </c>
    </row>
    <row r="191">
      <c r="A191" s="5" t="inlineStr">
        <is>
          <t>WC56</t>
        </is>
      </c>
      <c r="B191" s="5" t="n">
        <v>1</v>
      </c>
      <c r="C191" s="6" t="inlineStr">
        <is>
          <t>0442</t>
        </is>
      </c>
      <c r="D191" s="5" t="inlineStr">
        <is>
          <t>-27.989820, 153.430077</t>
        </is>
      </c>
      <c r="E191" s="5" t="inlineStr"/>
      <c r="F191" s="5" t="inlineStr">
        <is>
          <t>FWF</t>
        </is>
      </c>
      <c r="G191" s="5" t="inlineStr">
        <is>
          <t>11 of 12</t>
        </is>
      </c>
      <c r="H191" s="5" t="inlineStr">
        <is>
          <t>Event Portables (sub-hire)</t>
        </is>
      </c>
      <c r="I191" s="5" t="inlineStr">
        <is>
          <t>Toilets</t>
        </is>
      </c>
      <c r="J191" s="5" t="inlineStr">
        <is>
          <t>S18</t>
        </is>
      </c>
      <c r="K191" s="5" t="inlineStr">
        <is>
          <t>Master plan D001 (not a phone pin)</t>
        </is>
      </c>
      <c r="L191" s="7">
        <f>HYPERLINK("https://www.google.com/maps?q=-27.98982,153.430077","Open map")</f>
        <v/>
      </c>
      <c r="M191" s="5" t="inlineStr">
        <is>
          <t>on site</t>
        </is>
      </c>
      <c r="N191" s="5" t="n">
        <v>-27.98982</v>
      </c>
      <c r="O191" s="5" t="n">
        <v>153.430077</v>
      </c>
    </row>
    <row r="192">
      <c r="A192" s="2" t="inlineStr">
        <is>
          <t>WC56</t>
        </is>
      </c>
      <c r="B192" s="2" t="n">
        <v>1</v>
      </c>
      <c r="C192" s="3" t="inlineStr">
        <is>
          <t>0009</t>
        </is>
      </c>
      <c r="D192" s="2" t="inlineStr">
        <is>
          <t>-27.989820, 153.430077</t>
        </is>
      </c>
      <c r="E192" s="2" t="inlineStr"/>
      <c r="F192" s="2" t="inlineStr">
        <is>
          <t>FWF</t>
        </is>
      </c>
      <c r="G192" s="2" t="inlineStr">
        <is>
          <t>12 of 12</t>
        </is>
      </c>
      <c r="H192" s="2" t="inlineStr">
        <is>
          <t>Event Portables (sub-hire)</t>
        </is>
      </c>
      <c r="I192" s="2" t="inlineStr">
        <is>
          <t>Toilets</t>
        </is>
      </c>
      <c r="J192" s="2" t="inlineStr">
        <is>
          <t>S18</t>
        </is>
      </c>
      <c r="K192" s="2" t="inlineStr">
        <is>
          <t>Master plan D001 (not a phone pin)</t>
        </is>
      </c>
      <c r="L192" s="4">
        <f>HYPERLINK("https://www.google.com/maps?q=-27.98982,153.430077","Open map")</f>
        <v/>
      </c>
      <c r="M192" s="2" t="inlineStr">
        <is>
          <t>on site</t>
        </is>
      </c>
      <c r="N192" s="2" t="n">
        <v>-27.98982</v>
      </c>
      <c r="O192" s="2" t="n">
        <v>153.430077</v>
      </c>
    </row>
    <row r="193">
      <c r="A193" s="5" t="inlineStr">
        <is>
          <t>WC57</t>
        </is>
      </c>
      <c r="B193" s="5" t="n">
        <v>1</v>
      </c>
      <c r="C193" s="6" t="inlineStr">
        <is>
          <t>0915</t>
        </is>
      </c>
      <c r="D193" s="5" t="inlineStr">
        <is>
          <t>-27.988206, 153.430076</t>
        </is>
      </c>
      <c r="E193" s="5" t="inlineStr">
        <is>
          <t>Main Beach seaside – by the supply compound</t>
        </is>
      </c>
      <c r="F193" s="5" t="inlineStr">
        <is>
          <t>FWF</t>
        </is>
      </c>
      <c r="G193" s="5" t="inlineStr">
        <is>
          <t>1 of 2</t>
        </is>
      </c>
      <c r="H193" s="5" t="inlineStr">
        <is>
          <t>Event Portables (sub-hire)</t>
        </is>
      </c>
      <c r="I193" s="5" t="inlineStr">
        <is>
          <t>Toilets</t>
        </is>
      </c>
      <c r="J193" s="5" t="inlineStr"/>
      <c r="K193" s="5" t="inlineStr">
        <is>
          <t>Master plan D001 (not a phone pin)</t>
        </is>
      </c>
      <c r="L193" s="7">
        <f>HYPERLINK("https://www.google.com/maps?q=-27.988206,153.430076","Open map")</f>
        <v/>
      </c>
      <c r="M193" s="5" t="inlineStr">
        <is>
          <t>on site</t>
        </is>
      </c>
      <c r="N193" s="5" t="n">
        <v>-27.988206</v>
      </c>
      <c r="O193" s="5" t="n">
        <v>153.430076</v>
      </c>
    </row>
    <row r="194">
      <c r="A194" s="2" t="inlineStr">
        <is>
          <t>WC57</t>
        </is>
      </c>
      <c r="B194" s="2" t="n">
        <v>1</v>
      </c>
      <c r="C194" s="3" t="inlineStr">
        <is>
          <t>0008</t>
        </is>
      </c>
      <c r="D194" s="2" t="inlineStr">
        <is>
          <t>-27.988206, 153.430076</t>
        </is>
      </c>
      <c r="E194" s="2" t="inlineStr">
        <is>
          <t>Main Beach seaside – by the supply compound</t>
        </is>
      </c>
      <c r="F194" s="2" t="inlineStr">
        <is>
          <t>FWF</t>
        </is>
      </c>
      <c r="G194" s="2" t="inlineStr">
        <is>
          <t>2 of 2</t>
        </is>
      </c>
      <c r="H194" s="2" t="inlineStr">
        <is>
          <t>Event Portables (sub-hire)</t>
        </is>
      </c>
      <c r="I194" s="2" t="inlineStr">
        <is>
          <t>Toilets</t>
        </is>
      </c>
      <c r="J194" s="2" t="inlineStr"/>
      <c r="K194" s="2" t="inlineStr">
        <is>
          <t>Master plan D001 (not a phone pin)</t>
        </is>
      </c>
      <c r="L194" s="4">
        <f>HYPERLINK("https://www.google.com/maps?q=-27.988206,153.430076","Open map")</f>
        <v/>
      </c>
      <c r="M194" s="2" t="inlineStr">
        <is>
          <t>on site</t>
        </is>
      </c>
      <c r="N194" s="2" t="n">
        <v>-27.988206</v>
      </c>
      <c r="O194" s="2" t="n">
        <v>153.430076</v>
      </c>
    </row>
    <row r="195">
      <c r="A195" s="5" t="inlineStr">
        <is>
          <t>WC59</t>
        </is>
      </c>
      <c r="B195" s="5" t="n">
        <v>1</v>
      </c>
      <c r="C195" s="6" t="inlineStr">
        <is>
          <t>0492</t>
        </is>
      </c>
      <c r="D195" s="5" t="inlineStr">
        <is>
          <t>-27.988183, 153.430169</t>
        </is>
      </c>
      <c r="E195" s="5" t="inlineStr">
        <is>
          <t>Main Beach seaside – by the supply compound</t>
        </is>
      </c>
      <c r="F195" s="5" t="inlineStr">
        <is>
          <t>FWF</t>
        </is>
      </c>
      <c r="G195" s="5" t="inlineStr">
        <is>
          <t>1 of 7</t>
        </is>
      </c>
      <c r="H195" s="5" t="inlineStr">
        <is>
          <t>Event Portables (sub-hire)</t>
        </is>
      </c>
      <c r="I195" s="5" t="inlineStr">
        <is>
          <t>Toilets</t>
        </is>
      </c>
      <c r="J195" s="5" t="inlineStr"/>
      <c r="K195" s="5" t="inlineStr">
        <is>
          <t>Master plan D001 (not a phone pin)</t>
        </is>
      </c>
      <c r="L195" s="7">
        <f>HYPERLINK("https://www.google.com/maps?q=-27.988183,153.430169","Open map")</f>
        <v/>
      </c>
      <c r="M195" s="5" t="inlineStr">
        <is>
          <t>on site</t>
        </is>
      </c>
      <c r="N195" s="5" t="n">
        <v>-27.988183</v>
      </c>
      <c r="O195" s="5" t="n">
        <v>153.430169</v>
      </c>
    </row>
    <row r="196">
      <c r="A196" s="2" t="inlineStr">
        <is>
          <t>WC59</t>
        </is>
      </c>
      <c r="B196" s="2" t="n">
        <v>1</v>
      </c>
      <c r="C196" s="3" t="inlineStr">
        <is>
          <t>0935</t>
        </is>
      </c>
      <c r="D196" s="2" t="inlineStr">
        <is>
          <t>-27.988183, 153.430169</t>
        </is>
      </c>
      <c r="E196" s="2" t="inlineStr">
        <is>
          <t>Main Beach seaside – by the supply compound</t>
        </is>
      </c>
      <c r="F196" s="2" t="inlineStr">
        <is>
          <t>FWF</t>
        </is>
      </c>
      <c r="G196" s="2" t="inlineStr">
        <is>
          <t>2 of 7</t>
        </is>
      </c>
      <c r="H196" s="2" t="inlineStr">
        <is>
          <t>Event Portables (sub-hire)</t>
        </is>
      </c>
      <c r="I196" s="2" t="inlineStr">
        <is>
          <t>Toilets</t>
        </is>
      </c>
      <c r="J196" s="2" t="inlineStr"/>
      <c r="K196" s="2" t="inlineStr">
        <is>
          <t>Master plan D001 (not a phone pin)</t>
        </is>
      </c>
      <c r="L196" s="4">
        <f>HYPERLINK("https://www.google.com/maps?q=-27.988183,153.430169","Open map")</f>
        <v/>
      </c>
      <c r="M196" s="2" t="inlineStr">
        <is>
          <t>on site</t>
        </is>
      </c>
      <c r="N196" s="2" t="n">
        <v>-27.988183</v>
      </c>
      <c r="O196" s="2" t="n">
        <v>153.430169</v>
      </c>
    </row>
    <row r="197">
      <c r="A197" s="5" t="inlineStr">
        <is>
          <t>WC59</t>
        </is>
      </c>
      <c r="B197" s="5" t="n">
        <v>1</v>
      </c>
      <c r="C197" s="6" t="inlineStr">
        <is>
          <t>0497</t>
        </is>
      </c>
      <c r="D197" s="5" t="inlineStr">
        <is>
          <t>-27.988183, 153.430169</t>
        </is>
      </c>
      <c r="E197" s="5" t="inlineStr">
        <is>
          <t>Main Beach seaside – by the supply compound</t>
        </is>
      </c>
      <c r="F197" s="5" t="inlineStr">
        <is>
          <t>FWF</t>
        </is>
      </c>
      <c r="G197" s="5" t="inlineStr">
        <is>
          <t>3 of 7</t>
        </is>
      </c>
      <c r="H197" s="5" t="inlineStr">
        <is>
          <t>Event Portables (sub-hire)</t>
        </is>
      </c>
      <c r="I197" s="5" t="inlineStr">
        <is>
          <t>Toilets</t>
        </is>
      </c>
      <c r="J197" s="5" t="inlineStr"/>
      <c r="K197" s="5" t="inlineStr">
        <is>
          <t>Master plan D001 (not a phone pin)</t>
        </is>
      </c>
      <c r="L197" s="7">
        <f>HYPERLINK("https://www.google.com/maps?q=-27.988183,153.430169","Open map")</f>
        <v/>
      </c>
      <c r="M197" s="5" t="inlineStr">
        <is>
          <t>on site</t>
        </is>
      </c>
      <c r="N197" s="5" t="n">
        <v>-27.988183</v>
      </c>
      <c r="O197" s="5" t="n">
        <v>153.430169</v>
      </c>
    </row>
    <row r="198">
      <c r="A198" s="2" t="inlineStr">
        <is>
          <t>WC59</t>
        </is>
      </c>
      <c r="B198" s="2" t="n">
        <v>1</v>
      </c>
      <c r="C198" s="3" t="inlineStr">
        <is>
          <t>0633</t>
        </is>
      </c>
      <c r="D198" s="2" t="inlineStr">
        <is>
          <t>-27.988183, 153.430169</t>
        </is>
      </c>
      <c r="E198" s="2" t="inlineStr">
        <is>
          <t>Main Beach seaside – by the supply compound</t>
        </is>
      </c>
      <c r="F198" s="2" t="inlineStr">
        <is>
          <t>FWF</t>
        </is>
      </c>
      <c r="G198" s="2" t="inlineStr">
        <is>
          <t>4 of 7</t>
        </is>
      </c>
      <c r="H198" s="2" t="inlineStr">
        <is>
          <t>Event Portables (sub-hire)</t>
        </is>
      </c>
      <c r="I198" s="2" t="inlineStr">
        <is>
          <t>Toilets</t>
        </is>
      </c>
      <c r="J198" s="2" t="inlineStr"/>
      <c r="K198" s="2" t="inlineStr">
        <is>
          <t>Master plan D001 (not a phone pin)</t>
        </is>
      </c>
      <c r="L198" s="4">
        <f>HYPERLINK("https://www.google.com/maps?q=-27.988183,153.430169","Open map")</f>
        <v/>
      </c>
      <c r="M198" s="2" t="inlineStr">
        <is>
          <t>on site</t>
        </is>
      </c>
      <c r="N198" s="2" t="n">
        <v>-27.988183</v>
      </c>
      <c r="O198" s="2" t="n">
        <v>153.430169</v>
      </c>
    </row>
    <row r="199">
      <c r="A199" s="5" t="inlineStr">
        <is>
          <t>WC59</t>
        </is>
      </c>
      <c r="B199" s="5" t="n">
        <v>1</v>
      </c>
      <c r="C199" s="6" t="inlineStr">
        <is>
          <t>0064</t>
        </is>
      </c>
      <c r="D199" s="5" t="inlineStr">
        <is>
          <t>-27.988183, 153.430169</t>
        </is>
      </c>
      <c r="E199" s="5" t="inlineStr">
        <is>
          <t>Main Beach seaside – by the supply compound</t>
        </is>
      </c>
      <c r="F199" s="5" t="inlineStr">
        <is>
          <t>FWF</t>
        </is>
      </c>
      <c r="G199" s="5" t="inlineStr">
        <is>
          <t>5 of 7</t>
        </is>
      </c>
      <c r="H199" s="5" t="inlineStr">
        <is>
          <t>Event Portables (sub-hire)</t>
        </is>
      </c>
      <c r="I199" s="5" t="inlineStr">
        <is>
          <t>Toilets</t>
        </is>
      </c>
      <c r="J199" s="5" t="inlineStr"/>
      <c r="K199" s="5" t="inlineStr">
        <is>
          <t>Master plan D001 (not a phone pin)</t>
        </is>
      </c>
      <c r="L199" s="7">
        <f>HYPERLINK("https://www.google.com/maps?q=-27.988183,153.430169","Open map")</f>
        <v/>
      </c>
      <c r="M199" s="5" t="inlineStr">
        <is>
          <t>on site</t>
        </is>
      </c>
      <c r="N199" s="5" t="n">
        <v>-27.988183</v>
      </c>
      <c r="O199" s="5" t="n">
        <v>153.430169</v>
      </c>
    </row>
    <row r="200">
      <c r="A200" s="2" t="inlineStr">
        <is>
          <t>WC59</t>
        </is>
      </c>
      <c r="B200" s="2" t="n">
        <v>1</v>
      </c>
      <c r="C200" s="3" t="inlineStr">
        <is>
          <t>0066</t>
        </is>
      </c>
      <c r="D200" s="2" t="inlineStr">
        <is>
          <t>-27.988183, 153.430169</t>
        </is>
      </c>
      <c r="E200" s="2" t="inlineStr">
        <is>
          <t>Main Beach seaside – by the supply compound</t>
        </is>
      </c>
      <c r="F200" s="2" t="inlineStr">
        <is>
          <t>FWF</t>
        </is>
      </c>
      <c r="G200" s="2" t="inlineStr">
        <is>
          <t>6 of 7</t>
        </is>
      </c>
      <c r="H200" s="2" t="inlineStr">
        <is>
          <t>Event Portables (sub-hire)</t>
        </is>
      </c>
      <c r="I200" s="2" t="inlineStr">
        <is>
          <t>Toilets</t>
        </is>
      </c>
      <c r="J200" s="2" t="inlineStr"/>
      <c r="K200" s="2" t="inlineStr">
        <is>
          <t>Master plan D001 (not a phone pin)</t>
        </is>
      </c>
      <c r="L200" s="4">
        <f>HYPERLINK("https://www.google.com/maps?q=-27.988183,153.430169","Open map")</f>
        <v/>
      </c>
      <c r="M200" s="2" t="inlineStr">
        <is>
          <t>on site</t>
        </is>
      </c>
      <c r="N200" s="2" t="n">
        <v>-27.988183</v>
      </c>
      <c r="O200" s="2" t="n">
        <v>153.430169</v>
      </c>
    </row>
    <row r="201">
      <c r="A201" s="5" t="inlineStr">
        <is>
          <t>WC59</t>
        </is>
      </c>
      <c r="B201" s="5" t="n">
        <v>1</v>
      </c>
      <c r="C201" s="6" t="inlineStr">
        <is>
          <t>0533</t>
        </is>
      </c>
      <c r="D201" s="5" t="inlineStr">
        <is>
          <t>-27.988183, 153.430169</t>
        </is>
      </c>
      <c r="E201" s="5" t="inlineStr">
        <is>
          <t>Main Beach seaside – by the supply compound</t>
        </is>
      </c>
      <c r="F201" s="5" t="inlineStr">
        <is>
          <t>FWF</t>
        </is>
      </c>
      <c r="G201" s="5" t="inlineStr">
        <is>
          <t>7 of 7</t>
        </is>
      </c>
      <c r="H201" s="5" t="inlineStr">
        <is>
          <t>Event Portables (sub-hire)</t>
        </is>
      </c>
      <c r="I201" s="5" t="inlineStr">
        <is>
          <t>Toilets</t>
        </is>
      </c>
      <c r="J201" s="5" t="inlineStr"/>
      <c r="K201" s="5" t="inlineStr">
        <is>
          <t>Master plan D001 (not a phone pin)</t>
        </is>
      </c>
      <c r="L201" s="7">
        <f>HYPERLINK("https://www.google.com/maps?q=-27.988183,153.430169","Open map")</f>
        <v/>
      </c>
      <c r="M201" s="5" t="inlineStr">
        <is>
          <t>on site</t>
        </is>
      </c>
      <c r="N201" s="5" t="n">
        <v>-27.988183</v>
      </c>
      <c r="O201" s="5" t="n">
        <v>153.430169</v>
      </c>
    </row>
    <row r="202">
      <c r="A202" s="2" t="inlineStr">
        <is>
          <t>WC60</t>
        </is>
      </c>
      <c r="B202" s="2" t="n">
        <v>1</v>
      </c>
      <c r="C202" s="3" t="inlineStr">
        <is>
          <t>1087500</t>
        </is>
      </c>
      <c r="D202" s="2" t="inlineStr">
        <is>
          <t>-27.985279, 153.430053</t>
        </is>
      </c>
      <c r="E202" s="2" t="inlineStr">
        <is>
          <t>Seaside north – between S21 and S22</t>
        </is>
      </c>
      <c r="F202" s="2" t="inlineStr">
        <is>
          <t>Toilet block 6m</t>
        </is>
      </c>
      <c r="G202" s="2" t="inlineStr">
        <is>
          <t>1 of 2</t>
        </is>
      </c>
      <c r="H202" s="2" t="inlineStr">
        <is>
          <t>Coates</t>
        </is>
      </c>
      <c r="I202" s="2" t="inlineStr">
        <is>
          <t>Toilets (Tank Mounted)</t>
        </is>
      </c>
      <c r="J202" s="2" t="inlineStr">
        <is>
          <t>S21</t>
        </is>
      </c>
      <c r="K202" s="2" t="inlineStr">
        <is>
          <t>Master plan D001 (not a phone pin)</t>
        </is>
      </c>
      <c r="L202" s="4">
        <f>HYPERLINK("https://www.google.com/maps?q=-27.985279,153.430053","Open map")</f>
        <v/>
      </c>
      <c r="M202" s="2" t="inlineStr">
        <is>
          <t>on site</t>
        </is>
      </c>
      <c r="N202" s="2" t="n">
        <v>-27.985279</v>
      </c>
      <c r="O202" s="2" t="n">
        <v>153.430053</v>
      </c>
    </row>
    <row r="203">
      <c r="A203" s="5" t="inlineStr">
        <is>
          <t>WC60</t>
        </is>
      </c>
      <c r="B203" s="5" t="n">
        <v>1</v>
      </c>
      <c r="C203" s="6" t="inlineStr">
        <is>
          <t>1119489</t>
        </is>
      </c>
      <c r="D203" s="5" t="inlineStr">
        <is>
          <t>-27.985279, 153.430053</t>
        </is>
      </c>
      <c r="E203" s="5" t="inlineStr">
        <is>
          <t>Seaside north – between S21 and S22</t>
        </is>
      </c>
      <c r="F203" s="5" t="inlineStr">
        <is>
          <t>Toilet block 6m</t>
        </is>
      </c>
      <c r="G203" s="5" t="inlineStr">
        <is>
          <t>2 of 2</t>
        </is>
      </c>
      <c r="H203" s="5" t="inlineStr">
        <is>
          <t>Coates</t>
        </is>
      </c>
      <c r="I203" s="5" t="inlineStr">
        <is>
          <t>Toilets (Tank Mounted)</t>
        </is>
      </c>
      <c r="J203" s="5" t="inlineStr">
        <is>
          <t>S21</t>
        </is>
      </c>
      <c r="K203" s="5" t="inlineStr">
        <is>
          <t>Master plan D001 (not a phone pin)</t>
        </is>
      </c>
      <c r="L203" s="7">
        <f>HYPERLINK("https://www.google.com/maps?q=-27.985279,153.430053","Open map")</f>
        <v/>
      </c>
      <c r="M203" s="5" t="inlineStr">
        <is>
          <t>on site</t>
        </is>
      </c>
      <c r="N203" s="5" t="n">
        <v>-27.985279</v>
      </c>
      <c r="O203" s="5" t="n">
        <v>153.430053</v>
      </c>
    </row>
    <row r="204">
      <c r="A204" s="2" t="inlineStr">
        <is>
          <t>WC61</t>
        </is>
      </c>
      <c r="B204" s="2" t="n">
        <v>1</v>
      </c>
      <c r="C204" s="3" t="inlineStr">
        <is>
          <t>0645</t>
        </is>
      </c>
      <c r="D204" s="2" t="inlineStr">
        <is>
          <t>-27.984122, 153.429824</t>
        </is>
      </c>
      <c r="E204" s="2" t="inlineStr">
        <is>
          <t>Seaside north – between S21 and S22</t>
        </is>
      </c>
      <c r="F204" s="2" t="inlineStr">
        <is>
          <t>FWF</t>
        </is>
      </c>
      <c r="G204" s="2" t="inlineStr">
        <is>
          <t>1 of 8</t>
        </is>
      </c>
      <c r="H204" s="2" t="inlineStr">
        <is>
          <t>Event Portables (sub-hire)</t>
        </is>
      </c>
      <c r="I204" s="2" t="inlineStr">
        <is>
          <t>Toilets</t>
        </is>
      </c>
      <c r="J204" s="2" t="inlineStr">
        <is>
          <t>S22A</t>
        </is>
      </c>
      <c r="K204" s="2" t="inlineStr">
        <is>
          <t>Master plan D001 (not a phone pin)</t>
        </is>
      </c>
      <c r="L204" s="4">
        <f>HYPERLINK("https://www.google.com/maps?q=-27.984122,153.429824","Open map")</f>
        <v/>
      </c>
      <c r="M204" s="2" t="inlineStr">
        <is>
          <t>on site</t>
        </is>
      </c>
      <c r="N204" s="2" t="n">
        <v>-27.984122</v>
      </c>
      <c r="O204" s="2" t="n">
        <v>153.429824</v>
      </c>
    </row>
    <row r="205">
      <c r="A205" s="5" t="inlineStr">
        <is>
          <t>WC61</t>
        </is>
      </c>
      <c r="B205" s="5" t="n">
        <v>1</v>
      </c>
      <c r="C205" s="6" t="inlineStr">
        <is>
          <t>0105</t>
        </is>
      </c>
      <c r="D205" s="5" t="inlineStr">
        <is>
          <t>-27.984122, 153.429824</t>
        </is>
      </c>
      <c r="E205" s="5" t="inlineStr">
        <is>
          <t>Seaside north – between S21 and S22</t>
        </is>
      </c>
      <c r="F205" s="5" t="inlineStr">
        <is>
          <t>FWF</t>
        </is>
      </c>
      <c r="G205" s="5" t="inlineStr">
        <is>
          <t>2 of 8</t>
        </is>
      </c>
      <c r="H205" s="5" t="inlineStr">
        <is>
          <t>Event Portables (sub-hire)</t>
        </is>
      </c>
      <c r="I205" s="5" t="inlineStr">
        <is>
          <t>Toilets</t>
        </is>
      </c>
      <c r="J205" s="5" t="inlineStr">
        <is>
          <t>S22A</t>
        </is>
      </c>
      <c r="K205" s="5" t="inlineStr">
        <is>
          <t>Master plan D001 (not a phone pin)</t>
        </is>
      </c>
      <c r="L205" s="7">
        <f>HYPERLINK("https://www.google.com/maps?q=-27.984122,153.429824","Open map")</f>
        <v/>
      </c>
      <c r="M205" s="5" t="inlineStr">
        <is>
          <t>on site</t>
        </is>
      </c>
      <c r="N205" s="5" t="n">
        <v>-27.984122</v>
      </c>
      <c r="O205" s="5" t="n">
        <v>153.429824</v>
      </c>
    </row>
    <row r="206">
      <c r="A206" s="2" t="inlineStr">
        <is>
          <t>WC61</t>
        </is>
      </c>
      <c r="B206" s="2" t="n">
        <v>1</v>
      </c>
      <c r="C206" s="3" t="inlineStr">
        <is>
          <t>0945</t>
        </is>
      </c>
      <c r="D206" s="2" t="inlineStr">
        <is>
          <t>-27.984122, 153.429824</t>
        </is>
      </c>
      <c r="E206" s="2" t="inlineStr">
        <is>
          <t>Seaside north – between S21 and S22</t>
        </is>
      </c>
      <c r="F206" s="2" t="inlineStr">
        <is>
          <t>FWF</t>
        </is>
      </c>
      <c r="G206" s="2" t="inlineStr">
        <is>
          <t>3 of 8</t>
        </is>
      </c>
      <c r="H206" s="2" t="inlineStr">
        <is>
          <t>Event Portables (sub-hire)</t>
        </is>
      </c>
      <c r="I206" s="2" t="inlineStr">
        <is>
          <t>Toilets</t>
        </is>
      </c>
      <c r="J206" s="2" t="inlineStr">
        <is>
          <t>S22A</t>
        </is>
      </c>
      <c r="K206" s="2" t="inlineStr">
        <is>
          <t>Master plan D001 (not a phone pin)</t>
        </is>
      </c>
      <c r="L206" s="4">
        <f>HYPERLINK("https://www.google.com/maps?q=-27.984122,153.429824","Open map")</f>
        <v/>
      </c>
      <c r="M206" s="2" t="inlineStr">
        <is>
          <t>on site</t>
        </is>
      </c>
      <c r="N206" s="2" t="n">
        <v>-27.984122</v>
      </c>
      <c r="O206" s="2" t="n">
        <v>153.429824</v>
      </c>
    </row>
    <row r="207">
      <c r="A207" s="5" t="inlineStr">
        <is>
          <t>WC61</t>
        </is>
      </c>
      <c r="B207" s="5" t="n">
        <v>1</v>
      </c>
      <c r="C207" s="6" t="inlineStr">
        <is>
          <t>0977</t>
        </is>
      </c>
      <c r="D207" s="5" t="inlineStr">
        <is>
          <t>-27.984122, 153.429824</t>
        </is>
      </c>
      <c r="E207" s="5" t="inlineStr">
        <is>
          <t>Seaside north – between S21 and S22</t>
        </is>
      </c>
      <c r="F207" s="5" t="inlineStr">
        <is>
          <t>FWF</t>
        </is>
      </c>
      <c r="G207" s="5" t="inlineStr">
        <is>
          <t>4 of 8</t>
        </is>
      </c>
      <c r="H207" s="5" t="inlineStr">
        <is>
          <t>Event Portables (sub-hire)</t>
        </is>
      </c>
      <c r="I207" s="5" t="inlineStr">
        <is>
          <t>Toilets</t>
        </is>
      </c>
      <c r="J207" s="5" t="inlineStr">
        <is>
          <t>S22A</t>
        </is>
      </c>
      <c r="K207" s="5" t="inlineStr">
        <is>
          <t>Master plan D001 (not a phone pin)</t>
        </is>
      </c>
      <c r="L207" s="7">
        <f>HYPERLINK("https://www.google.com/maps?q=-27.984122,153.429824","Open map")</f>
        <v/>
      </c>
      <c r="M207" s="5" t="inlineStr">
        <is>
          <t>on site</t>
        </is>
      </c>
      <c r="N207" s="5" t="n">
        <v>-27.984122</v>
      </c>
      <c r="O207" s="5" t="n">
        <v>153.429824</v>
      </c>
    </row>
    <row r="208">
      <c r="A208" s="2" t="inlineStr">
        <is>
          <t>WC61</t>
        </is>
      </c>
      <c r="B208" s="2" t="n">
        <v>1</v>
      </c>
      <c r="C208" s="3" t="inlineStr">
        <is>
          <t>0547</t>
        </is>
      </c>
      <c r="D208" s="2" t="inlineStr">
        <is>
          <t>-27.984122, 153.429824</t>
        </is>
      </c>
      <c r="E208" s="2" t="inlineStr">
        <is>
          <t>Seaside north – between S21 and S22</t>
        </is>
      </c>
      <c r="F208" s="2" t="inlineStr">
        <is>
          <t>FWF</t>
        </is>
      </c>
      <c r="G208" s="2" t="inlineStr">
        <is>
          <t>5 of 8</t>
        </is>
      </c>
      <c r="H208" s="2" t="inlineStr">
        <is>
          <t>Event Portables (sub-hire)</t>
        </is>
      </c>
      <c r="I208" s="2" t="inlineStr">
        <is>
          <t>Toilets</t>
        </is>
      </c>
      <c r="J208" s="2" t="inlineStr">
        <is>
          <t>S22A</t>
        </is>
      </c>
      <c r="K208" s="2" t="inlineStr">
        <is>
          <t>Master plan D001 (not a phone pin)</t>
        </is>
      </c>
      <c r="L208" s="4">
        <f>HYPERLINK("https://www.google.com/maps?q=-27.984122,153.429824","Open map")</f>
        <v/>
      </c>
      <c r="M208" s="2" t="inlineStr">
        <is>
          <t>on site</t>
        </is>
      </c>
      <c r="N208" s="2" t="n">
        <v>-27.984122</v>
      </c>
      <c r="O208" s="2" t="n">
        <v>153.429824</v>
      </c>
    </row>
    <row r="209">
      <c r="A209" s="5" t="inlineStr">
        <is>
          <t>WC61</t>
        </is>
      </c>
      <c r="B209" s="5" t="n">
        <v>1</v>
      </c>
      <c r="C209" s="6" t="inlineStr">
        <is>
          <t>0290</t>
        </is>
      </c>
      <c r="D209" s="5" t="inlineStr">
        <is>
          <t>-27.984122, 153.429824</t>
        </is>
      </c>
      <c r="E209" s="5" t="inlineStr">
        <is>
          <t>Seaside north – between S21 and S22</t>
        </is>
      </c>
      <c r="F209" s="5" t="inlineStr">
        <is>
          <t>FWF</t>
        </is>
      </c>
      <c r="G209" s="5" t="inlineStr">
        <is>
          <t>6 of 8</t>
        </is>
      </c>
      <c r="H209" s="5" t="inlineStr">
        <is>
          <t>Event Portables (sub-hire)</t>
        </is>
      </c>
      <c r="I209" s="5" t="inlineStr">
        <is>
          <t>Toilets</t>
        </is>
      </c>
      <c r="J209" s="5" t="inlineStr">
        <is>
          <t>S22A</t>
        </is>
      </c>
      <c r="K209" s="5" t="inlineStr">
        <is>
          <t>Master plan D001 (not a phone pin)</t>
        </is>
      </c>
      <c r="L209" s="7">
        <f>HYPERLINK("https://www.google.com/maps?q=-27.984122,153.429824","Open map")</f>
        <v/>
      </c>
      <c r="M209" s="5" t="inlineStr">
        <is>
          <t>on site</t>
        </is>
      </c>
      <c r="N209" s="5" t="n">
        <v>-27.984122</v>
      </c>
      <c r="O209" s="5" t="n">
        <v>153.429824</v>
      </c>
    </row>
    <row r="210">
      <c r="A210" s="2" t="inlineStr">
        <is>
          <t>WC61</t>
        </is>
      </c>
      <c r="B210" s="2" t="n">
        <v>1</v>
      </c>
      <c r="C210" s="3" t="inlineStr">
        <is>
          <t>0038</t>
        </is>
      </c>
      <c r="D210" s="2" t="inlineStr">
        <is>
          <t>-27.984122, 153.429824</t>
        </is>
      </c>
      <c r="E210" s="2" t="inlineStr">
        <is>
          <t>Seaside north – between S21 and S22</t>
        </is>
      </c>
      <c r="F210" s="2" t="inlineStr">
        <is>
          <t>FWF</t>
        </is>
      </c>
      <c r="G210" s="2" t="inlineStr">
        <is>
          <t>7 of 8</t>
        </is>
      </c>
      <c r="H210" s="2" t="inlineStr">
        <is>
          <t>Event Portables (sub-hire)</t>
        </is>
      </c>
      <c r="I210" s="2" t="inlineStr">
        <is>
          <t>Toilets</t>
        </is>
      </c>
      <c r="J210" s="2" t="inlineStr">
        <is>
          <t>S22A</t>
        </is>
      </c>
      <c r="K210" s="2" t="inlineStr">
        <is>
          <t>Master plan D001 (not a phone pin)</t>
        </is>
      </c>
      <c r="L210" s="4">
        <f>HYPERLINK("https://www.google.com/maps?q=-27.984122,153.429824","Open map")</f>
        <v/>
      </c>
      <c r="M210" s="2" t="inlineStr">
        <is>
          <t>on site</t>
        </is>
      </c>
      <c r="N210" s="2" t="n">
        <v>-27.984122</v>
      </c>
      <c r="O210" s="2" t="n">
        <v>153.429824</v>
      </c>
    </row>
    <row r="211">
      <c r="A211" s="5" t="inlineStr">
        <is>
          <t>WC61</t>
        </is>
      </c>
      <c r="B211" s="5" t="n">
        <v>1</v>
      </c>
      <c r="C211" s="6" t="inlineStr">
        <is>
          <t>0015</t>
        </is>
      </c>
      <c r="D211" s="5" t="inlineStr">
        <is>
          <t>-27.984122, 153.429824</t>
        </is>
      </c>
      <c r="E211" s="5" t="inlineStr">
        <is>
          <t>Seaside north – between S21 and S22</t>
        </is>
      </c>
      <c r="F211" s="5" t="inlineStr">
        <is>
          <t>FWF</t>
        </is>
      </c>
      <c r="G211" s="5" t="inlineStr">
        <is>
          <t>8 of 8</t>
        </is>
      </c>
      <c r="H211" s="5" t="inlineStr">
        <is>
          <t>Event Portables (sub-hire)</t>
        </is>
      </c>
      <c r="I211" s="5" t="inlineStr">
        <is>
          <t>Toilets</t>
        </is>
      </c>
      <c r="J211" s="5" t="inlineStr">
        <is>
          <t>S22A</t>
        </is>
      </c>
      <c r="K211" s="5" t="inlineStr">
        <is>
          <t>Master plan D001 (not a phone pin)</t>
        </is>
      </c>
      <c r="L211" s="7">
        <f>HYPERLINK("https://www.google.com/maps?q=-27.984122,153.429824","Open map")</f>
        <v/>
      </c>
      <c r="M211" s="5" t="inlineStr">
        <is>
          <t>on site</t>
        </is>
      </c>
      <c r="N211" s="5" t="n">
        <v>-27.984122</v>
      </c>
      <c r="O211" s="5" t="n">
        <v>153.429824</v>
      </c>
    </row>
    <row r="212">
      <c r="A212" s="2" t="inlineStr">
        <is>
          <t>WC62</t>
        </is>
      </c>
      <c r="B212" s="2" t="n">
        <v>1</v>
      </c>
      <c r="C212" s="3" t="inlineStr">
        <is>
          <t>0976</t>
        </is>
      </c>
      <c r="D212" s="2" t="inlineStr">
        <is>
          <t>-27.981667, 153.429218</t>
        </is>
      </c>
      <c r="E212" s="2" t="inlineStr"/>
      <c r="F212" s="2" t="inlineStr">
        <is>
          <t>FWF</t>
        </is>
      </c>
      <c r="G212" s="2" t="inlineStr">
        <is>
          <t>1 of 2</t>
        </is>
      </c>
      <c r="H212" s="2" t="inlineStr">
        <is>
          <t>Event Portables (sub-hire)</t>
        </is>
      </c>
      <c r="I212" s="2" t="inlineStr">
        <is>
          <t>Toilets</t>
        </is>
      </c>
      <c r="J212" s="2" t="inlineStr"/>
      <c r="K212" s="2" t="inlineStr">
        <is>
          <t>Master plan D001 (not a phone pin)</t>
        </is>
      </c>
      <c r="L212" s="4">
        <f>HYPERLINK("https://www.google.com/maps?q=-27.981667,153.429218","Open map")</f>
        <v/>
      </c>
      <c r="M212" s="2" t="inlineStr">
        <is>
          <t>on site</t>
        </is>
      </c>
      <c r="N212" s="2" t="n">
        <v>-27.981667</v>
      </c>
      <c r="O212" s="2" t="n">
        <v>153.429218</v>
      </c>
    </row>
    <row r="213">
      <c r="A213" s="5" t="inlineStr">
        <is>
          <t>WC62</t>
        </is>
      </c>
      <c r="B213" s="5" t="n">
        <v>1</v>
      </c>
      <c r="C213" s="6" t="inlineStr">
        <is>
          <t>0103</t>
        </is>
      </c>
      <c r="D213" s="5" t="inlineStr">
        <is>
          <t>-27.981667, 153.429218</t>
        </is>
      </c>
      <c r="E213" s="5" t="inlineStr"/>
      <c r="F213" s="5" t="inlineStr">
        <is>
          <t>FWF</t>
        </is>
      </c>
      <c r="G213" s="5" t="inlineStr">
        <is>
          <t>2 of 2</t>
        </is>
      </c>
      <c r="H213" s="5" t="inlineStr">
        <is>
          <t>Event Portables (sub-hire)</t>
        </is>
      </c>
      <c r="I213" s="5" t="inlineStr">
        <is>
          <t>Toilets</t>
        </is>
      </c>
      <c r="J213" s="5" t="inlineStr"/>
      <c r="K213" s="5" t="inlineStr">
        <is>
          <t>Master plan D001 (not a phone pin)</t>
        </is>
      </c>
      <c r="L213" s="7">
        <f>HYPERLINK("https://www.google.com/maps?q=-27.981667,153.429218","Open map")</f>
        <v/>
      </c>
      <c r="M213" s="5" t="inlineStr">
        <is>
          <t>on site</t>
        </is>
      </c>
      <c r="N213" s="5" t="n">
        <v>-27.981667</v>
      </c>
      <c r="O213" s="5" t="n">
        <v>153.429218</v>
      </c>
    </row>
    <row r="214">
      <c r="A214" s="2" t="inlineStr">
        <is>
          <t>WC65</t>
        </is>
      </c>
      <c r="B214" s="2" t="n">
        <v>1</v>
      </c>
      <c r="C214" s="3" t="inlineStr">
        <is>
          <t>0033</t>
        </is>
      </c>
      <c r="D214" s="2" t="inlineStr">
        <is>
          <t>-27.981478, 153.426408</t>
        </is>
      </c>
      <c r="E214" s="2" t="inlineStr">
        <is>
          <t>The Hill – entry point A47</t>
        </is>
      </c>
      <c r="F214" s="2" t="inlineStr">
        <is>
          <t>FWF</t>
        </is>
      </c>
      <c r="G214" s="2" t="inlineStr">
        <is>
          <t>1 of 1</t>
        </is>
      </c>
      <c r="H214" s="2" t="inlineStr">
        <is>
          <t>Event Portables (sub-hire)</t>
        </is>
      </c>
      <c r="I214" s="2" t="inlineStr">
        <is>
          <t>Toilets</t>
        </is>
      </c>
      <c r="J214" s="2" t="inlineStr"/>
      <c r="K214" s="2" t="inlineStr">
        <is>
          <t>Master plan D001 (not a phone pin)</t>
        </is>
      </c>
      <c r="L214" s="4">
        <f>HYPERLINK("https://www.google.com/maps?q=-27.981478,153.426408","Open map")</f>
        <v/>
      </c>
      <c r="M214" s="2" t="inlineStr">
        <is>
          <t>on site</t>
        </is>
      </c>
      <c r="N214" s="2" t="n">
        <v>-27.981478</v>
      </c>
      <c r="O214" s="2" t="n">
        <v>153.426408</v>
      </c>
    </row>
    <row r="215">
      <c r="A215" s="5" t="inlineStr">
        <is>
          <t>WC67</t>
        </is>
      </c>
      <c r="B215" s="5" t="n">
        <v>1</v>
      </c>
      <c r="C215" s="6" t="inlineStr">
        <is>
          <t>0793</t>
        </is>
      </c>
      <c r="D215" s="5" t="inlineStr">
        <is>
          <t>-27.981391, 153.424166</t>
        </is>
      </c>
      <c r="E215" s="5" t="inlineStr">
        <is>
          <t>Helen Park drop point (red dot)</t>
        </is>
      </c>
      <c r="F215" s="5" t="inlineStr">
        <is>
          <t>FWF</t>
        </is>
      </c>
      <c r="G215" s="5" t="inlineStr">
        <is>
          <t>1 of 2</t>
        </is>
      </c>
      <c r="H215" s="5" t="inlineStr">
        <is>
          <t>Event Portables (sub-hire)</t>
        </is>
      </c>
      <c r="I215" s="5" t="inlineStr">
        <is>
          <t>Toilets</t>
        </is>
      </c>
      <c r="J215" s="5" t="inlineStr">
        <is>
          <t>S23</t>
        </is>
      </c>
      <c r="K215" s="5" t="inlineStr">
        <is>
          <t>Master plan D001 (not a phone pin)</t>
        </is>
      </c>
      <c r="L215" s="7">
        <f>HYPERLINK("https://www.google.com/maps?q=-27.981391,153.424166","Open map")</f>
        <v/>
      </c>
      <c r="M215" s="5" t="inlineStr">
        <is>
          <t>on site</t>
        </is>
      </c>
      <c r="N215" s="5" t="n">
        <v>-27.981391</v>
      </c>
      <c r="O215" s="5" t="n">
        <v>153.424166</v>
      </c>
    </row>
    <row r="216">
      <c r="A216" s="2" t="inlineStr">
        <is>
          <t>WC67</t>
        </is>
      </c>
      <c r="B216" s="2" t="n">
        <v>1</v>
      </c>
      <c r="C216" s="3" t="inlineStr">
        <is>
          <t>0769</t>
        </is>
      </c>
      <c r="D216" s="2" t="inlineStr">
        <is>
          <t>-27.981391, 153.424166</t>
        </is>
      </c>
      <c r="E216" s="2" t="inlineStr">
        <is>
          <t>Helen Park drop point (red dot)</t>
        </is>
      </c>
      <c r="F216" s="2" t="inlineStr">
        <is>
          <t>FWF</t>
        </is>
      </c>
      <c r="G216" s="2" t="inlineStr">
        <is>
          <t>2 of 2</t>
        </is>
      </c>
      <c r="H216" s="2" t="inlineStr">
        <is>
          <t>Event Portables (sub-hire)</t>
        </is>
      </c>
      <c r="I216" s="2" t="inlineStr">
        <is>
          <t>Toilets</t>
        </is>
      </c>
      <c r="J216" s="2" t="inlineStr">
        <is>
          <t>S23</t>
        </is>
      </c>
      <c r="K216" s="2" t="inlineStr">
        <is>
          <t>Master plan D001 (not a phone pin)</t>
        </is>
      </c>
      <c r="L216" s="4">
        <f>HYPERLINK("https://www.google.com/maps?q=-27.981391,153.424166","Open map")</f>
        <v/>
      </c>
      <c r="M216" s="2" t="inlineStr">
        <is>
          <t>on site</t>
        </is>
      </c>
      <c r="N216" s="2" t="n">
        <v>-27.981391</v>
      </c>
      <c r="O216" s="2" t="n">
        <v>153.424166</v>
      </c>
    </row>
    <row r="217">
      <c r="A217" s="5" t="inlineStr">
        <is>
          <t>WC68</t>
        </is>
      </c>
      <c r="B217" s="5" t="n">
        <v>1</v>
      </c>
      <c r="C217" s="6" t="inlineStr">
        <is>
          <t>0426</t>
        </is>
      </c>
      <c r="D217" s="5" t="inlineStr">
        <is>
          <t>-27.981498, 153.424438</t>
        </is>
      </c>
      <c r="E217" s="5" t="inlineStr">
        <is>
          <t>Helen Park drop point (red dot)</t>
        </is>
      </c>
      <c r="F217" s="5" t="inlineStr">
        <is>
          <t>FWF</t>
        </is>
      </c>
      <c r="G217" s="5" t="inlineStr">
        <is>
          <t>1 of 1</t>
        </is>
      </c>
      <c r="H217" s="5" t="inlineStr">
        <is>
          <t>Event Portables (sub-hire)</t>
        </is>
      </c>
      <c r="I217" s="5" t="inlineStr">
        <is>
          <t>Toilets</t>
        </is>
      </c>
      <c r="J217" s="5" t="inlineStr">
        <is>
          <t>S23</t>
        </is>
      </c>
      <c r="K217" s="5" t="inlineStr">
        <is>
          <t>Master plan D001 (not a phone pin)</t>
        </is>
      </c>
      <c r="L217" s="7">
        <f>HYPERLINK("https://www.google.com/maps?q=-27.981498,153.424438","Open map")</f>
        <v/>
      </c>
      <c r="M217" s="5" t="inlineStr">
        <is>
          <t>on site</t>
        </is>
      </c>
      <c r="N217" s="5" t="n">
        <v>-27.981498</v>
      </c>
      <c r="O217" s="5" t="n">
        <v>153.424438</v>
      </c>
    </row>
    <row r="218">
      <c r="A218" s="2" t="inlineStr">
        <is>
          <t>WC69</t>
        </is>
      </c>
      <c r="B218" s="2" t="n">
        <v>1</v>
      </c>
      <c r="C218" s="3" t="inlineStr">
        <is>
          <t>0152</t>
        </is>
      </c>
      <c r="D218" s="2" t="inlineStr">
        <is>
          <t>-27.981496, 153.424162</t>
        </is>
      </c>
      <c r="E218" s="2" t="inlineStr">
        <is>
          <t>Helen Park drop point (red dot)</t>
        </is>
      </c>
      <c r="F218" s="2" t="inlineStr">
        <is>
          <t>FWF</t>
        </is>
      </c>
      <c r="G218" s="2" t="inlineStr">
        <is>
          <t>1 of 12</t>
        </is>
      </c>
      <c r="H218" s="2" t="inlineStr">
        <is>
          <t>Event Portables (sub-hire)</t>
        </is>
      </c>
      <c r="I218" s="2" t="inlineStr">
        <is>
          <t>Toilets</t>
        </is>
      </c>
      <c r="J218" s="2" t="inlineStr">
        <is>
          <t>S23</t>
        </is>
      </c>
      <c r="K218" s="2" t="inlineStr">
        <is>
          <t>Master plan D001 (not a phone pin)</t>
        </is>
      </c>
      <c r="L218" s="4">
        <f>HYPERLINK("https://www.google.com/maps?q=-27.981496,153.424162","Open map")</f>
        <v/>
      </c>
      <c r="M218" s="2" t="inlineStr">
        <is>
          <t>on site</t>
        </is>
      </c>
      <c r="N218" s="2" t="n">
        <v>-27.981496</v>
      </c>
      <c r="O218" s="2" t="n">
        <v>153.424162</v>
      </c>
    </row>
    <row r="219">
      <c r="A219" s="5" t="inlineStr">
        <is>
          <t>WC69</t>
        </is>
      </c>
      <c r="B219" s="5" t="n">
        <v>1</v>
      </c>
      <c r="C219" s="6" t="inlineStr">
        <is>
          <t>0078</t>
        </is>
      </c>
      <c r="D219" s="5" t="inlineStr">
        <is>
          <t>-27.981496, 153.424162</t>
        </is>
      </c>
      <c r="E219" s="5" t="inlineStr">
        <is>
          <t>Helen Park drop point (red dot)</t>
        </is>
      </c>
      <c r="F219" s="5" t="inlineStr">
        <is>
          <t>FWF</t>
        </is>
      </c>
      <c r="G219" s="5" t="inlineStr">
        <is>
          <t>2 of 12</t>
        </is>
      </c>
      <c r="H219" s="5" t="inlineStr">
        <is>
          <t>Event Portables (sub-hire)</t>
        </is>
      </c>
      <c r="I219" s="5" t="inlineStr">
        <is>
          <t>Toilets</t>
        </is>
      </c>
      <c r="J219" s="5" t="inlineStr">
        <is>
          <t>S23</t>
        </is>
      </c>
      <c r="K219" s="5" t="inlineStr">
        <is>
          <t>Master plan D001 (not a phone pin)</t>
        </is>
      </c>
      <c r="L219" s="7">
        <f>HYPERLINK("https://www.google.com/maps?q=-27.981496,153.424162","Open map")</f>
        <v/>
      </c>
      <c r="M219" s="5" t="inlineStr">
        <is>
          <t>on site</t>
        </is>
      </c>
      <c r="N219" s="5" t="n">
        <v>-27.981496</v>
      </c>
      <c r="O219" s="5" t="n">
        <v>153.424162</v>
      </c>
    </row>
    <row r="220">
      <c r="A220" s="2" t="inlineStr">
        <is>
          <t>WC69</t>
        </is>
      </c>
      <c r="B220" s="2" t="n">
        <v>1</v>
      </c>
      <c r="C220" s="3" t="inlineStr">
        <is>
          <t>0010</t>
        </is>
      </c>
      <c r="D220" s="2" t="inlineStr">
        <is>
          <t>-27.981496, 153.424162</t>
        </is>
      </c>
      <c r="E220" s="2" t="inlineStr">
        <is>
          <t>Helen Park drop point (red dot)</t>
        </is>
      </c>
      <c r="F220" s="2" t="inlineStr">
        <is>
          <t>FWF</t>
        </is>
      </c>
      <c r="G220" s="2" t="inlineStr">
        <is>
          <t>3 of 12</t>
        </is>
      </c>
      <c r="H220" s="2" t="inlineStr">
        <is>
          <t>Event Portables (sub-hire)</t>
        </is>
      </c>
      <c r="I220" s="2" t="inlineStr">
        <is>
          <t>Toilets</t>
        </is>
      </c>
      <c r="J220" s="2" t="inlineStr">
        <is>
          <t>S23</t>
        </is>
      </c>
      <c r="K220" s="2" t="inlineStr">
        <is>
          <t>Master plan D001 (not a phone pin)</t>
        </is>
      </c>
      <c r="L220" s="4">
        <f>HYPERLINK("https://www.google.com/maps?q=-27.981496,153.424162","Open map")</f>
        <v/>
      </c>
      <c r="M220" s="2" t="inlineStr">
        <is>
          <t>on site</t>
        </is>
      </c>
      <c r="N220" s="2" t="n">
        <v>-27.981496</v>
      </c>
      <c r="O220" s="2" t="n">
        <v>153.424162</v>
      </c>
    </row>
    <row r="221">
      <c r="A221" s="5" t="inlineStr">
        <is>
          <t>WC69</t>
        </is>
      </c>
      <c r="B221" s="5" t="n">
        <v>1</v>
      </c>
      <c r="C221" s="6" t="inlineStr">
        <is>
          <t>0070</t>
        </is>
      </c>
      <c r="D221" s="5" t="inlineStr">
        <is>
          <t>-27.981496, 153.424162</t>
        </is>
      </c>
      <c r="E221" s="5" t="inlineStr">
        <is>
          <t>Helen Park drop point (red dot)</t>
        </is>
      </c>
      <c r="F221" s="5" t="inlineStr">
        <is>
          <t>FWF</t>
        </is>
      </c>
      <c r="G221" s="5" t="inlineStr">
        <is>
          <t>4 of 12</t>
        </is>
      </c>
      <c r="H221" s="5" t="inlineStr">
        <is>
          <t>Event Portables (sub-hire)</t>
        </is>
      </c>
      <c r="I221" s="5" t="inlineStr">
        <is>
          <t>Toilets</t>
        </is>
      </c>
      <c r="J221" s="5" t="inlineStr">
        <is>
          <t>S23</t>
        </is>
      </c>
      <c r="K221" s="5" t="inlineStr">
        <is>
          <t>Master plan D001 (not a phone pin)</t>
        </is>
      </c>
      <c r="L221" s="7">
        <f>HYPERLINK("https://www.google.com/maps?q=-27.981496,153.424162","Open map")</f>
        <v/>
      </c>
      <c r="M221" s="5" t="inlineStr">
        <is>
          <t>on site</t>
        </is>
      </c>
      <c r="N221" s="5" t="n">
        <v>-27.981496</v>
      </c>
      <c r="O221" s="5" t="n">
        <v>153.424162</v>
      </c>
    </row>
    <row r="222">
      <c r="A222" s="2" t="inlineStr">
        <is>
          <t>WC69</t>
        </is>
      </c>
      <c r="B222" s="2" t="n">
        <v>1</v>
      </c>
      <c r="C222" s="3" t="inlineStr">
        <is>
          <t>0958</t>
        </is>
      </c>
      <c r="D222" s="2" t="inlineStr">
        <is>
          <t>-27.981496, 153.424162</t>
        </is>
      </c>
      <c r="E222" s="2" t="inlineStr">
        <is>
          <t>Helen Park drop point (red dot)</t>
        </is>
      </c>
      <c r="F222" s="2" t="inlineStr">
        <is>
          <t>FWF</t>
        </is>
      </c>
      <c r="G222" s="2" t="inlineStr">
        <is>
          <t>5 of 12</t>
        </is>
      </c>
      <c r="H222" s="2" t="inlineStr">
        <is>
          <t>Event Portables (sub-hire)</t>
        </is>
      </c>
      <c r="I222" s="2" t="inlineStr">
        <is>
          <t>Toilets</t>
        </is>
      </c>
      <c r="J222" s="2" t="inlineStr">
        <is>
          <t>S23</t>
        </is>
      </c>
      <c r="K222" s="2" t="inlineStr">
        <is>
          <t>Master plan D001 (not a phone pin)</t>
        </is>
      </c>
      <c r="L222" s="4">
        <f>HYPERLINK("https://www.google.com/maps?q=-27.981496,153.424162","Open map")</f>
        <v/>
      </c>
      <c r="M222" s="2" t="inlineStr">
        <is>
          <t>on site</t>
        </is>
      </c>
      <c r="N222" s="2" t="n">
        <v>-27.981496</v>
      </c>
      <c r="O222" s="2" t="n">
        <v>153.424162</v>
      </c>
    </row>
    <row r="223">
      <c r="A223" s="5" t="inlineStr">
        <is>
          <t>WC69</t>
        </is>
      </c>
      <c r="B223" s="5" t="n">
        <v>1</v>
      </c>
      <c r="C223" s="6" t="inlineStr">
        <is>
          <t>0647</t>
        </is>
      </c>
      <c r="D223" s="5" t="inlineStr">
        <is>
          <t>-27.981496, 153.424162</t>
        </is>
      </c>
      <c r="E223" s="5" t="inlineStr">
        <is>
          <t>Helen Park drop point (red dot)</t>
        </is>
      </c>
      <c r="F223" s="5" t="inlineStr">
        <is>
          <t>FWF</t>
        </is>
      </c>
      <c r="G223" s="5" t="inlineStr">
        <is>
          <t>6 of 12</t>
        </is>
      </c>
      <c r="H223" s="5" t="inlineStr">
        <is>
          <t>Event Portables (sub-hire)</t>
        </is>
      </c>
      <c r="I223" s="5" t="inlineStr">
        <is>
          <t>Toilets</t>
        </is>
      </c>
      <c r="J223" s="5" t="inlineStr">
        <is>
          <t>S23</t>
        </is>
      </c>
      <c r="K223" s="5" t="inlineStr">
        <is>
          <t>Master plan D001 (not a phone pin)</t>
        </is>
      </c>
      <c r="L223" s="7">
        <f>HYPERLINK("https://www.google.com/maps?q=-27.981496,153.424162","Open map")</f>
        <v/>
      </c>
      <c r="M223" s="5" t="inlineStr">
        <is>
          <t>on site</t>
        </is>
      </c>
      <c r="N223" s="5" t="n">
        <v>-27.981496</v>
      </c>
      <c r="O223" s="5" t="n">
        <v>153.424162</v>
      </c>
    </row>
    <row r="224">
      <c r="A224" s="2" t="inlineStr">
        <is>
          <t>WC69</t>
        </is>
      </c>
      <c r="B224" s="2" t="n">
        <v>1</v>
      </c>
      <c r="C224" s="3" t="inlineStr">
        <is>
          <t>0622</t>
        </is>
      </c>
      <c r="D224" s="2" t="inlineStr">
        <is>
          <t>-27.981496, 153.424162</t>
        </is>
      </c>
      <c r="E224" s="2" t="inlineStr">
        <is>
          <t>Helen Park drop point (red dot)</t>
        </is>
      </c>
      <c r="F224" s="2" t="inlineStr">
        <is>
          <t>FWF</t>
        </is>
      </c>
      <c r="G224" s="2" t="inlineStr">
        <is>
          <t>7 of 12</t>
        </is>
      </c>
      <c r="H224" s="2" t="inlineStr">
        <is>
          <t>Event Portables (sub-hire)</t>
        </is>
      </c>
      <c r="I224" s="2" t="inlineStr">
        <is>
          <t>Toilets</t>
        </is>
      </c>
      <c r="J224" s="2" t="inlineStr">
        <is>
          <t>S23</t>
        </is>
      </c>
      <c r="K224" s="2" t="inlineStr">
        <is>
          <t>Master plan D001 (not a phone pin)</t>
        </is>
      </c>
      <c r="L224" s="4">
        <f>HYPERLINK("https://www.google.com/maps?q=-27.981496,153.424162","Open map")</f>
        <v/>
      </c>
      <c r="M224" s="2" t="inlineStr">
        <is>
          <t>on site</t>
        </is>
      </c>
      <c r="N224" s="2" t="n">
        <v>-27.981496</v>
      </c>
      <c r="O224" s="2" t="n">
        <v>153.424162</v>
      </c>
    </row>
    <row r="225">
      <c r="A225" s="5" t="inlineStr">
        <is>
          <t>WC69</t>
        </is>
      </c>
      <c r="B225" s="5" t="n">
        <v>1</v>
      </c>
      <c r="C225" s="6" t="inlineStr">
        <is>
          <t>0123</t>
        </is>
      </c>
      <c r="D225" s="5" t="inlineStr">
        <is>
          <t>-27.981496, 153.424162</t>
        </is>
      </c>
      <c r="E225" s="5" t="inlineStr">
        <is>
          <t>Helen Park drop point (red dot)</t>
        </is>
      </c>
      <c r="F225" s="5" t="inlineStr">
        <is>
          <t>FWF</t>
        </is>
      </c>
      <c r="G225" s="5" t="inlineStr">
        <is>
          <t>8 of 12</t>
        </is>
      </c>
      <c r="H225" s="5" t="inlineStr">
        <is>
          <t>Event Portables (sub-hire)</t>
        </is>
      </c>
      <c r="I225" s="5" t="inlineStr">
        <is>
          <t>Toilets</t>
        </is>
      </c>
      <c r="J225" s="5" t="inlineStr">
        <is>
          <t>S23</t>
        </is>
      </c>
      <c r="K225" s="5" t="inlineStr">
        <is>
          <t>Master plan D001 (not a phone pin)</t>
        </is>
      </c>
      <c r="L225" s="7">
        <f>HYPERLINK("https://www.google.com/maps?q=-27.981496,153.424162","Open map")</f>
        <v/>
      </c>
      <c r="M225" s="5" t="inlineStr">
        <is>
          <t>on site</t>
        </is>
      </c>
      <c r="N225" s="5" t="n">
        <v>-27.981496</v>
      </c>
      <c r="O225" s="5" t="n">
        <v>153.424162</v>
      </c>
    </row>
    <row r="226">
      <c r="A226" s="2" t="inlineStr">
        <is>
          <t>WC69</t>
        </is>
      </c>
      <c r="B226" s="2" t="n">
        <v>1</v>
      </c>
      <c r="C226" s="3" t="inlineStr">
        <is>
          <t>0432</t>
        </is>
      </c>
      <c r="D226" s="2" t="inlineStr">
        <is>
          <t>-27.981496, 153.424162</t>
        </is>
      </c>
      <c r="E226" s="2" t="inlineStr">
        <is>
          <t>Helen Park drop point (red dot)</t>
        </is>
      </c>
      <c r="F226" s="2" t="inlineStr">
        <is>
          <t>FWF</t>
        </is>
      </c>
      <c r="G226" s="2" t="inlineStr">
        <is>
          <t>9 of 12</t>
        </is>
      </c>
      <c r="H226" s="2" t="inlineStr">
        <is>
          <t>Event Portables (sub-hire)</t>
        </is>
      </c>
      <c r="I226" s="2" t="inlineStr">
        <is>
          <t>Toilets</t>
        </is>
      </c>
      <c r="J226" s="2" t="inlineStr">
        <is>
          <t>S23</t>
        </is>
      </c>
      <c r="K226" s="2" t="inlineStr">
        <is>
          <t>Master plan D001 (not a phone pin)</t>
        </is>
      </c>
      <c r="L226" s="4">
        <f>HYPERLINK("https://www.google.com/maps?q=-27.981496,153.424162","Open map")</f>
        <v/>
      </c>
      <c r="M226" s="2" t="inlineStr">
        <is>
          <t>on site</t>
        </is>
      </c>
      <c r="N226" s="2" t="n">
        <v>-27.981496</v>
      </c>
      <c r="O226" s="2" t="n">
        <v>153.424162</v>
      </c>
    </row>
    <row r="227">
      <c r="A227" s="5" t="inlineStr">
        <is>
          <t>WC69</t>
        </is>
      </c>
      <c r="B227" s="5" t="n">
        <v>1</v>
      </c>
      <c r="C227" s="6" t="inlineStr">
        <is>
          <t>0692</t>
        </is>
      </c>
      <c r="D227" s="5" t="inlineStr">
        <is>
          <t>-27.981496, 153.424162</t>
        </is>
      </c>
      <c r="E227" s="5" t="inlineStr">
        <is>
          <t>Helen Park drop point (red dot)</t>
        </is>
      </c>
      <c r="F227" s="5" t="inlineStr">
        <is>
          <t>FWF</t>
        </is>
      </c>
      <c r="G227" s="5" t="inlineStr">
        <is>
          <t>10 of 12</t>
        </is>
      </c>
      <c r="H227" s="5" t="inlineStr">
        <is>
          <t>Event Portables (sub-hire)</t>
        </is>
      </c>
      <c r="I227" s="5" t="inlineStr">
        <is>
          <t>Toilets</t>
        </is>
      </c>
      <c r="J227" s="5" t="inlineStr">
        <is>
          <t>S23</t>
        </is>
      </c>
      <c r="K227" s="5" t="inlineStr">
        <is>
          <t>Master plan D001 (not a phone pin)</t>
        </is>
      </c>
      <c r="L227" s="7">
        <f>HYPERLINK("https://www.google.com/maps?q=-27.981496,153.424162","Open map")</f>
        <v/>
      </c>
      <c r="M227" s="5" t="inlineStr">
        <is>
          <t>on site</t>
        </is>
      </c>
      <c r="N227" s="5" t="n">
        <v>-27.981496</v>
      </c>
      <c r="O227" s="5" t="n">
        <v>153.424162</v>
      </c>
    </row>
    <row r="228">
      <c r="A228" s="2" t="inlineStr">
        <is>
          <t>WC69</t>
        </is>
      </c>
      <c r="B228" s="2" t="n">
        <v>1</v>
      </c>
      <c r="C228" s="3" t="inlineStr">
        <is>
          <t>0679</t>
        </is>
      </c>
      <c r="D228" s="2" t="inlineStr">
        <is>
          <t>-27.981496, 153.424162</t>
        </is>
      </c>
      <c r="E228" s="2" t="inlineStr">
        <is>
          <t>Helen Park drop point (red dot)</t>
        </is>
      </c>
      <c r="F228" s="2" t="inlineStr">
        <is>
          <t>FWF</t>
        </is>
      </c>
      <c r="G228" s="2" t="inlineStr">
        <is>
          <t>11 of 12</t>
        </is>
      </c>
      <c r="H228" s="2" t="inlineStr">
        <is>
          <t>Event Portables (sub-hire)</t>
        </is>
      </c>
      <c r="I228" s="2" t="inlineStr">
        <is>
          <t>Toilets</t>
        </is>
      </c>
      <c r="J228" s="2" t="inlineStr">
        <is>
          <t>S23</t>
        </is>
      </c>
      <c r="K228" s="2" t="inlineStr">
        <is>
          <t>Master plan D001 (not a phone pin)</t>
        </is>
      </c>
      <c r="L228" s="4">
        <f>HYPERLINK("https://www.google.com/maps?q=-27.981496,153.424162","Open map")</f>
        <v/>
      </c>
      <c r="M228" s="2" t="inlineStr">
        <is>
          <t>on site</t>
        </is>
      </c>
      <c r="N228" s="2" t="n">
        <v>-27.981496</v>
      </c>
      <c r="O228" s="2" t="n">
        <v>153.424162</v>
      </c>
    </row>
    <row r="229">
      <c r="A229" s="5" t="inlineStr">
        <is>
          <t>WC69</t>
        </is>
      </c>
      <c r="B229" s="5" t="n">
        <v>1</v>
      </c>
      <c r="C229" s="6" t="inlineStr">
        <is>
          <t>0592</t>
        </is>
      </c>
      <c r="D229" s="5" t="inlineStr">
        <is>
          <t>-27.981496, 153.424162</t>
        </is>
      </c>
      <c r="E229" s="5" t="inlineStr">
        <is>
          <t>Helen Park drop point (red dot)</t>
        </is>
      </c>
      <c r="F229" s="5" t="inlineStr">
        <is>
          <t>FWF</t>
        </is>
      </c>
      <c r="G229" s="5" t="inlineStr">
        <is>
          <t>12 of 12</t>
        </is>
      </c>
      <c r="H229" s="5" t="inlineStr">
        <is>
          <t>Event Portables (sub-hire)</t>
        </is>
      </c>
      <c r="I229" s="5" t="inlineStr">
        <is>
          <t>Toilets</t>
        </is>
      </c>
      <c r="J229" s="5" t="inlineStr">
        <is>
          <t>S23</t>
        </is>
      </c>
      <c r="K229" s="5" t="inlineStr">
        <is>
          <t>Master plan D001 (not a phone pin)</t>
        </is>
      </c>
      <c r="L229" s="7">
        <f>HYPERLINK("https://www.google.com/maps?q=-27.981496,153.424162","Open map")</f>
        <v/>
      </c>
      <c r="M229" s="5" t="inlineStr">
        <is>
          <t>on site</t>
        </is>
      </c>
      <c r="N229" s="5" t="n">
        <v>-27.981496</v>
      </c>
      <c r="O229" s="5" t="n">
        <v>153.424162</v>
      </c>
    </row>
    <row r="230">
      <c r="A230" s="2" t="inlineStr">
        <is>
          <t>WC70</t>
        </is>
      </c>
      <c r="B230" s="2" t="n">
        <v>1</v>
      </c>
      <c r="C230" s="3" t="inlineStr">
        <is>
          <t>0423</t>
        </is>
      </c>
      <c r="D230" s="2" t="inlineStr">
        <is>
          <t>-27.981659, 153.424041</t>
        </is>
      </c>
      <c r="E230" s="2" t="inlineStr">
        <is>
          <t>Helen Park drop point (red dot)</t>
        </is>
      </c>
      <c r="F230" s="2" t="inlineStr">
        <is>
          <t>FWF</t>
        </is>
      </c>
      <c r="G230" s="2" t="inlineStr">
        <is>
          <t>1 of 1</t>
        </is>
      </c>
      <c r="H230" s="2" t="inlineStr">
        <is>
          <t>Event Portables (sub-hire)</t>
        </is>
      </c>
      <c r="I230" s="2" t="inlineStr">
        <is>
          <t>Toilet</t>
        </is>
      </c>
      <c r="J230" s="2" t="inlineStr">
        <is>
          <t>S23</t>
        </is>
      </c>
      <c r="K230" s="2" t="inlineStr">
        <is>
          <t>Master plan D001 (not a phone pin)</t>
        </is>
      </c>
      <c r="L230" s="4">
        <f>HYPERLINK("https://www.google.com/maps?q=-27.981659,153.424041","Open map")</f>
        <v/>
      </c>
      <c r="M230" s="2" t="inlineStr">
        <is>
          <t>on site</t>
        </is>
      </c>
      <c r="N230" s="2" t="n">
        <v>-27.981659</v>
      </c>
      <c r="O230" s="2" t="n">
        <v>153.424041</v>
      </c>
    </row>
    <row r="231">
      <c r="A231" s="5" t="inlineStr">
        <is>
          <t>WC71</t>
        </is>
      </c>
      <c r="B231" s="5" t="n">
        <v>1</v>
      </c>
      <c r="C231" s="6" t="inlineStr">
        <is>
          <t>0280</t>
        </is>
      </c>
      <c r="D231" s="5" t="inlineStr">
        <is>
          <t>-27.981283, 153.423484</t>
        </is>
      </c>
      <c r="E231" s="5" t="inlineStr">
        <is>
          <t>Helen Park drop point (red dot)</t>
        </is>
      </c>
      <c r="F231" s="5" t="inlineStr">
        <is>
          <t>FWF</t>
        </is>
      </c>
      <c r="G231" s="5" t="inlineStr">
        <is>
          <t>1 of 8</t>
        </is>
      </c>
      <c r="H231" s="5" t="inlineStr">
        <is>
          <t>Event Portables (sub-hire)</t>
        </is>
      </c>
      <c r="I231" s="5" t="inlineStr">
        <is>
          <t>Toilets</t>
        </is>
      </c>
      <c r="J231" s="5" t="inlineStr">
        <is>
          <t>S23</t>
        </is>
      </c>
      <c r="K231" s="5" t="inlineStr">
        <is>
          <t>Master plan D001 (not a phone pin)</t>
        </is>
      </c>
      <c r="L231" s="7">
        <f>HYPERLINK("https://www.google.com/maps?q=-27.981283,153.423484","Open map")</f>
        <v/>
      </c>
      <c r="M231" s="5" t="inlineStr">
        <is>
          <t>on site</t>
        </is>
      </c>
      <c r="N231" s="5" t="n">
        <v>-27.981283</v>
      </c>
      <c r="O231" s="5" t="n">
        <v>153.423484</v>
      </c>
    </row>
    <row r="232">
      <c r="A232" s="2" t="inlineStr">
        <is>
          <t>WC71</t>
        </is>
      </c>
      <c r="B232" s="2" t="n">
        <v>1</v>
      </c>
      <c r="C232" s="3" t="inlineStr">
        <is>
          <t>0116</t>
        </is>
      </c>
      <c r="D232" s="2" t="inlineStr">
        <is>
          <t>-27.981283, 153.423484</t>
        </is>
      </c>
      <c r="E232" s="2" t="inlineStr">
        <is>
          <t>Helen Park drop point (red dot)</t>
        </is>
      </c>
      <c r="F232" s="2" t="inlineStr">
        <is>
          <t>FWF</t>
        </is>
      </c>
      <c r="G232" s="2" t="inlineStr">
        <is>
          <t>2 of 8</t>
        </is>
      </c>
      <c r="H232" s="2" t="inlineStr">
        <is>
          <t>Event Portables (sub-hire)</t>
        </is>
      </c>
      <c r="I232" s="2" t="inlineStr">
        <is>
          <t>Toilets</t>
        </is>
      </c>
      <c r="J232" s="2" t="inlineStr">
        <is>
          <t>S23</t>
        </is>
      </c>
      <c r="K232" s="2" t="inlineStr">
        <is>
          <t>Master plan D001 (not a phone pin)</t>
        </is>
      </c>
      <c r="L232" s="4">
        <f>HYPERLINK("https://www.google.com/maps?q=-27.981283,153.423484","Open map")</f>
        <v/>
      </c>
      <c r="M232" s="2" t="inlineStr">
        <is>
          <t>on site</t>
        </is>
      </c>
      <c r="N232" s="2" t="n">
        <v>-27.981283</v>
      </c>
      <c r="O232" s="2" t="n">
        <v>153.423484</v>
      </c>
    </row>
    <row r="233">
      <c r="A233" s="5" t="inlineStr">
        <is>
          <t>WC71</t>
        </is>
      </c>
      <c r="B233" s="5" t="n">
        <v>1</v>
      </c>
      <c r="C233" s="6" t="inlineStr">
        <is>
          <t>0279</t>
        </is>
      </c>
      <c r="D233" s="5" t="inlineStr">
        <is>
          <t>-27.981283, 153.423484</t>
        </is>
      </c>
      <c r="E233" s="5" t="inlineStr">
        <is>
          <t>Helen Park drop point (red dot)</t>
        </is>
      </c>
      <c r="F233" s="5" t="inlineStr">
        <is>
          <t>FWF</t>
        </is>
      </c>
      <c r="G233" s="5" t="inlineStr">
        <is>
          <t>3 of 8</t>
        </is>
      </c>
      <c r="H233" s="5" t="inlineStr">
        <is>
          <t>Event Portables (sub-hire)</t>
        </is>
      </c>
      <c r="I233" s="5" t="inlineStr">
        <is>
          <t>Toilets</t>
        </is>
      </c>
      <c r="J233" s="5" t="inlineStr">
        <is>
          <t>S23</t>
        </is>
      </c>
      <c r="K233" s="5" t="inlineStr">
        <is>
          <t>Master plan D001 (not a phone pin)</t>
        </is>
      </c>
      <c r="L233" s="7">
        <f>HYPERLINK("https://www.google.com/maps?q=-27.981283,153.423484","Open map")</f>
        <v/>
      </c>
      <c r="M233" s="5" t="inlineStr">
        <is>
          <t>on site</t>
        </is>
      </c>
      <c r="N233" s="5" t="n">
        <v>-27.981283</v>
      </c>
      <c r="O233" s="5" t="n">
        <v>153.423484</v>
      </c>
    </row>
    <row r="234">
      <c r="A234" s="2" t="inlineStr">
        <is>
          <t>WC71</t>
        </is>
      </c>
      <c r="B234" s="2" t="n">
        <v>1</v>
      </c>
      <c r="C234" s="3" t="inlineStr">
        <is>
          <t>0293</t>
        </is>
      </c>
      <c r="D234" s="2" t="inlineStr">
        <is>
          <t>-27.981283, 153.423484</t>
        </is>
      </c>
      <c r="E234" s="2" t="inlineStr">
        <is>
          <t>Helen Park drop point (red dot)</t>
        </is>
      </c>
      <c r="F234" s="2" t="inlineStr">
        <is>
          <t>FWF</t>
        </is>
      </c>
      <c r="G234" s="2" t="inlineStr">
        <is>
          <t>4 of 8</t>
        </is>
      </c>
      <c r="H234" s="2" t="inlineStr">
        <is>
          <t>Event Portables (sub-hire)</t>
        </is>
      </c>
      <c r="I234" s="2" t="inlineStr">
        <is>
          <t>Toilets</t>
        </is>
      </c>
      <c r="J234" s="2" t="inlineStr">
        <is>
          <t>S23</t>
        </is>
      </c>
      <c r="K234" s="2" t="inlineStr">
        <is>
          <t>Master plan D001 (not a phone pin)</t>
        </is>
      </c>
      <c r="L234" s="4">
        <f>HYPERLINK("https://www.google.com/maps?q=-27.981283,153.423484","Open map")</f>
        <v/>
      </c>
      <c r="M234" s="2" t="inlineStr">
        <is>
          <t>on site</t>
        </is>
      </c>
      <c r="N234" s="2" t="n">
        <v>-27.981283</v>
      </c>
      <c r="O234" s="2" t="n">
        <v>153.423484</v>
      </c>
    </row>
    <row r="235">
      <c r="A235" s="5" t="inlineStr">
        <is>
          <t>WC71</t>
        </is>
      </c>
      <c r="B235" s="5" t="n">
        <v>1</v>
      </c>
      <c r="C235" s="6" t="inlineStr">
        <is>
          <t>0531</t>
        </is>
      </c>
      <c r="D235" s="5" t="inlineStr">
        <is>
          <t>-27.981283, 153.423484</t>
        </is>
      </c>
      <c r="E235" s="5" t="inlineStr">
        <is>
          <t>Helen Park drop point (red dot)</t>
        </is>
      </c>
      <c r="F235" s="5" t="inlineStr">
        <is>
          <t>FWF</t>
        </is>
      </c>
      <c r="G235" s="5" t="inlineStr">
        <is>
          <t>5 of 8</t>
        </is>
      </c>
      <c r="H235" s="5" t="inlineStr">
        <is>
          <t>Event Portables (sub-hire)</t>
        </is>
      </c>
      <c r="I235" s="5" t="inlineStr">
        <is>
          <t>Toilets</t>
        </is>
      </c>
      <c r="J235" s="5" t="inlineStr">
        <is>
          <t>S23</t>
        </is>
      </c>
      <c r="K235" s="5" t="inlineStr">
        <is>
          <t>Master plan D001 (not a phone pin)</t>
        </is>
      </c>
      <c r="L235" s="7">
        <f>HYPERLINK("https://www.google.com/maps?q=-27.981283,153.423484","Open map")</f>
        <v/>
      </c>
      <c r="M235" s="5" t="inlineStr">
        <is>
          <t>on site</t>
        </is>
      </c>
      <c r="N235" s="5" t="n">
        <v>-27.981283</v>
      </c>
      <c r="O235" s="5" t="n">
        <v>153.423484</v>
      </c>
    </row>
    <row r="236">
      <c r="A236" s="2" t="inlineStr">
        <is>
          <t>WC71</t>
        </is>
      </c>
      <c r="B236" s="2" t="n">
        <v>1</v>
      </c>
      <c r="C236" s="3" t="inlineStr">
        <is>
          <t>0644</t>
        </is>
      </c>
      <c r="D236" s="2" t="inlineStr">
        <is>
          <t>-27.981283, 153.423484</t>
        </is>
      </c>
      <c r="E236" s="2" t="inlineStr">
        <is>
          <t>Helen Park drop point (red dot)</t>
        </is>
      </c>
      <c r="F236" s="2" t="inlineStr">
        <is>
          <t>FWF</t>
        </is>
      </c>
      <c r="G236" s="2" t="inlineStr">
        <is>
          <t>6 of 8</t>
        </is>
      </c>
      <c r="H236" s="2" t="inlineStr">
        <is>
          <t>Event Portables (sub-hire)</t>
        </is>
      </c>
      <c r="I236" s="2" t="inlineStr">
        <is>
          <t>Toilets</t>
        </is>
      </c>
      <c r="J236" s="2" t="inlineStr">
        <is>
          <t>S23</t>
        </is>
      </c>
      <c r="K236" s="2" t="inlineStr">
        <is>
          <t>Master plan D001 (not a phone pin)</t>
        </is>
      </c>
      <c r="L236" s="4">
        <f>HYPERLINK("https://www.google.com/maps?q=-27.981283,153.423484","Open map")</f>
        <v/>
      </c>
      <c r="M236" s="2" t="inlineStr">
        <is>
          <t>on site</t>
        </is>
      </c>
      <c r="N236" s="2" t="n">
        <v>-27.981283</v>
      </c>
      <c r="O236" s="2" t="n">
        <v>153.423484</v>
      </c>
    </row>
    <row r="237">
      <c r="A237" s="5" t="inlineStr">
        <is>
          <t>WC71</t>
        </is>
      </c>
      <c r="B237" s="5" t="n">
        <v>1</v>
      </c>
      <c r="C237" s="6" t="inlineStr">
        <is>
          <t>0552</t>
        </is>
      </c>
      <c r="D237" s="5" t="inlineStr">
        <is>
          <t>-27.981283, 153.423484</t>
        </is>
      </c>
      <c r="E237" s="5" t="inlineStr">
        <is>
          <t>Helen Park drop point (red dot)</t>
        </is>
      </c>
      <c r="F237" s="5" t="inlineStr">
        <is>
          <t>FWF</t>
        </is>
      </c>
      <c r="G237" s="5" t="inlineStr">
        <is>
          <t>7 of 8</t>
        </is>
      </c>
      <c r="H237" s="5" t="inlineStr">
        <is>
          <t>Event Portables (sub-hire)</t>
        </is>
      </c>
      <c r="I237" s="5" t="inlineStr">
        <is>
          <t>Toilets</t>
        </is>
      </c>
      <c r="J237" s="5" t="inlineStr">
        <is>
          <t>S23</t>
        </is>
      </c>
      <c r="K237" s="5" t="inlineStr">
        <is>
          <t>Master plan D001 (not a phone pin)</t>
        </is>
      </c>
      <c r="L237" s="7">
        <f>HYPERLINK("https://www.google.com/maps?q=-27.981283,153.423484","Open map")</f>
        <v/>
      </c>
      <c r="M237" s="5" t="inlineStr">
        <is>
          <t>on site</t>
        </is>
      </c>
      <c r="N237" s="5" t="n">
        <v>-27.981283</v>
      </c>
      <c r="O237" s="5" t="n">
        <v>153.423484</v>
      </c>
    </row>
    <row r="238">
      <c r="A238" s="2" t="inlineStr">
        <is>
          <t>WC71</t>
        </is>
      </c>
      <c r="B238" s="2" t="n">
        <v>1</v>
      </c>
      <c r="C238" s="3" t="inlineStr">
        <is>
          <t>0490</t>
        </is>
      </c>
      <c r="D238" s="2" t="inlineStr">
        <is>
          <t>-27.981283, 153.423484</t>
        </is>
      </c>
      <c r="E238" s="2" t="inlineStr">
        <is>
          <t>Helen Park drop point (red dot)</t>
        </is>
      </c>
      <c r="F238" s="2" t="inlineStr">
        <is>
          <t>FWF</t>
        </is>
      </c>
      <c r="G238" s="2" t="inlineStr">
        <is>
          <t>8 of 8</t>
        </is>
      </c>
      <c r="H238" s="2" t="inlineStr">
        <is>
          <t>Event Portables (sub-hire)</t>
        </is>
      </c>
      <c r="I238" s="2" t="inlineStr">
        <is>
          <t>Toilets</t>
        </is>
      </c>
      <c r="J238" s="2" t="inlineStr">
        <is>
          <t>S23</t>
        </is>
      </c>
      <c r="K238" s="2" t="inlineStr">
        <is>
          <t>Master plan D001 (not a phone pin)</t>
        </is>
      </c>
      <c r="L238" s="4">
        <f>HYPERLINK("https://www.google.com/maps?q=-27.981283,153.423484","Open map")</f>
        <v/>
      </c>
      <c r="M238" s="2" t="inlineStr">
        <is>
          <t>on site</t>
        </is>
      </c>
      <c r="N238" s="2" t="n">
        <v>-27.981283</v>
      </c>
      <c r="O238" s="2" t="n">
        <v>153.423484</v>
      </c>
    </row>
    <row r="239">
      <c r="A239" s="5" t="inlineStr">
        <is>
          <t>WC72</t>
        </is>
      </c>
      <c r="B239" s="5" t="n">
        <v>1</v>
      </c>
      <c r="C239" s="6" t="inlineStr">
        <is>
          <t>0699</t>
        </is>
      </c>
      <c r="D239" s="5" t="inlineStr">
        <is>
          <t>-27.982129, 153.424007</t>
        </is>
      </c>
      <c r="E239" s="5" t="inlineStr">
        <is>
          <t>Helen Park drop point (red dot)</t>
        </is>
      </c>
      <c r="F239" s="5" t="inlineStr">
        <is>
          <t>FWF</t>
        </is>
      </c>
      <c r="G239" s="5" t="inlineStr">
        <is>
          <t>1 of 1</t>
        </is>
      </c>
      <c r="H239" s="5" t="inlineStr">
        <is>
          <t>Event Portables (sub-hire)</t>
        </is>
      </c>
      <c r="I239" s="5" t="inlineStr">
        <is>
          <t>Toilets</t>
        </is>
      </c>
      <c r="J239" s="5" t="inlineStr">
        <is>
          <t>S23</t>
        </is>
      </c>
      <c r="K239" s="5" t="inlineStr">
        <is>
          <t>Master plan D001 (not a phone pin)</t>
        </is>
      </c>
      <c r="L239" s="7">
        <f>HYPERLINK("https://www.google.com/maps?q=-27.982129,153.424007","Open map")</f>
        <v/>
      </c>
      <c r="M239" s="5" t="inlineStr">
        <is>
          <t>on site</t>
        </is>
      </c>
      <c r="N239" s="5" t="n">
        <v>-27.982129</v>
      </c>
      <c r="O239" s="5" t="n">
        <v>153.424007</v>
      </c>
    </row>
    <row r="240">
      <c r="A240" s="2" t="inlineStr">
        <is>
          <t>WC73</t>
        </is>
      </c>
      <c r="B240" s="2" t="n">
        <v>1</v>
      </c>
      <c r="C240" s="3" t="inlineStr">
        <is>
          <t>0765</t>
        </is>
      </c>
      <c r="D240" s="2" t="inlineStr">
        <is>
          <t>-27.986961, 153.428102</t>
        </is>
      </c>
      <c r="E240" s="2" t="inlineStr">
        <is>
          <t>Island north – by FREIGHT</t>
        </is>
      </c>
      <c r="F240" s="2" t="inlineStr">
        <is>
          <t>FWF</t>
        </is>
      </c>
      <c r="G240" s="2" t="inlineStr">
        <is>
          <t>1 of 2</t>
        </is>
      </c>
      <c r="H240" s="2" t="inlineStr">
        <is>
          <t>Event Portables (sub-hire)</t>
        </is>
      </c>
      <c r="I240" s="2" t="inlineStr">
        <is>
          <t>Toilets</t>
        </is>
      </c>
      <c r="J240" s="2" t="inlineStr">
        <is>
          <t>S02</t>
        </is>
      </c>
      <c r="K240" s="2" t="inlineStr">
        <is>
          <t>Master plan D001 (not a phone pin)</t>
        </is>
      </c>
      <c r="L240" s="4">
        <f>HYPERLINK("https://www.google.com/maps?q=-27.986961,153.428102","Open map")</f>
        <v/>
      </c>
      <c r="M240" s="2" t="inlineStr">
        <is>
          <t>on site</t>
        </is>
      </c>
      <c r="N240" s="2" t="n">
        <v>-27.986961</v>
      </c>
      <c r="O240" s="2" t="n">
        <v>153.428102</v>
      </c>
    </row>
    <row r="241">
      <c r="A241" s="5" t="inlineStr">
        <is>
          <t>WC73</t>
        </is>
      </c>
      <c r="B241" s="5" t="n">
        <v>1</v>
      </c>
      <c r="C241" s="6" t="inlineStr">
        <is>
          <t>0192</t>
        </is>
      </c>
      <c r="D241" s="5" t="inlineStr">
        <is>
          <t>-27.986961, 153.428102</t>
        </is>
      </c>
      <c r="E241" s="5" t="inlineStr">
        <is>
          <t>Island north – by FREIGHT</t>
        </is>
      </c>
      <c r="F241" s="5" t="inlineStr">
        <is>
          <t>FWF</t>
        </is>
      </c>
      <c r="G241" s="5" t="inlineStr">
        <is>
          <t>2 of 2</t>
        </is>
      </c>
      <c r="H241" s="5" t="inlineStr">
        <is>
          <t>Event Portables (sub-hire)</t>
        </is>
      </c>
      <c r="I241" s="5" t="inlineStr">
        <is>
          <t>Toilets</t>
        </is>
      </c>
      <c r="J241" s="5" t="inlineStr">
        <is>
          <t>S02</t>
        </is>
      </c>
      <c r="K241" s="5" t="inlineStr">
        <is>
          <t>Master plan D001 (not a phone pin)</t>
        </is>
      </c>
      <c r="L241" s="7">
        <f>HYPERLINK("https://www.google.com/maps?q=-27.986961,153.428102","Open map")</f>
        <v/>
      </c>
      <c r="M241" s="5" t="inlineStr">
        <is>
          <t>on site</t>
        </is>
      </c>
      <c r="N241" s="5" t="n">
        <v>-27.986961</v>
      </c>
      <c r="O241" s="5" t="n">
        <v>153.428102</v>
      </c>
    </row>
    <row r="242">
      <c r="A242" s="2" t="inlineStr">
        <is>
          <t>WC81</t>
        </is>
      </c>
      <c r="B242" s="2" t="n">
        <v>1</v>
      </c>
      <c r="C242" s="3" t="inlineStr">
        <is>
          <t>0124</t>
        </is>
      </c>
      <c r="D242" s="2" t="inlineStr">
        <is>
          <t>-27.997509, 153.428455</t>
        </is>
      </c>
      <c r="E242" s="2" t="inlineStr"/>
      <c r="F242" s="2" t="inlineStr">
        <is>
          <t>FWF</t>
        </is>
      </c>
      <c r="G242" s="2" t="inlineStr">
        <is>
          <t>1 of 1</t>
        </is>
      </c>
      <c r="H242" s="2" t="inlineStr">
        <is>
          <t>Event Portables (sub-hire)</t>
        </is>
      </c>
      <c r="I242" s="2" t="inlineStr">
        <is>
          <t>Toilet (Cypress)</t>
        </is>
      </c>
      <c r="J242" s="2" t="inlineStr"/>
      <c r="K242" s="2" t="inlineStr">
        <is>
          <t>Master plan D001 (not a phone pin)</t>
        </is>
      </c>
      <c r="L242" s="4">
        <f>HYPERLINK("https://www.google.com/maps?q=-27.997509,153.428455","Open map")</f>
        <v/>
      </c>
      <c r="M242" s="2" t="inlineStr">
        <is>
          <t>on site</t>
        </is>
      </c>
      <c r="N242" s="2" t="n">
        <v>-27.997509</v>
      </c>
      <c r="O242" s="2" t="n">
        <v>153.428455</v>
      </c>
    </row>
    <row r="243">
      <c r="A243" s="5" t="inlineStr">
        <is>
          <t>WC85</t>
        </is>
      </c>
      <c r="B243" s="5" t="n">
        <v>1</v>
      </c>
      <c r="C243" s="6" t="inlineStr">
        <is>
          <t>0135</t>
        </is>
      </c>
      <c r="D243" s="5" t="inlineStr"/>
      <c r="E243" s="5" t="inlineStr"/>
      <c r="F243" s="5" t="inlineStr">
        <is>
          <t>FWF</t>
        </is>
      </c>
      <c r="G243" s="5" t="inlineStr">
        <is>
          <t>1 of 1</t>
        </is>
      </c>
      <c r="H243" s="5" t="inlineStr">
        <is>
          <t>Event Portables (sub-hire)</t>
        </is>
      </c>
      <c r="I243" s="5" t="inlineStr">
        <is>
          <t>Toilets</t>
        </is>
      </c>
      <c r="J243" s="5" t="inlineStr"/>
      <c r="K243" s="5" t="inlineStr"/>
      <c r="L243" s="5" t="n"/>
      <c r="M243" s="5" t="inlineStr">
        <is>
          <t>on site</t>
        </is>
      </c>
      <c r="N243" s="5" t="n"/>
      <c r="O243" s="5" t="n"/>
    </row>
    <row r="244">
      <c r="A244" s="2" t="inlineStr">
        <is>
          <t>WC86</t>
        </is>
      </c>
      <c r="B244" s="2" t="n">
        <v>1</v>
      </c>
      <c r="C244" s="3" t="inlineStr">
        <is>
          <t>1296899</t>
        </is>
      </c>
      <c r="D244" s="2" t="inlineStr">
        <is>
          <t>-27.987704, 153.428229</t>
        </is>
      </c>
      <c r="E244" s="2" t="inlineStr">
        <is>
          <t>Island north – by FREIGHT</t>
        </is>
      </c>
      <c r="F244" s="2" t="inlineStr">
        <is>
          <t>Accessible toilet</t>
        </is>
      </c>
      <c r="G244" s="2" t="inlineStr">
        <is>
          <t>1 of 1</t>
        </is>
      </c>
      <c r="H244" s="2" t="inlineStr">
        <is>
          <t>Coates</t>
        </is>
      </c>
      <c r="I244" s="2" t="inlineStr">
        <is>
          <t>Toilet</t>
        </is>
      </c>
      <c r="J244" s="2" t="inlineStr">
        <is>
          <t>S04</t>
        </is>
      </c>
      <c r="K244" s="2" t="inlineStr">
        <is>
          <t>Master plan D001 (not a phone pin)</t>
        </is>
      </c>
      <c r="L244" s="4">
        <f>HYPERLINK("https://www.google.com/maps?q=-27.987704,153.428229","Open map")</f>
        <v/>
      </c>
      <c r="M244" s="2" t="inlineStr">
        <is>
          <t>on site</t>
        </is>
      </c>
      <c r="N244" s="2" t="n">
        <v>-27.987704</v>
      </c>
      <c r="O244" s="2" t="n">
        <v>153.428229</v>
      </c>
    </row>
    <row r="245">
      <c r="A245" s="5" t="inlineStr">
        <is>
          <t>WC100</t>
        </is>
      </c>
      <c r="B245" s="5" t="n">
        <v>1</v>
      </c>
      <c r="C245" s="6" t="inlineStr">
        <is>
          <t>1248439</t>
        </is>
      </c>
      <c r="D245" s="5" t="inlineStr"/>
      <c r="E245" s="5" t="inlineStr"/>
      <c r="F245" s="5" t="inlineStr">
        <is>
          <t>FWF trailer</t>
        </is>
      </c>
      <c r="G245" s="5" t="inlineStr">
        <is>
          <t>1 of 2</t>
        </is>
      </c>
      <c r="H245" s="5" t="inlineStr">
        <is>
          <t>Coates</t>
        </is>
      </c>
      <c r="I245" s="5" t="inlineStr"/>
      <c r="J245" s="5" t="inlineStr"/>
      <c r="K245" s="5" t="inlineStr"/>
      <c r="L245" s="5" t="n"/>
      <c r="M245" s="5" t="inlineStr">
        <is>
          <t>on site</t>
        </is>
      </c>
      <c r="N245" s="5" t="n"/>
      <c r="O245" s="5" t="n"/>
    </row>
    <row r="246">
      <c r="A246" s="2" t="inlineStr">
        <is>
          <t>WC100</t>
        </is>
      </c>
      <c r="B246" s="2" t="n">
        <v>1</v>
      </c>
      <c r="C246" s="3" t="inlineStr">
        <is>
          <t>1288823</t>
        </is>
      </c>
      <c r="D246" s="2" t="inlineStr"/>
      <c r="E246" s="2" t="inlineStr"/>
      <c r="F246" s="2" t="inlineStr">
        <is>
          <t>FWF trailer</t>
        </is>
      </c>
      <c r="G246" s="2" t="inlineStr">
        <is>
          <t>2 of 2</t>
        </is>
      </c>
      <c r="H246" s="2" t="inlineStr">
        <is>
          <t>Coates</t>
        </is>
      </c>
      <c r="I246" s="2" t="inlineStr"/>
      <c r="J246" s="2" t="inlineStr"/>
      <c r="K246" s="2" t="inlineStr"/>
      <c r="L246" s="2" t="n"/>
      <c r="M246" s="2" t="inlineStr">
        <is>
          <t>on site</t>
        </is>
      </c>
      <c r="N246" s="2" t="n"/>
      <c r="O246" s="2" t="n"/>
    </row>
    <row r="247">
      <c r="A247" s="5" t="inlineStr">
        <is>
          <t>PG01</t>
        </is>
      </c>
      <c r="B247" s="5" t="n">
        <v>1</v>
      </c>
      <c r="C247" s="6" t="inlineStr">
        <is>
          <t>0285</t>
        </is>
      </c>
      <c r="D247" s="5" t="inlineStr"/>
      <c r="E247" s="5" t="inlineStr">
        <is>
          <t>Pit lane entry</t>
        </is>
      </c>
      <c r="F247" s="5" t="inlineStr">
        <is>
          <t>FWF</t>
        </is>
      </c>
      <c r="G247" s="5" t="inlineStr">
        <is>
          <t>1 of 1</t>
        </is>
      </c>
      <c r="H247" s="5" t="inlineStr">
        <is>
          <t>Event Portables (sub-hire)</t>
        </is>
      </c>
      <c r="I247" s="5" t="inlineStr">
        <is>
          <t>Toilet (Pit Garage)</t>
        </is>
      </c>
      <c r="J247" s="5" t="inlineStr">
        <is>
          <t>S01</t>
        </is>
      </c>
      <c r="K247" s="5" t="inlineStr"/>
      <c r="L247" s="5" t="n"/>
      <c r="M247" s="5" t="inlineStr">
        <is>
          <t>on site</t>
        </is>
      </c>
      <c r="N247" s="5" t="n"/>
      <c r="O247" s="5" t="n"/>
    </row>
    <row r="248">
      <c r="A248" s="2" t="inlineStr">
        <is>
          <t>PG03</t>
        </is>
      </c>
      <c r="B248" s="2" t="n">
        <v>1</v>
      </c>
      <c r="C248" s="3" t="inlineStr">
        <is>
          <t>0100</t>
        </is>
      </c>
      <c r="D248" s="2" t="inlineStr"/>
      <c r="E248" s="2" t="inlineStr">
        <is>
          <t>Pit lane entry</t>
        </is>
      </c>
      <c r="F248" s="2" t="inlineStr">
        <is>
          <t>FWF</t>
        </is>
      </c>
      <c r="G248" s="2" t="inlineStr">
        <is>
          <t>1 of 1</t>
        </is>
      </c>
      <c r="H248" s="2" t="inlineStr">
        <is>
          <t>Event Portables (sub-hire)</t>
        </is>
      </c>
      <c r="I248" s="2" t="inlineStr">
        <is>
          <t>Toilet (Pit Garage)</t>
        </is>
      </c>
      <c r="J248" s="2" t="inlineStr">
        <is>
          <t>S01</t>
        </is>
      </c>
      <c r="K248" s="2" t="inlineStr"/>
      <c r="L248" s="2" t="n"/>
      <c r="M248" s="2" t="inlineStr">
        <is>
          <t>on site</t>
        </is>
      </c>
      <c r="N248" s="2" t="n"/>
      <c r="O248" s="2" t="n"/>
    </row>
    <row r="249">
      <c r="A249" s="5" t="inlineStr">
        <is>
          <t>PG05</t>
        </is>
      </c>
      <c r="B249" s="5" t="n">
        <v>1</v>
      </c>
      <c r="C249" s="6" t="inlineStr">
        <is>
          <t>0438</t>
        </is>
      </c>
      <c r="D249" s="5" t="inlineStr"/>
      <c r="E249" s="5" t="inlineStr">
        <is>
          <t>Pit lane entry</t>
        </is>
      </c>
      <c r="F249" s="5" t="inlineStr">
        <is>
          <t>FWF</t>
        </is>
      </c>
      <c r="G249" s="5" t="inlineStr">
        <is>
          <t>1 of 1</t>
        </is>
      </c>
      <c r="H249" s="5" t="inlineStr">
        <is>
          <t>Event Portables (sub-hire)</t>
        </is>
      </c>
      <c r="I249" s="5" t="inlineStr">
        <is>
          <t>Toilet (Pit Garage)</t>
        </is>
      </c>
      <c r="J249" s="5" t="inlineStr">
        <is>
          <t>S01</t>
        </is>
      </c>
      <c r="K249" s="5" t="inlineStr"/>
      <c r="L249" s="5" t="n"/>
      <c r="M249" s="5" t="inlineStr">
        <is>
          <t>on site</t>
        </is>
      </c>
      <c r="N249" s="5" t="n"/>
      <c r="O249" s="5" t="n"/>
    </row>
    <row r="250">
      <c r="A250" s="2" t="inlineStr">
        <is>
          <t>PG29</t>
        </is>
      </c>
      <c r="B250" s="2" t="n">
        <v>1</v>
      </c>
      <c r="C250" s="3" t="inlineStr">
        <is>
          <t>0573</t>
        </is>
      </c>
      <c r="D250" s="2" t="inlineStr"/>
      <c r="E250" s="2" t="inlineStr">
        <is>
          <t>Pit lane entry</t>
        </is>
      </c>
      <c r="F250" s="2" t="inlineStr">
        <is>
          <t>FWF</t>
        </is>
      </c>
      <c r="G250" s="2" t="inlineStr">
        <is>
          <t>1 of 1</t>
        </is>
      </c>
      <c r="H250" s="2" t="inlineStr">
        <is>
          <t>Event Portables (sub-hire)</t>
        </is>
      </c>
      <c r="I250" s="2" t="inlineStr">
        <is>
          <t>Toilet (Pit Garage)</t>
        </is>
      </c>
      <c r="J250" s="2" t="inlineStr">
        <is>
          <t>S01</t>
        </is>
      </c>
      <c r="K250" s="2" t="inlineStr"/>
      <c r="L250" s="2" t="n"/>
      <c r="M250" s="2" t="inlineStr">
        <is>
          <t>on site</t>
        </is>
      </c>
      <c r="N250" s="2" t="n"/>
      <c r="O250" s="2" t="n"/>
    </row>
    <row r="251">
      <c r="A251" s="5" t="inlineStr">
        <is>
          <t>T0024</t>
        </is>
      </c>
      <c r="B251" s="5" t="n">
        <v>1</v>
      </c>
      <c r="C251" s="6" t="inlineStr">
        <is>
          <t>1211968</t>
        </is>
      </c>
      <c r="D251" s="5" t="inlineStr"/>
      <c r="E251" s="5" t="inlineStr"/>
      <c r="F251" s="5" t="inlineStr">
        <is>
          <t>FWF</t>
        </is>
      </c>
      <c r="G251" s="5" t="inlineStr">
        <is>
          <t>1 of 1</t>
        </is>
      </c>
      <c r="H251" s="5" t="inlineStr">
        <is>
          <t>Coates</t>
        </is>
      </c>
      <c r="I251" s="5" t="inlineStr">
        <is>
          <t>FWF</t>
        </is>
      </c>
      <c r="J251" s="5" t="inlineStr"/>
      <c r="K251" s="5" t="inlineStr"/>
      <c r="L251" s="5" t="n"/>
      <c r="M251" s="5" t="inlineStr"/>
      <c r="N251" s="5" t="n"/>
      <c r="O251" s="5" t="n"/>
    </row>
    <row r="252">
      <c r="A252" s="2" t="inlineStr">
        <is>
          <t>T0162</t>
        </is>
      </c>
      <c r="B252" s="2" t="n">
        <v>1</v>
      </c>
      <c r="C252" s="3" t="inlineStr">
        <is>
          <t>0990</t>
        </is>
      </c>
      <c r="D252" s="2" t="inlineStr"/>
      <c r="E252" s="2" t="inlineStr"/>
      <c r="F252" s="2" t="inlineStr">
        <is>
          <t>FWF</t>
        </is>
      </c>
      <c r="G252" s="2" t="inlineStr">
        <is>
          <t>1 of 1</t>
        </is>
      </c>
      <c r="H252" s="2" t="inlineStr">
        <is>
          <t>Event Portables (sub-hire)</t>
        </is>
      </c>
      <c r="I252" s="2" t="inlineStr">
        <is>
          <t>FWF · Blanchard Race</t>
        </is>
      </c>
      <c r="J252" s="2" t="inlineStr"/>
      <c r="K252" s="2" t="inlineStr"/>
      <c r="L252" s="2" t="n"/>
      <c r="M252" s="2" t="inlineStr">
        <is>
          <t>on site</t>
        </is>
      </c>
      <c r="N252" s="2" t="n"/>
      <c r="O252" s="2" t="n"/>
    </row>
    <row r="253">
      <c r="A253" s="5" t="inlineStr">
        <is>
          <t>T0176</t>
        </is>
      </c>
      <c r="B253" s="5" t="n">
        <v>1</v>
      </c>
      <c r="C253" s="6" t="inlineStr">
        <is>
          <t>0994</t>
        </is>
      </c>
      <c r="D253" s="5" t="inlineStr"/>
      <c r="E253" s="5" t="inlineStr"/>
      <c r="F253" s="5" t="inlineStr">
        <is>
          <t>FWF</t>
        </is>
      </c>
      <c r="G253" s="5" t="inlineStr">
        <is>
          <t>1 of 2</t>
        </is>
      </c>
      <c r="H253" s="5" t="inlineStr">
        <is>
          <t>Event Portables (sub-hire)</t>
        </is>
      </c>
      <c r="I253" s="5" t="inlineStr">
        <is>
          <t>FWF × 2 · Redbull</t>
        </is>
      </c>
      <c r="J253" s="5" t="inlineStr"/>
      <c r="K253" s="5" t="inlineStr"/>
      <c r="L253" s="5" t="n"/>
      <c r="M253" s="5" t="inlineStr">
        <is>
          <t>on site</t>
        </is>
      </c>
      <c r="N253" s="5" t="n"/>
      <c r="O253" s="5" t="n"/>
    </row>
    <row r="254">
      <c r="A254" s="2" t="inlineStr">
        <is>
          <t>T0176</t>
        </is>
      </c>
      <c r="B254" s="2" t="n">
        <v>1</v>
      </c>
      <c r="C254" s="3" t="inlineStr">
        <is>
          <t>0576</t>
        </is>
      </c>
      <c r="D254" s="2" t="inlineStr"/>
      <c r="E254" s="2" t="inlineStr"/>
      <c r="F254" s="2" t="inlineStr">
        <is>
          <t>FWF</t>
        </is>
      </c>
      <c r="G254" s="2" t="inlineStr">
        <is>
          <t>2 of 2</t>
        </is>
      </c>
      <c r="H254" s="2" t="inlineStr">
        <is>
          <t>Event Portables (sub-hire)</t>
        </is>
      </c>
      <c r="I254" s="2" t="inlineStr">
        <is>
          <t>FWF × 2 · Redbull</t>
        </is>
      </c>
      <c r="J254" s="2" t="inlineStr"/>
      <c r="K254" s="2" t="inlineStr"/>
      <c r="L254" s="2" t="n"/>
      <c r="M254" s="2" t="inlineStr">
        <is>
          <t>on site</t>
        </is>
      </c>
      <c r="N254" s="2" t="n"/>
      <c r="O254" s="2" t="n"/>
    </row>
    <row r="255">
      <c r="A255" s="5" t="inlineStr">
        <is>
          <t>T0243</t>
        </is>
      </c>
      <c r="B255" s="5" t="n">
        <v>1</v>
      </c>
      <c r="C255" s="6" t="inlineStr">
        <is>
          <t>1311144</t>
        </is>
      </c>
      <c r="D255" s="5" t="inlineStr">
        <is>
          <t>-27.987534, 153.428271</t>
        </is>
      </c>
      <c r="E255" s="5" t="inlineStr">
        <is>
          <t>Island north – by FREIGHT</t>
        </is>
      </c>
      <c r="F255" s="5" t="inlineStr">
        <is>
          <t>Toilet block 6m</t>
        </is>
      </c>
      <c r="G255" s="5" t="inlineStr">
        <is>
          <t>1 of 1</t>
        </is>
      </c>
      <c r="H255" s="5" t="inlineStr">
        <is>
          <t>Coates</t>
        </is>
      </c>
      <c r="I255" s="5" t="inlineStr">
        <is>
          <t>Toilet Block 6m · WC-TV (sewer connect)</t>
        </is>
      </c>
      <c r="J255" s="5" t="inlineStr">
        <is>
          <t>S04</t>
        </is>
      </c>
      <c r="K255" s="5" t="inlineStr">
        <is>
          <t>Master plan D001 (not a phone pin)</t>
        </is>
      </c>
      <c r="L255" s="7">
        <f>HYPERLINK("https://www.google.com/maps?q=-27.987534,153.428271","Open map")</f>
        <v/>
      </c>
      <c r="M255" s="5" t="inlineStr"/>
      <c r="N255" s="5" t="n">
        <v>-27.987534</v>
      </c>
      <c r="O255" s="5" t="n">
        <v>153.428271</v>
      </c>
    </row>
    <row r="256">
      <c r="A256" s="2" t="inlineStr">
        <is>
          <t>BJR01</t>
        </is>
      </c>
      <c r="B256" s="2" t="n">
        <v>1</v>
      </c>
      <c r="C256" s="3" t="inlineStr">
        <is>
          <t>0941</t>
        </is>
      </c>
      <c r="D256" s="2" t="inlineStr"/>
      <c r="E256" s="2" t="inlineStr"/>
      <c r="F256" s="2" t="inlineStr">
        <is>
          <t>FWF</t>
        </is>
      </c>
      <c r="G256" s="2" t="inlineStr">
        <is>
          <t>1 of 1</t>
        </is>
      </c>
      <c r="H256" s="2" t="inlineStr">
        <is>
          <t>Event Portables (sub-hire)</t>
        </is>
      </c>
      <c r="I256" s="2" t="inlineStr">
        <is>
          <t>Brad Jones Racing</t>
        </is>
      </c>
      <c r="J256" s="2" t="inlineStr"/>
      <c r="K256" s="2" t="inlineStr"/>
      <c r="L256" s="2" t="n"/>
      <c r="M256" s="2" t="inlineStr">
        <is>
          <t>on site</t>
        </is>
      </c>
      <c r="N256" s="2" t="n"/>
      <c r="O256" s="2" t="n"/>
    </row>
    <row r="257">
      <c r="A257" s="5" t="inlineStr">
        <is>
          <t>SVP01</t>
        </is>
      </c>
      <c r="B257" s="5" t="n">
        <v>1</v>
      </c>
      <c r="C257" s="6" t="inlineStr">
        <is>
          <t>0939</t>
        </is>
      </c>
      <c r="D257" s="5" t="inlineStr"/>
      <c r="E257" s="5" t="inlineStr"/>
      <c r="F257" s="5" t="inlineStr">
        <is>
          <t>FWF</t>
        </is>
      </c>
      <c r="G257" s="5" t="inlineStr">
        <is>
          <t>1 of 1</t>
        </is>
      </c>
      <c r="H257" s="5" t="inlineStr">
        <is>
          <t>Event Portables (sub-hire)</t>
        </is>
      </c>
      <c r="I257" s="5" t="inlineStr">
        <is>
          <t>Shell V-Power</t>
        </is>
      </c>
      <c r="J257" s="5" t="inlineStr"/>
      <c r="K257" s="5" t="inlineStr"/>
      <c r="L257" s="5" t="n"/>
      <c r="M257" s="5" t="inlineStr">
        <is>
          <t>on site</t>
        </is>
      </c>
      <c r="N257" s="5" t="n"/>
      <c r="O257" s="5" t="n"/>
    </row>
    <row r="258">
      <c r="A258" s="2" t="inlineStr"/>
      <c r="B258" s="2" t="n">
        <v>1</v>
      </c>
      <c r="C258" s="3" t="inlineStr">
        <is>
          <t>0164</t>
        </is>
      </c>
      <c r="D258" s="2" t="inlineStr"/>
      <c r="E258" s="2" t="inlineStr"/>
      <c r="F258" s="2" t="inlineStr">
        <is>
          <t>FWF</t>
        </is>
      </c>
      <c r="G258" s="2" t="inlineStr">
        <is>
          <t>spare</t>
        </is>
      </c>
      <c r="H258" s="2" t="inlineStr">
        <is>
          <t>Event Portables (sub-hire)</t>
        </is>
      </c>
      <c r="I258" s="2" t="inlineStr">
        <is>
          <t>Spare · Pit Lane</t>
        </is>
      </c>
      <c r="J258" s="2" t="inlineStr"/>
      <c r="K258" s="2" t="inlineStr"/>
      <c r="L258" s="2" t="n"/>
      <c r="M258" s="2" t="inlineStr">
        <is>
          <t>spare on the record</t>
        </is>
      </c>
      <c r="N258" s="2" t="n"/>
      <c r="O258" s="2" t="n"/>
    </row>
  </sheetData>
  <autoFilter ref="A1:O2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6" customWidth="1" min="2" max="2"/>
    <col width="60" customWidth="1" min="3" max="3"/>
    <col width="24" customWidth="1" min="4" max="4"/>
    <col width="34" customWidth="1" min="5" max="5"/>
    <col width="30" customWidth="1" min="6" max="6"/>
    <col width="40" customWidth="1" min="7" max="7"/>
    <col width="11" customWidth="1" min="8" max="8"/>
    <col width="30" customWidth="1" min="9" max="9"/>
    <col width="10" customWidth="1" min="10" max="10"/>
  </cols>
  <sheetData>
    <row r="1" ht="30" customHeight="1">
      <c r="A1" s="1" t="inlineStr">
        <is>
          <t>Reference</t>
        </is>
      </c>
      <c r="B1" s="1" t="inlineStr">
        <is>
          <t>Qty</t>
        </is>
      </c>
      <c r="C1" s="1" t="inlineStr">
        <is>
          <t>Asset Nos</t>
        </is>
      </c>
      <c r="D1" s="1" t="inlineStr">
        <is>
          <t>Pin location (lat, long)</t>
        </is>
      </c>
      <c r="E1" s="1" t="inlineStr">
        <is>
          <t>Area (drop point)</t>
        </is>
      </c>
      <c r="F1" s="1" t="inlineStr">
        <is>
          <t>Types</t>
        </is>
      </c>
      <c r="G1" s="1" t="inlineStr">
        <is>
          <t>Location name</t>
        </is>
      </c>
      <c r="H1" s="1" t="inlineStr">
        <is>
          <t>Plan section</t>
        </is>
      </c>
      <c r="I1" s="1" t="inlineStr">
        <is>
          <t>Pin source</t>
        </is>
      </c>
      <c r="J1" s="1" t="inlineStr">
        <is>
          <t>Status</t>
        </is>
      </c>
    </row>
    <row r="2">
      <c r="A2" s="8" t="inlineStr">
        <is>
          <t>WC01</t>
        </is>
      </c>
      <c r="B2" s="8" t="n">
        <v>3</v>
      </c>
      <c r="C2" s="9" t="inlineStr">
        <is>
          <t>1317644, 1211958, 1211967</t>
        </is>
      </c>
      <c r="D2" s="8" t="inlineStr">
        <is>
          <t>-27.983425, 153.425250</t>
        </is>
      </c>
      <c r="E2" s="8" t="inlineStr"/>
      <c r="F2" s="8" t="inlineStr">
        <is>
          <t>1 × Accessible toilet, 2 × FWF</t>
        </is>
      </c>
      <c r="G2" s="8" t="inlineStr">
        <is>
          <t>Toilets</t>
        </is>
      </c>
      <c r="H2" s="8" t="inlineStr">
        <is>
          <t>S10</t>
        </is>
      </c>
      <c r="I2" s="8" t="inlineStr">
        <is>
          <t>Master plan D001 (not a phone pin)</t>
        </is>
      </c>
      <c r="J2" s="8" t="inlineStr">
        <is>
          <t>on site</t>
        </is>
      </c>
    </row>
    <row r="3">
      <c r="A3" s="8" t="inlineStr">
        <is>
          <t>WC02</t>
        </is>
      </c>
      <c r="B3" s="8" t="n">
        <v>1</v>
      </c>
      <c r="C3" s="9" t="inlineStr">
        <is>
          <t>1058086</t>
        </is>
      </c>
      <c r="D3" s="8" t="inlineStr">
        <is>
          <t>-27.983618, 153.425700</t>
        </is>
      </c>
      <c r="E3" s="8" t="inlineStr">
        <is>
          <t>Island west parkland entry – by the merch strip</t>
        </is>
      </c>
      <c r="F3" s="8" t="inlineStr">
        <is>
          <t>1 × FWF</t>
        </is>
      </c>
      <c r="G3" s="8" t="inlineStr">
        <is>
          <t>Toilet</t>
        </is>
      </c>
      <c r="H3" s="8" t="inlineStr">
        <is>
          <t>S10</t>
        </is>
      </c>
      <c r="I3" s="8" t="inlineStr">
        <is>
          <t>Master plan D001 (not a phone pin)</t>
        </is>
      </c>
      <c r="J3" s="8" t="inlineStr">
        <is>
          <t>on site</t>
        </is>
      </c>
    </row>
    <row r="4">
      <c r="A4" s="8" t="inlineStr">
        <is>
          <t>WC04</t>
        </is>
      </c>
      <c r="B4" s="8" t="n">
        <v>1</v>
      </c>
      <c r="C4" s="9" t="inlineStr">
        <is>
          <t>1212502</t>
        </is>
      </c>
      <c r="D4" s="8" t="inlineStr">
        <is>
          <t>-27.983857, 153.426516</t>
        </is>
      </c>
      <c r="E4" s="8" t="inlineStr">
        <is>
          <t>Island west parkland entry – by the merch strip</t>
        </is>
      </c>
      <c r="F4" s="8" t="inlineStr">
        <is>
          <t>1 × FWF</t>
        </is>
      </c>
      <c r="G4" s="8" t="inlineStr">
        <is>
          <t>Toilet - QAS</t>
        </is>
      </c>
      <c r="H4" s="8" t="inlineStr"/>
      <c r="I4" s="8" t="inlineStr">
        <is>
          <t>Master plan D001 (not a phone pin)</t>
        </is>
      </c>
      <c r="J4" s="8" t="inlineStr">
        <is>
          <t>on site</t>
        </is>
      </c>
    </row>
    <row r="5">
      <c r="A5" s="8" t="inlineStr">
        <is>
          <t>WC05</t>
        </is>
      </c>
      <c r="B5" s="8" t="n">
        <v>1</v>
      </c>
      <c r="C5" s="9" t="inlineStr">
        <is>
          <t>1097377</t>
        </is>
      </c>
      <c r="D5" s="8" t="inlineStr">
        <is>
          <t>-27.983608, 153.426357</t>
        </is>
      </c>
      <c r="E5" s="8" t="inlineStr">
        <is>
          <t>Island west parkland entry – by the merch strip</t>
        </is>
      </c>
      <c r="F5" s="8" t="inlineStr">
        <is>
          <t>1 × Toilet block 6m</t>
        </is>
      </c>
      <c r="G5" s="8" t="inlineStr">
        <is>
          <t>Event Operations Compound Toilet - Combo Block (Tanked)</t>
        </is>
      </c>
      <c r="H5" s="8" t="inlineStr"/>
      <c r="I5" s="8" t="inlineStr">
        <is>
          <t>Master plan D001 (not a phone pin)</t>
        </is>
      </c>
      <c r="J5" s="8" t="inlineStr">
        <is>
          <t>on site</t>
        </is>
      </c>
    </row>
    <row r="6">
      <c r="A6" s="8" t="inlineStr">
        <is>
          <t>WC06</t>
        </is>
      </c>
      <c r="B6" s="8" t="n">
        <v>2</v>
      </c>
      <c r="C6" s="9" t="inlineStr">
        <is>
          <t>1195658, 1212523</t>
        </is>
      </c>
      <c r="D6" s="8" t="inlineStr">
        <is>
          <t>-27.984699, 153.426532</t>
        </is>
      </c>
      <c r="E6" s="8" t="inlineStr">
        <is>
          <t>Median strip meet-up – pit stop, by FOAM</t>
        </is>
      </c>
      <c r="F6" s="8" t="inlineStr">
        <is>
          <t>2 × FWF</t>
        </is>
      </c>
      <c r="G6" s="8" t="inlineStr">
        <is>
          <t>Toilets - Race Admin</t>
        </is>
      </c>
      <c r="H6" s="8" t="inlineStr">
        <is>
          <t>S11</t>
        </is>
      </c>
      <c r="I6" s="8" t="inlineStr">
        <is>
          <t>Master plan D001 (not a phone pin)</t>
        </is>
      </c>
      <c r="J6" s="8" t="inlineStr">
        <is>
          <t>on site</t>
        </is>
      </c>
    </row>
    <row r="7">
      <c r="A7" s="8" t="inlineStr">
        <is>
          <t>WC07</t>
        </is>
      </c>
      <c r="B7" s="8" t="n">
        <v>20</v>
      </c>
      <c r="C7" s="9" t="inlineStr">
        <is>
          <t>1181004, 1002538, 1212552, 1002566, 1083300, 1200595, 1211959, 1002715, 1192643, 1002651, 1317649, 1317658, 1317632, 1317743, 1317641, 1317640, 1317626, 1317648, 1317652, 1317647</t>
        </is>
      </c>
      <c r="D7" s="8" t="inlineStr">
        <is>
          <t>-27.984455, 153.426897</t>
        </is>
      </c>
      <c r="E7" s="8" t="inlineStr">
        <is>
          <t>Median strip meet-up – pit stop, by FOAM</t>
        </is>
      </c>
      <c r="F7" s="8" t="inlineStr">
        <is>
          <t>20 × FWF</t>
        </is>
      </c>
      <c r="G7" s="8" t="inlineStr">
        <is>
          <t>Toilets - Merch Area</t>
        </is>
      </c>
      <c r="H7" s="8" t="inlineStr">
        <is>
          <t>S11</t>
        </is>
      </c>
      <c r="I7" s="8" t="inlineStr">
        <is>
          <t>Master plan D001 (not a phone pin)</t>
        </is>
      </c>
      <c r="J7" s="8" t="inlineStr">
        <is>
          <t>on site</t>
        </is>
      </c>
    </row>
    <row r="8">
      <c r="A8" s="8" t="inlineStr">
        <is>
          <t>WC09</t>
        </is>
      </c>
      <c r="B8" s="8" t="n">
        <v>12</v>
      </c>
      <c r="C8" s="9" t="inlineStr">
        <is>
          <t>0085, 0551, 0450, 0585, 0993, 0553, 0140, 0089, 0584, 0081, 1268858, 1311146</t>
        </is>
      </c>
      <c r="D8" s="8" t="inlineStr">
        <is>
          <t>-27.984717, 153.428026</t>
        </is>
      </c>
      <c r="E8" s="8" t="inlineStr">
        <is>
          <t>Median strip meet-up – pit stop, by FOAM</t>
        </is>
      </c>
      <c r="F8" s="8" t="inlineStr">
        <is>
          <t>10 × FWF, 2 × Toilet block 6m</t>
        </is>
      </c>
      <c r="G8" s="8" t="inlineStr">
        <is>
          <t>Toilets</t>
        </is>
      </c>
      <c r="H8" s="8" t="inlineStr"/>
      <c r="I8" s="8" t="inlineStr">
        <is>
          <t>Master plan D001 (not a phone pin)</t>
        </is>
      </c>
      <c r="J8" s="8" t="inlineStr">
        <is>
          <t>on site</t>
        </is>
      </c>
    </row>
    <row r="9">
      <c r="A9" s="8" t="inlineStr">
        <is>
          <t>WC10</t>
        </is>
      </c>
      <c r="B9" s="8" t="n">
        <v>3</v>
      </c>
      <c r="C9" s="9" t="inlineStr">
        <is>
          <t>0488, 0677, 0119</t>
        </is>
      </c>
      <c r="D9" s="8" t="inlineStr">
        <is>
          <t>-27.984483, 153.427714</t>
        </is>
      </c>
      <c r="E9" s="8" t="inlineStr">
        <is>
          <t>Median strip meet-up – pit stop, by FOAM</t>
        </is>
      </c>
      <c r="F9" s="8" t="inlineStr">
        <is>
          <t>3 × FWF</t>
        </is>
      </c>
      <c r="G9" s="8" t="inlineStr">
        <is>
          <t>Toilets</t>
        </is>
      </c>
      <c r="H9" s="8" t="inlineStr">
        <is>
          <t>S01</t>
        </is>
      </c>
      <c r="I9" s="8" t="inlineStr">
        <is>
          <t>Master plan D001 (not a phone pin)</t>
        </is>
      </c>
      <c r="J9" s="8" t="inlineStr">
        <is>
          <t>on site</t>
        </is>
      </c>
    </row>
    <row r="10">
      <c r="A10" s="8" t="inlineStr">
        <is>
          <t>WC11</t>
        </is>
      </c>
      <c r="B10" s="8" t="n">
        <v>2</v>
      </c>
      <c r="C10" s="9" t="inlineStr">
        <is>
          <t>1211969, 1211976</t>
        </is>
      </c>
      <c r="D10" s="8" t="inlineStr">
        <is>
          <t>-27.984888, 153.426575</t>
        </is>
      </c>
      <c r="E10" s="8" t="inlineStr">
        <is>
          <t>Median strip meet-up – pit stop, by FOAM</t>
        </is>
      </c>
      <c r="F10" s="8" t="inlineStr">
        <is>
          <t>2 × FWF</t>
        </is>
      </c>
      <c r="G10" s="8" t="inlineStr">
        <is>
          <t>Toilets</t>
        </is>
      </c>
      <c r="H10" s="8" t="inlineStr">
        <is>
          <t>S11</t>
        </is>
      </c>
      <c r="I10" s="8" t="inlineStr">
        <is>
          <t>Master plan D001 (not a phone pin)</t>
        </is>
      </c>
      <c r="J10" s="8" t="inlineStr">
        <is>
          <t>on site</t>
        </is>
      </c>
    </row>
    <row r="11">
      <c r="A11" s="8" t="inlineStr">
        <is>
          <t>WC12</t>
        </is>
      </c>
      <c r="B11" s="8" t="n">
        <v>4</v>
      </c>
      <c r="C11" s="9" t="inlineStr">
        <is>
          <t>1002565, 1200601, 1211961, 1211963</t>
        </is>
      </c>
      <c r="D11" s="8" t="inlineStr">
        <is>
          <t>-27.985461, 153.427322</t>
        </is>
      </c>
      <c r="E11" s="8" t="inlineStr">
        <is>
          <t>Pit lane entry</t>
        </is>
      </c>
      <c r="F11" s="8" t="inlineStr">
        <is>
          <t>4 × FWF</t>
        </is>
      </c>
      <c r="G11" s="8" t="inlineStr">
        <is>
          <t>Toilets</t>
        </is>
      </c>
      <c r="H11" s="8" t="inlineStr">
        <is>
          <t>S01</t>
        </is>
      </c>
      <c r="I11" s="8" t="inlineStr">
        <is>
          <t>Master plan D001 (not a phone pin)</t>
        </is>
      </c>
      <c r="J11" s="8" t="inlineStr">
        <is>
          <t>on site</t>
        </is>
      </c>
    </row>
    <row r="12">
      <c r="A12" s="8" t="inlineStr">
        <is>
          <t>WC13</t>
        </is>
      </c>
      <c r="B12" s="8" t="n">
        <v>2</v>
      </c>
      <c r="C12" s="9" t="inlineStr">
        <is>
          <t>0036, 0444</t>
        </is>
      </c>
      <c r="D12" s="8" t="inlineStr">
        <is>
          <t>-27.990956, 153.429519</t>
        </is>
      </c>
      <c r="E12" s="8" t="inlineStr"/>
      <c r="F12" s="8" t="inlineStr">
        <is>
          <t>2 × FWF</t>
        </is>
      </c>
      <c r="G12" s="8" t="inlineStr">
        <is>
          <t>Toilets</t>
        </is>
      </c>
      <c r="H12" s="8" t="inlineStr"/>
      <c r="I12" s="8" t="inlineStr">
        <is>
          <t>Master plan D001 (not a phone pin)</t>
        </is>
      </c>
      <c r="J12" s="8" t="inlineStr">
        <is>
          <t>on site</t>
        </is>
      </c>
    </row>
    <row r="13">
      <c r="A13" s="8" t="inlineStr">
        <is>
          <t>WC15</t>
        </is>
      </c>
      <c r="B13" s="8" t="n">
        <v>2</v>
      </c>
      <c r="C13" s="9" t="inlineStr">
        <is>
          <t>1327226, 1303835</t>
        </is>
      </c>
      <c r="D13" s="8" t="inlineStr">
        <is>
          <t>-27.986024, 153.428091</t>
        </is>
      </c>
      <c r="E13" s="8" t="inlineStr">
        <is>
          <t>Island north – by FREIGHT</t>
        </is>
      </c>
      <c r="F13" s="8" t="inlineStr">
        <is>
          <t>2 × Toilet block 6m</t>
        </is>
      </c>
      <c r="G13" s="8" t="inlineStr">
        <is>
          <t>Toilets (Sewer Connect)</t>
        </is>
      </c>
      <c r="H13" s="8" t="inlineStr">
        <is>
          <t>S01</t>
        </is>
      </c>
      <c r="I13" s="8" t="inlineStr">
        <is>
          <t>Master plan D001 (not a phone pin)</t>
        </is>
      </c>
      <c r="J13" s="8" t="inlineStr">
        <is>
          <t>on site</t>
        </is>
      </c>
    </row>
    <row r="14">
      <c r="A14" s="8" t="inlineStr">
        <is>
          <t>WC16</t>
        </is>
      </c>
      <c r="B14" s="8" t="n">
        <v>2</v>
      </c>
      <c r="C14" s="9" t="inlineStr">
        <is>
          <t>1322587, 1322588</t>
        </is>
      </c>
      <c r="D14" s="8" t="inlineStr">
        <is>
          <t>-27.985938, 153.427692</t>
        </is>
      </c>
      <c r="E14" s="8" t="inlineStr">
        <is>
          <t>Pit lane entry</t>
        </is>
      </c>
      <c r="F14" s="8" t="inlineStr">
        <is>
          <t>2 × Toilet block 6m</t>
        </is>
      </c>
      <c r="G14" s="8" t="inlineStr">
        <is>
          <t>S01 Corporate Toilets - 1x Female, x Male (Sewer)</t>
        </is>
      </c>
      <c r="H14" s="8" t="inlineStr">
        <is>
          <t>S01</t>
        </is>
      </c>
      <c r="I14" s="8" t="inlineStr">
        <is>
          <t>Master plan D001 (not a phone pin)</t>
        </is>
      </c>
      <c r="J14" s="8" t="inlineStr">
        <is>
          <t>on site</t>
        </is>
      </c>
    </row>
    <row r="15">
      <c r="A15" s="8" t="inlineStr">
        <is>
          <t>WC17</t>
        </is>
      </c>
      <c r="B15" s="8" t="n">
        <v>2</v>
      </c>
      <c r="C15" s="9" t="inlineStr">
        <is>
          <t>1327224, 1327223</t>
        </is>
      </c>
      <c r="D15" s="8" t="inlineStr">
        <is>
          <t>-27.986529, 153.428095</t>
        </is>
      </c>
      <c r="E15" s="8" t="inlineStr">
        <is>
          <t>Island north – by FREIGHT</t>
        </is>
      </c>
      <c r="F15" s="8" t="inlineStr">
        <is>
          <t>2 × Toilet block 6m</t>
        </is>
      </c>
      <c r="G15" s="8" t="inlineStr">
        <is>
          <t>S01 Corporate Toilets</t>
        </is>
      </c>
      <c r="H15" s="8" t="inlineStr">
        <is>
          <t>S02</t>
        </is>
      </c>
      <c r="I15" s="8" t="inlineStr">
        <is>
          <t>Master plan D001 (not a phone pin)</t>
        </is>
      </c>
      <c r="J15" s="8" t="inlineStr">
        <is>
          <t>on site</t>
        </is>
      </c>
    </row>
    <row r="16">
      <c r="A16" s="8" t="inlineStr">
        <is>
          <t>WC19</t>
        </is>
      </c>
      <c r="B16" s="8" t="n">
        <v>1</v>
      </c>
      <c r="C16" s="9" t="inlineStr">
        <is>
          <t>0435</t>
        </is>
      </c>
      <c r="D16" s="8" t="inlineStr">
        <is>
          <t>-27.988240, 153.428267</t>
        </is>
      </c>
      <c r="E16" s="8" t="inlineStr">
        <is>
          <t>Island north – by FREIGHT</t>
        </is>
      </c>
      <c r="F16" s="8" t="inlineStr">
        <is>
          <t>1 × FWF</t>
        </is>
      </c>
      <c r="G16" s="8" t="inlineStr">
        <is>
          <t>Toilets</t>
        </is>
      </c>
      <c r="H16" s="8" t="inlineStr">
        <is>
          <t>S04</t>
        </is>
      </c>
      <c r="I16" s="8" t="inlineStr">
        <is>
          <t>Master plan D001 (not a phone pin)</t>
        </is>
      </c>
      <c r="J16" s="8" t="inlineStr">
        <is>
          <t>on site</t>
        </is>
      </c>
    </row>
    <row r="17">
      <c r="A17" s="8" t="inlineStr">
        <is>
          <t>WC20</t>
        </is>
      </c>
      <c r="B17" s="8" t="n">
        <v>2</v>
      </c>
      <c r="C17" s="9" t="inlineStr">
        <is>
          <t>1327228, 1327225</t>
        </is>
      </c>
      <c r="D17" s="8" t="inlineStr">
        <is>
          <t>-27.987468, 153.428179</t>
        </is>
      </c>
      <c r="E17" s="8" t="inlineStr">
        <is>
          <t>Island north – by FREIGHT</t>
        </is>
      </c>
      <c r="F17" s="8" t="inlineStr">
        <is>
          <t>2 × Toilet block 6m</t>
        </is>
      </c>
      <c r="G17" s="8" t="inlineStr">
        <is>
          <t>Toilets (Tank Mounted)</t>
        </is>
      </c>
      <c r="H17" s="8" t="inlineStr">
        <is>
          <t>S04</t>
        </is>
      </c>
      <c r="I17" s="8" t="inlineStr">
        <is>
          <t>Master plan D001 (not a phone pin)</t>
        </is>
      </c>
      <c r="J17" s="8" t="inlineStr">
        <is>
          <t>on site</t>
        </is>
      </c>
    </row>
    <row r="18">
      <c r="A18" s="8" t="inlineStr">
        <is>
          <t>WC21</t>
        </is>
      </c>
      <c r="B18" s="8" t="n">
        <v>6</v>
      </c>
      <c r="C18" s="9" t="inlineStr">
        <is>
          <t>1002747, 1103497, 1211964, 1211971, 1211977, 1212172</t>
        </is>
      </c>
      <c r="D18" s="8" t="inlineStr">
        <is>
          <t>-27.989159, 153.428619</t>
        </is>
      </c>
      <c r="E18" s="8" t="inlineStr"/>
      <c r="F18" s="8" t="inlineStr">
        <is>
          <t>6 × FWF</t>
        </is>
      </c>
      <c r="G18" s="8" t="inlineStr">
        <is>
          <t>Toilets</t>
        </is>
      </c>
      <c r="H18" s="8" t="inlineStr">
        <is>
          <t>S05</t>
        </is>
      </c>
      <c r="I18" s="8" t="inlineStr">
        <is>
          <t>Master plan D001 (not a phone pin)</t>
        </is>
      </c>
      <c r="J18" s="8" t="inlineStr">
        <is>
          <t>on site</t>
        </is>
      </c>
    </row>
    <row r="19">
      <c r="A19" s="8" t="inlineStr">
        <is>
          <t>WC23</t>
        </is>
      </c>
      <c r="B19" s="8" t="n">
        <v>5</v>
      </c>
      <c r="C19" s="9" t="inlineStr">
        <is>
          <t>0992, 0968, 0960, 0107, 0969</t>
        </is>
      </c>
      <c r="D19" s="8" t="inlineStr">
        <is>
          <t>-27.989504, 153.429199</t>
        </is>
      </c>
      <c r="E19" s="8" t="inlineStr"/>
      <c r="F19" s="8" t="inlineStr">
        <is>
          <t>5 × FWF</t>
        </is>
      </c>
      <c r="G19" s="8" t="inlineStr">
        <is>
          <t>Toilets</t>
        </is>
      </c>
      <c r="H19" s="8" t="inlineStr">
        <is>
          <t>S05</t>
        </is>
      </c>
      <c r="I19" s="8" t="inlineStr">
        <is>
          <t>Master plan D001 (not a phone pin)</t>
        </is>
      </c>
      <c r="J19" s="8" t="inlineStr">
        <is>
          <t>on site</t>
        </is>
      </c>
    </row>
    <row r="20">
      <c r="A20" s="8" t="inlineStr">
        <is>
          <t>WC24</t>
        </is>
      </c>
      <c r="B20" s="8" t="n">
        <v>1</v>
      </c>
      <c r="C20" s="9" t="inlineStr">
        <is>
          <t>0489</t>
        </is>
      </c>
      <c r="D20" s="8" t="inlineStr">
        <is>
          <t>-27.991038, 153.429656</t>
        </is>
      </c>
      <c r="E20" s="8" t="inlineStr"/>
      <c r="F20" s="8" t="inlineStr">
        <is>
          <t>1 × FWF</t>
        </is>
      </c>
      <c r="G20" s="8" t="inlineStr">
        <is>
          <t>Toilets</t>
        </is>
      </c>
      <c r="H20" s="8" t="inlineStr"/>
      <c r="I20" s="8" t="inlineStr">
        <is>
          <t>Master plan D001 (not a phone pin)</t>
        </is>
      </c>
      <c r="J20" s="8" t="inlineStr">
        <is>
          <t>on site</t>
        </is>
      </c>
    </row>
    <row r="21">
      <c r="A21" s="8" t="inlineStr">
        <is>
          <t>WC25</t>
        </is>
      </c>
      <c r="B21" s="8" t="n">
        <v>1</v>
      </c>
      <c r="C21" s="9" t="inlineStr">
        <is>
          <t>0472</t>
        </is>
      </c>
      <c r="D21" s="8" t="inlineStr">
        <is>
          <t>-27.990061, 153.428838</t>
        </is>
      </c>
      <c r="E21" s="8" t="inlineStr"/>
      <c r="F21" s="8" t="inlineStr">
        <is>
          <t>1 × FWF</t>
        </is>
      </c>
      <c r="G21" s="8" t="inlineStr">
        <is>
          <t>Toilets</t>
        </is>
      </c>
      <c r="H21" s="8" t="inlineStr">
        <is>
          <t>S15</t>
        </is>
      </c>
      <c r="I21" s="8" t="inlineStr">
        <is>
          <t>Master plan D001 (not a phone pin)</t>
        </is>
      </c>
      <c r="J21" s="8" t="inlineStr">
        <is>
          <t>on site</t>
        </is>
      </c>
    </row>
    <row r="22">
      <c r="A22" s="8" t="inlineStr">
        <is>
          <t>WC26</t>
        </is>
      </c>
      <c r="B22" s="8" t="n">
        <v>1</v>
      </c>
      <c r="C22" s="9" t="inlineStr">
        <is>
          <t>0075</t>
        </is>
      </c>
      <c r="D22" s="8" t="inlineStr">
        <is>
          <t>-27.988803, 153.429594</t>
        </is>
      </c>
      <c r="E22" s="8" t="inlineStr"/>
      <c r="F22" s="8" t="inlineStr">
        <is>
          <t>1 × FWF</t>
        </is>
      </c>
      <c r="G22" s="8" t="inlineStr">
        <is>
          <t>Toilets</t>
        </is>
      </c>
      <c r="H22" s="8" t="inlineStr"/>
      <c r="I22" s="8" t="inlineStr">
        <is>
          <t>Master plan D001 (not a phone pin)</t>
        </is>
      </c>
      <c r="J22" s="8" t="inlineStr">
        <is>
          <t>on site</t>
        </is>
      </c>
    </row>
    <row r="23">
      <c r="A23" s="8" t="inlineStr">
        <is>
          <t>WC27</t>
        </is>
      </c>
      <c r="B23" s="8" t="n">
        <v>1</v>
      </c>
      <c r="C23" s="9" t="inlineStr">
        <is>
          <t>1119484</t>
        </is>
      </c>
      <c r="D23" s="8" t="inlineStr">
        <is>
          <t>-27.985240, 153.429459</t>
        </is>
      </c>
      <c r="E23" s="8" t="inlineStr">
        <is>
          <t>Main Beach Pde land side – by T8 / A19</t>
        </is>
      </c>
      <c r="F23" s="8" t="inlineStr">
        <is>
          <t>1 × Toilet block 6m</t>
        </is>
      </c>
      <c r="G23" s="8" t="inlineStr">
        <is>
          <t>Toilet (Tank Mounted)</t>
        </is>
      </c>
      <c r="H23" s="8" t="inlineStr">
        <is>
          <t>S08</t>
        </is>
      </c>
      <c r="I23" s="8" t="inlineStr">
        <is>
          <t>Master plan D001 (not a phone pin)</t>
        </is>
      </c>
      <c r="J23" s="8" t="inlineStr">
        <is>
          <t>on site</t>
        </is>
      </c>
    </row>
    <row r="24">
      <c r="A24" s="8" t="inlineStr">
        <is>
          <t>WC28</t>
        </is>
      </c>
      <c r="B24" s="8" t="n">
        <v>1</v>
      </c>
      <c r="C24" s="9" t="inlineStr">
        <is>
          <t>0102</t>
        </is>
      </c>
      <c r="D24" s="8" t="inlineStr">
        <is>
          <t>-27.983401, 153.429161</t>
        </is>
      </c>
      <c r="E24" s="8" t="inlineStr"/>
      <c r="F24" s="8" t="inlineStr">
        <is>
          <t>1 × FWF</t>
        </is>
      </c>
      <c r="G24" s="8" t="inlineStr">
        <is>
          <t>Toilets</t>
        </is>
      </c>
      <c r="H24" s="8" t="inlineStr"/>
      <c r="I24" s="8" t="inlineStr">
        <is>
          <t>Master plan D001 (not a phone pin)</t>
        </is>
      </c>
      <c r="J24" s="8" t="inlineStr">
        <is>
          <t>on site</t>
        </is>
      </c>
    </row>
    <row r="25">
      <c r="A25" s="8" t="inlineStr">
        <is>
          <t>WC29</t>
        </is>
      </c>
      <c r="B25" s="8" t="n">
        <v>7</v>
      </c>
      <c r="C25" s="9" t="inlineStr">
        <is>
          <t>0079, 0546, 0707, 0564, 0044, 0441, 0598</t>
        </is>
      </c>
      <c r="D25" s="8" t="inlineStr">
        <is>
          <t>-27.983561, 153.428573</t>
        </is>
      </c>
      <c r="E25" s="8" t="inlineStr"/>
      <c r="F25" s="8" t="inlineStr">
        <is>
          <t>7 × FWF</t>
        </is>
      </c>
      <c r="G25" s="8" t="inlineStr">
        <is>
          <t>Toilets</t>
        </is>
      </c>
      <c r="H25" s="8" t="inlineStr"/>
      <c r="I25" s="8" t="inlineStr">
        <is>
          <t>Master plan D001 (not a phone pin)</t>
        </is>
      </c>
      <c r="J25" s="8" t="inlineStr">
        <is>
          <t>on site</t>
        </is>
      </c>
    </row>
    <row r="26">
      <c r="A26" s="8" t="inlineStr">
        <is>
          <t>WC30</t>
        </is>
      </c>
      <c r="B26" s="8" t="n">
        <v>8</v>
      </c>
      <c r="C26" s="9" t="inlineStr">
        <is>
          <t>0428, 0440, 0963, 0681, 0043, 0419, 0545, 0024</t>
        </is>
      </c>
      <c r="D26" s="8" t="inlineStr">
        <is>
          <t>-27.982391, 153.427830</t>
        </is>
      </c>
      <c r="E26" s="8" t="inlineStr"/>
      <c r="F26" s="8" t="inlineStr">
        <is>
          <t>8 × FWF</t>
        </is>
      </c>
      <c r="G26" s="8" t="inlineStr">
        <is>
          <t>Toilets</t>
        </is>
      </c>
      <c r="H26" s="8" t="inlineStr"/>
      <c r="I26" s="8" t="inlineStr">
        <is>
          <t>Master plan D001 (not a phone pin)</t>
        </is>
      </c>
      <c r="J26" s="8" t="inlineStr">
        <is>
          <t>on site</t>
        </is>
      </c>
    </row>
    <row r="27">
      <c r="A27" s="8" t="inlineStr">
        <is>
          <t>WC31</t>
        </is>
      </c>
      <c r="B27" s="8" t="n">
        <v>3</v>
      </c>
      <c r="C27" s="9" t="inlineStr">
        <is>
          <t>1317645, 12, 74</t>
        </is>
      </c>
      <c r="D27" s="8" t="inlineStr">
        <is>
          <t>-27.982469, 153.425324</t>
        </is>
      </c>
      <c r="E27" s="8" t="inlineStr">
        <is>
          <t>The Hill – entry point A47</t>
        </is>
      </c>
      <c r="F27" s="8" t="inlineStr">
        <is>
          <t>1 × Accessible toilet, 2 × 16-pan block</t>
        </is>
      </c>
      <c r="G27" s="8" t="inlineStr">
        <is>
          <t>Toilets</t>
        </is>
      </c>
      <c r="H27" s="8" t="inlineStr">
        <is>
          <t>S25</t>
        </is>
      </c>
      <c r="I27" s="8" t="inlineStr">
        <is>
          <t>Master plan D001 (not a phone pin)</t>
        </is>
      </c>
      <c r="J27" s="8" t="inlineStr">
        <is>
          <t>on site</t>
        </is>
      </c>
    </row>
    <row r="28">
      <c r="A28" s="8" t="inlineStr">
        <is>
          <t>WC33</t>
        </is>
      </c>
      <c r="B28" s="8" t="n">
        <v>17</v>
      </c>
      <c r="C28" s="9" t="inlineStr">
        <is>
          <t>0634, 0582, 0548, 0782, 0657, 0912, 0554, 0920, 0971, 0586, 0487, 0790, 0297, 0456, 0012, 0938, 0597</t>
        </is>
      </c>
      <c r="D28" s="8" t="inlineStr">
        <is>
          <t>-27.986107, 153.429524</t>
        </is>
      </c>
      <c r="E28" s="8" t="inlineStr">
        <is>
          <t>Main Beach Pde land side – by T8 / A19</t>
        </is>
      </c>
      <c r="F28" s="8" t="inlineStr">
        <is>
          <t>17 × FWF</t>
        </is>
      </c>
      <c r="G28" s="8" t="inlineStr">
        <is>
          <t>Toilets</t>
        </is>
      </c>
      <c r="H28" s="8" t="inlineStr">
        <is>
          <t>S07</t>
        </is>
      </c>
      <c r="I28" s="8" t="inlineStr">
        <is>
          <t>Master plan D001 (not a phone pin)</t>
        </is>
      </c>
      <c r="J28" s="8" t="inlineStr">
        <is>
          <t>on site</t>
        </is>
      </c>
    </row>
    <row r="29">
      <c r="A29" s="8" t="inlineStr">
        <is>
          <t>WC34</t>
        </is>
      </c>
      <c r="B29" s="8" t="n">
        <v>1</v>
      </c>
      <c r="C29" s="9" t="inlineStr">
        <is>
          <t>0526</t>
        </is>
      </c>
      <c r="D29" s="8" t="inlineStr">
        <is>
          <t>-27.982306, 153.425877</t>
        </is>
      </c>
      <c r="E29" s="8" t="inlineStr">
        <is>
          <t>The Hill – entry point A47</t>
        </is>
      </c>
      <c r="F29" s="8" t="inlineStr">
        <is>
          <t>1 × FWF</t>
        </is>
      </c>
      <c r="G29" s="8" t="inlineStr">
        <is>
          <t>Toilets</t>
        </is>
      </c>
      <c r="H29" s="8" t="inlineStr"/>
      <c r="I29" s="8" t="inlineStr">
        <is>
          <t>Master plan D001 (not a phone pin)</t>
        </is>
      </c>
      <c r="J29" s="8" t="inlineStr">
        <is>
          <t>on site</t>
        </is>
      </c>
    </row>
    <row r="30">
      <c r="A30" s="8" t="inlineStr">
        <is>
          <t>WC35</t>
        </is>
      </c>
      <c r="B30" s="8" t="n">
        <v>1</v>
      </c>
      <c r="C30" s="9" t="inlineStr">
        <is>
          <t>0284</t>
        </is>
      </c>
      <c r="D30" s="8" t="inlineStr">
        <is>
          <t>-27.981799, 153.427761</t>
        </is>
      </c>
      <c r="E30" s="8" t="inlineStr"/>
      <c r="F30" s="8" t="inlineStr">
        <is>
          <t>1 × FWF</t>
        </is>
      </c>
      <c r="G30" s="8" t="inlineStr">
        <is>
          <t>Toilets</t>
        </is>
      </c>
      <c r="H30" s="8" t="inlineStr"/>
      <c r="I30" s="8" t="inlineStr">
        <is>
          <t>Master plan D001 (not a phone pin)</t>
        </is>
      </c>
      <c r="J30" s="8" t="inlineStr">
        <is>
          <t>on site</t>
        </is>
      </c>
    </row>
    <row r="31">
      <c r="A31" s="8" t="inlineStr">
        <is>
          <t>WC38</t>
        </is>
      </c>
      <c r="B31" s="8" t="n">
        <v>1</v>
      </c>
      <c r="C31" s="9" t="inlineStr">
        <is>
          <t>0183</t>
        </is>
      </c>
      <c r="D31" s="8" t="inlineStr">
        <is>
          <t>-27.983593, 153.424130</t>
        </is>
      </c>
      <c r="E31" s="8" t="inlineStr">
        <is>
          <t>Commodore Park drop point (red dot)</t>
        </is>
      </c>
      <c r="F31" s="8" t="inlineStr">
        <is>
          <t>1 × FWF</t>
        </is>
      </c>
      <c r="G31" s="8" t="inlineStr">
        <is>
          <t>Toilet</t>
        </is>
      </c>
      <c r="H31" s="8" t="inlineStr">
        <is>
          <t>S10</t>
        </is>
      </c>
      <c r="I31" s="8" t="inlineStr">
        <is>
          <t>Master plan D001 (not a phone pin)</t>
        </is>
      </c>
      <c r="J31" s="8" t="inlineStr">
        <is>
          <t>on site</t>
        </is>
      </c>
    </row>
    <row r="32">
      <c r="A32" s="8" t="inlineStr">
        <is>
          <t>WC39</t>
        </is>
      </c>
      <c r="B32" s="8" t="n">
        <v>2</v>
      </c>
      <c r="C32" s="9" t="inlineStr">
        <is>
          <t>0188, 0637</t>
        </is>
      </c>
      <c r="D32" s="8" t="inlineStr">
        <is>
          <t>-27.983626, 153.423993</t>
        </is>
      </c>
      <c r="E32" s="8" t="inlineStr">
        <is>
          <t>Commodore Park drop point (red dot)</t>
        </is>
      </c>
      <c r="F32" s="8" t="inlineStr">
        <is>
          <t>2 × FWF</t>
        </is>
      </c>
      <c r="G32" s="8" t="inlineStr">
        <is>
          <t>Toilets</t>
        </is>
      </c>
      <c r="H32" s="8" t="inlineStr"/>
      <c r="I32" s="8" t="inlineStr">
        <is>
          <t>Master plan D001 (not a phone pin)</t>
        </is>
      </c>
      <c r="J32" s="8" t="inlineStr">
        <is>
          <t>on site</t>
        </is>
      </c>
    </row>
    <row r="33">
      <c r="A33" s="8" t="inlineStr">
        <is>
          <t>WC40</t>
        </is>
      </c>
      <c r="B33" s="8" t="n">
        <v>5</v>
      </c>
      <c r="C33" s="9" t="inlineStr">
        <is>
          <t>0626, 0541, 0965, 0433, 0648</t>
        </is>
      </c>
      <c r="D33" s="8" t="inlineStr">
        <is>
          <t>-27.983659, 153.424450</t>
        </is>
      </c>
      <c r="E33" s="8" t="inlineStr">
        <is>
          <t>Commodore Park drop point (red dot)</t>
        </is>
      </c>
      <c r="F33" s="8" t="inlineStr">
        <is>
          <t>5 × FWF</t>
        </is>
      </c>
      <c r="G33" s="8" t="inlineStr">
        <is>
          <t>Toilets</t>
        </is>
      </c>
      <c r="H33" s="8" t="inlineStr">
        <is>
          <t>S10</t>
        </is>
      </c>
      <c r="I33" s="8" t="inlineStr">
        <is>
          <t>Master plan D001 (not a phone pin)</t>
        </is>
      </c>
      <c r="J33" s="8" t="inlineStr">
        <is>
          <t>on site</t>
        </is>
      </c>
    </row>
    <row r="34">
      <c r="A34" s="8" t="inlineStr">
        <is>
          <t>WC41</t>
        </is>
      </c>
      <c r="B34" s="8" t="n">
        <v>10</v>
      </c>
      <c r="C34" s="9" t="inlineStr">
        <is>
          <t>0521, 0996, 0191, 0669, 0643, 0517, 0682, 0651, 0065, 0518</t>
        </is>
      </c>
      <c r="D34" s="8" t="inlineStr">
        <is>
          <t>-27.984835, 153.426054</t>
        </is>
      </c>
      <c r="E34" s="8" t="inlineStr">
        <is>
          <t>Median strip meet-up – pit stop, by FOAM</t>
        </is>
      </c>
      <c r="F34" s="8" t="inlineStr">
        <is>
          <t>10 × FWF</t>
        </is>
      </c>
      <c r="G34" s="8" t="inlineStr">
        <is>
          <t>Toilets</t>
        </is>
      </c>
      <c r="H34" s="8" t="inlineStr">
        <is>
          <t>S11</t>
        </is>
      </c>
      <c r="I34" s="8" t="inlineStr">
        <is>
          <t>Master plan D001 (not a phone pin)</t>
        </is>
      </c>
      <c r="J34" s="8" t="inlineStr">
        <is>
          <t>on site</t>
        </is>
      </c>
    </row>
    <row r="35">
      <c r="A35" s="8" t="inlineStr">
        <is>
          <t>WC42</t>
        </is>
      </c>
      <c r="B35" s="8" t="n">
        <v>1</v>
      </c>
      <c r="C35" s="9" t="inlineStr">
        <is>
          <t>0141</t>
        </is>
      </c>
      <c r="D35" s="8" t="inlineStr">
        <is>
          <t>-27.983280, 153.424840</t>
        </is>
      </c>
      <c r="E35" s="8" t="inlineStr">
        <is>
          <t>Commodore Park drop point (red dot)</t>
        </is>
      </c>
      <c r="F35" s="8" t="inlineStr">
        <is>
          <t>1 × FWF</t>
        </is>
      </c>
      <c r="G35" s="8" t="inlineStr">
        <is>
          <t>Toilets</t>
        </is>
      </c>
      <c r="H35" s="8" t="inlineStr">
        <is>
          <t>S10</t>
        </is>
      </c>
      <c r="I35" s="8" t="inlineStr">
        <is>
          <t>Master plan D001 (not a phone pin)</t>
        </is>
      </c>
      <c r="J35" s="8" t="inlineStr">
        <is>
          <t>on site</t>
        </is>
      </c>
    </row>
    <row r="36">
      <c r="A36" s="8" t="inlineStr">
        <is>
          <t>WC43</t>
        </is>
      </c>
      <c r="B36" s="8" t="n">
        <v>10</v>
      </c>
      <c r="C36" s="9" t="inlineStr">
        <is>
          <t>0723, 0056, 0161, 0182, 0528, 0696, 0420, 0961, 0646, 0581</t>
        </is>
      </c>
      <c r="D36" s="8" t="inlineStr">
        <is>
          <t>-27.986371, 153.427224</t>
        </is>
      </c>
      <c r="E36" s="8" t="inlineStr">
        <is>
          <t>Island north – by FREIGHT</t>
        </is>
      </c>
      <c r="F36" s="8" t="inlineStr">
        <is>
          <t>10 × FWF</t>
        </is>
      </c>
      <c r="G36" s="8" t="inlineStr">
        <is>
          <t>Toilets</t>
        </is>
      </c>
      <c r="H36" s="8" t="inlineStr">
        <is>
          <t>S14</t>
        </is>
      </c>
      <c r="I36" s="8" t="inlineStr">
        <is>
          <t>Master plan D001 (not a phone pin)</t>
        </is>
      </c>
      <c r="J36" s="8" t="inlineStr">
        <is>
          <t>on site</t>
        </is>
      </c>
    </row>
    <row r="37">
      <c r="A37" s="8" t="inlineStr">
        <is>
          <t>WC44</t>
        </is>
      </c>
      <c r="B37" s="8" t="n">
        <v>2</v>
      </c>
      <c r="C37" s="9" t="inlineStr">
        <is>
          <t>0146, 0037</t>
        </is>
      </c>
      <c r="D37" s="8" t="inlineStr">
        <is>
          <t>-27.988968, 153.428254</t>
        </is>
      </c>
      <c r="E37" s="8" t="inlineStr"/>
      <c r="F37" s="8" t="inlineStr">
        <is>
          <t>2 × FWF</t>
        </is>
      </c>
      <c r="G37" s="8" t="inlineStr">
        <is>
          <t>Toilets</t>
        </is>
      </c>
      <c r="H37" s="8" t="inlineStr">
        <is>
          <t>S05</t>
        </is>
      </c>
      <c r="I37" s="8" t="inlineStr">
        <is>
          <t>Master plan D001 (not a phone pin)</t>
        </is>
      </c>
      <c r="J37" s="8" t="inlineStr">
        <is>
          <t>on site</t>
        </is>
      </c>
    </row>
    <row r="38">
      <c r="A38" s="8" t="inlineStr">
        <is>
          <t>WC45</t>
        </is>
      </c>
      <c r="B38" s="8" t="n">
        <v>8</v>
      </c>
      <c r="C38" s="9" t="inlineStr">
        <is>
          <t>0542, 0086, 0947, 0544, 0632, 0562, 0549, 0673</t>
        </is>
      </c>
      <c r="D38" s="8" t="inlineStr">
        <is>
          <t>-27.990710, 153.428391</t>
        </is>
      </c>
      <c r="E38" s="8" t="inlineStr"/>
      <c r="F38" s="8" t="inlineStr">
        <is>
          <t>8 × FWF</t>
        </is>
      </c>
      <c r="G38" s="8" t="inlineStr">
        <is>
          <t>Toilets</t>
        </is>
      </c>
      <c r="H38" s="8" t="inlineStr">
        <is>
          <t>S15</t>
        </is>
      </c>
      <c r="I38" s="8" t="inlineStr">
        <is>
          <t>Master plan D001 (not a phone pin)</t>
        </is>
      </c>
      <c r="J38" s="8" t="inlineStr">
        <is>
          <t>on site</t>
        </is>
      </c>
    </row>
    <row r="39">
      <c r="A39" s="8" t="inlineStr">
        <is>
          <t>WC46</t>
        </is>
      </c>
      <c r="B39" s="8" t="n">
        <v>1</v>
      </c>
      <c r="C39" s="9" t="inlineStr">
        <is>
          <t>0525</t>
        </is>
      </c>
      <c r="D39" s="8" t="inlineStr">
        <is>
          <t>-27.992223, 153.429380</t>
        </is>
      </c>
      <c r="E39" s="8" t="inlineStr"/>
      <c r="F39" s="8" t="inlineStr">
        <is>
          <t>1 × FWF</t>
        </is>
      </c>
      <c r="G39" s="8" t="inlineStr">
        <is>
          <t>Toilets</t>
        </is>
      </c>
      <c r="H39" s="8" t="inlineStr"/>
      <c r="I39" s="8" t="inlineStr">
        <is>
          <t>Master plan D001 (not a phone pin)</t>
        </is>
      </c>
      <c r="J39" s="8" t="inlineStr">
        <is>
          <t>on site</t>
        </is>
      </c>
    </row>
    <row r="40">
      <c r="A40" s="8" t="inlineStr">
        <is>
          <t>WC47</t>
        </is>
      </c>
      <c r="B40" s="8" t="n">
        <v>1</v>
      </c>
      <c r="C40" s="9" t="inlineStr">
        <is>
          <t>0949</t>
        </is>
      </c>
      <c r="D40" s="8" t="inlineStr">
        <is>
          <t>-27.990183, 153.428381</t>
        </is>
      </c>
      <c r="E40" s="8" t="inlineStr"/>
      <c r="F40" s="8" t="inlineStr">
        <is>
          <t>1 × FWF</t>
        </is>
      </c>
      <c r="G40" s="8" t="inlineStr">
        <is>
          <t>Toilets</t>
        </is>
      </c>
      <c r="H40" s="8" t="inlineStr">
        <is>
          <t>S15</t>
        </is>
      </c>
      <c r="I40" s="8" t="inlineStr">
        <is>
          <t>Master plan D001 (not a phone pin)</t>
        </is>
      </c>
      <c r="J40" s="8" t="inlineStr">
        <is>
          <t>on site</t>
        </is>
      </c>
    </row>
    <row r="41">
      <c r="A41" s="8" t="inlineStr">
        <is>
          <t>WC48</t>
        </is>
      </c>
      <c r="B41" s="8" t="n">
        <v>4</v>
      </c>
      <c r="C41" s="9" t="inlineStr">
        <is>
          <t>0050, 0471, 0289, 0486</t>
        </is>
      </c>
      <c r="D41" s="8" t="inlineStr">
        <is>
          <t>-27.993750, 153.430458</t>
        </is>
      </c>
      <c r="E41" s="8" t="inlineStr"/>
      <c r="F41" s="8" t="inlineStr">
        <is>
          <t>4 × FWF</t>
        </is>
      </c>
      <c r="G41" s="8" t="inlineStr">
        <is>
          <t>Toilets</t>
        </is>
      </c>
      <c r="H41" s="8" t="inlineStr"/>
      <c r="I41" s="8" t="inlineStr">
        <is>
          <t>Master plan D001 (not a phone pin)</t>
        </is>
      </c>
      <c r="J41" s="8" t="inlineStr">
        <is>
          <t>on site</t>
        </is>
      </c>
    </row>
    <row r="42">
      <c r="A42" s="8" t="inlineStr">
        <is>
          <t>WC49</t>
        </is>
      </c>
      <c r="B42" s="8" t="n">
        <v>3</v>
      </c>
      <c r="C42" s="9" t="inlineStr">
        <is>
          <t>0919, 0907, 0084</t>
        </is>
      </c>
      <c r="D42" s="8" t="inlineStr">
        <is>
          <t>-27.993812, 153.430597</t>
        </is>
      </c>
      <c r="E42" s="8" t="inlineStr"/>
      <c r="F42" s="8" t="inlineStr">
        <is>
          <t>3 × FWF</t>
        </is>
      </c>
      <c r="G42" s="8" t="inlineStr">
        <is>
          <t>Toilets</t>
        </is>
      </c>
      <c r="H42" s="8" t="inlineStr"/>
      <c r="I42" s="8" t="inlineStr">
        <is>
          <t>Master plan D001 (not a phone pin)</t>
        </is>
      </c>
      <c r="J42" s="8" t="inlineStr">
        <is>
          <t>on site</t>
        </is>
      </c>
    </row>
    <row r="43">
      <c r="A43" s="8" t="inlineStr">
        <is>
          <t>WC50</t>
        </is>
      </c>
      <c r="B43" s="8" t="n">
        <v>1</v>
      </c>
      <c r="C43" s="9" t="inlineStr">
        <is>
          <t>1211974</t>
        </is>
      </c>
      <c r="D43" s="8" t="inlineStr">
        <is>
          <t>-27.989786, 153.429821</t>
        </is>
      </c>
      <c r="E43" s="8" t="inlineStr"/>
      <c r="F43" s="8" t="inlineStr">
        <is>
          <t>1 × FWF</t>
        </is>
      </c>
      <c r="G43" s="8" t="inlineStr">
        <is>
          <t>Toilet</t>
        </is>
      </c>
      <c r="H43" s="8" t="inlineStr">
        <is>
          <t>S18</t>
        </is>
      </c>
      <c r="I43" s="8" t="inlineStr">
        <is>
          <t>Master plan D001 (not a phone pin)</t>
        </is>
      </c>
      <c r="J43" s="8" t="inlineStr">
        <is>
          <t>on site</t>
        </is>
      </c>
    </row>
    <row r="44">
      <c r="A44" s="8" t="inlineStr">
        <is>
          <t>WC51</t>
        </is>
      </c>
      <c r="B44" s="8" t="n">
        <v>7</v>
      </c>
      <c r="C44" s="9" t="inlineStr">
        <is>
          <t>1197174, 0991, 0167, 0653, 0136, 0453, 0028</t>
        </is>
      </c>
      <c r="D44" s="8" t="inlineStr">
        <is>
          <t>-27.992857, 153.430460</t>
        </is>
      </c>
      <c r="E44" s="8" t="inlineStr"/>
      <c r="F44" s="8" t="inlineStr">
        <is>
          <t>1 × Accessible toilet, 6 × FWF</t>
        </is>
      </c>
      <c r="G44" s="8" t="inlineStr">
        <is>
          <t>Toilets</t>
        </is>
      </c>
      <c r="H44" s="8" t="inlineStr"/>
      <c r="I44" s="8" t="inlineStr">
        <is>
          <t>Master plan D001 (not a phone pin)</t>
        </is>
      </c>
      <c r="J44" s="8" t="inlineStr">
        <is>
          <t>on site</t>
        </is>
      </c>
    </row>
    <row r="45">
      <c r="A45" s="8" t="inlineStr">
        <is>
          <t>WC53</t>
        </is>
      </c>
      <c r="B45" s="8" t="n">
        <v>3</v>
      </c>
      <c r="C45" s="9" t="inlineStr">
        <is>
          <t>0952, 0951, 0074</t>
        </is>
      </c>
      <c r="D45" s="8" t="inlineStr">
        <is>
          <t>-27.992664, 153.430290</t>
        </is>
      </c>
      <c r="E45" s="8" t="inlineStr"/>
      <c r="F45" s="8" t="inlineStr">
        <is>
          <t>3 × FWF</t>
        </is>
      </c>
      <c r="G45" s="8" t="inlineStr">
        <is>
          <t>Toilets</t>
        </is>
      </c>
      <c r="H45" s="8" t="inlineStr"/>
      <c r="I45" s="8" t="inlineStr">
        <is>
          <t>Master plan D001 (not a phone pin)</t>
        </is>
      </c>
      <c r="J45" s="8" t="inlineStr">
        <is>
          <t>on site</t>
        </is>
      </c>
    </row>
    <row r="46">
      <c r="A46" s="8" t="inlineStr">
        <is>
          <t>WC54</t>
        </is>
      </c>
      <c r="B46" s="8" t="n">
        <v>6</v>
      </c>
      <c r="C46" s="9" t="inlineStr">
        <is>
          <t>0186, 0619, 0071, 0295, 0007, 0087</t>
        </is>
      </c>
      <c r="D46" s="8" t="inlineStr">
        <is>
          <t>-27.991588, 153.430458</t>
        </is>
      </c>
      <c r="E46" s="8" t="inlineStr"/>
      <c r="F46" s="8" t="inlineStr">
        <is>
          <t>6 × FWF</t>
        </is>
      </c>
      <c r="G46" s="8" t="inlineStr">
        <is>
          <t>Toilets</t>
        </is>
      </c>
      <c r="H46" s="8" t="inlineStr"/>
      <c r="I46" s="8" t="inlineStr">
        <is>
          <t>Master plan D001 (not a phone pin)</t>
        </is>
      </c>
      <c r="J46" s="8" t="inlineStr">
        <is>
          <t>on site</t>
        </is>
      </c>
    </row>
    <row r="47">
      <c r="A47" s="8" t="inlineStr">
        <is>
          <t>WC55</t>
        </is>
      </c>
      <c r="B47" s="8" t="n">
        <v>1</v>
      </c>
      <c r="C47" s="9" t="inlineStr">
        <is>
          <t>0650</t>
        </is>
      </c>
      <c r="D47" s="8" t="inlineStr">
        <is>
          <t>-27.991242, 153.429832</t>
        </is>
      </c>
      <c r="E47" s="8" t="inlineStr"/>
      <c r="F47" s="8" t="inlineStr">
        <is>
          <t>1 × FWF</t>
        </is>
      </c>
      <c r="G47" s="8" t="inlineStr">
        <is>
          <t>Toilets</t>
        </is>
      </c>
      <c r="H47" s="8" t="inlineStr"/>
      <c r="I47" s="8" t="inlineStr">
        <is>
          <t>Master plan D001 (not a phone pin)</t>
        </is>
      </c>
      <c r="J47" s="8" t="inlineStr">
        <is>
          <t>on site</t>
        </is>
      </c>
    </row>
    <row r="48">
      <c r="A48" s="8" t="inlineStr">
        <is>
          <t>WC56</t>
        </is>
      </c>
      <c r="B48" s="8" t="n">
        <v>12</v>
      </c>
      <c r="C48" s="9" t="inlineStr">
        <is>
          <t>0721, 0491, 0190, 0294, 0970, 0974, 0004, 0003, 0445, 0088, 0442, 0009</t>
        </is>
      </c>
      <c r="D48" s="8" t="inlineStr">
        <is>
          <t>-27.989820, 153.430077</t>
        </is>
      </c>
      <c r="E48" s="8" t="inlineStr"/>
      <c r="F48" s="8" t="inlineStr">
        <is>
          <t>12 × FWF</t>
        </is>
      </c>
      <c r="G48" s="8" t="inlineStr">
        <is>
          <t>Toilets</t>
        </is>
      </c>
      <c r="H48" s="8" t="inlineStr">
        <is>
          <t>S18</t>
        </is>
      </c>
      <c r="I48" s="8" t="inlineStr">
        <is>
          <t>Master plan D001 (not a phone pin)</t>
        </is>
      </c>
      <c r="J48" s="8" t="inlineStr">
        <is>
          <t>on site</t>
        </is>
      </c>
    </row>
    <row r="49">
      <c r="A49" s="8" t="inlineStr">
        <is>
          <t>WC57</t>
        </is>
      </c>
      <c r="B49" s="8" t="n">
        <v>2</v>
      </c>
      <c r="C49" s="9" t="inlineStr">
        <is>
          <t>0915, 0008</t>
        </is>
      </c>
      <c r="D49" s="8" t="inlineStr">
        <is>
          <t>-27.988206, 153.430076</t>
        </is>
      </c>
      <c r="E49" s="8" t="inlineStr">
        <is>
          <t>Main Beach seaside – by the supply compound</t>
        </is>
      </c>
      <c r="F49" s="8" t="inlineStr">
        <is>
          <t>2 × FWF</t>
        </is>
      </c>
      <c r="G49" s="8" t="inlineStr">
        <is>
          <t>Toilets</t>
        </is>
      </c>
      <c r="H49" s="8" t="inlineStr"/>
      <c r="I49" s="8" t="inlineStr">
        <is>
          <t>Master plan D001 (not a phone pin)</t>
        </is>
      </c>
      <c r="J49" s="8" t="inlineStr">
        <is>
          <t>on site</t>
        </is>
      </c>
    </row>
    <row r="50">
      <c r="A50" s="8" t="inlineStr">
        <is>
          <t>WC59</t>
        </is>
      </c>
      <c r="B50" s="8" t="n">
        <v>7</v>
      </c>
      <c r="C50" s="9" t="inlineStr">
        <is>
          <t>0492, 0935, 0497, 0633, 0064, 0066, 0533</t>
        </is>
      </c>
      <c r="D50" s="8" t="inlineStr">
        <is>
          <t>-27.988183, 153.430169</t>
        </is>
      </c>
      <c r="E50" s="8" t="inlineStr">
        <is>
          <t>Main Beach seaside – by the supply compound</t>
        </is>
      </c>
      <c r="F50" s="8" t="inlineStr">
        <is>
          <t>7 × FWF</t>
        </is>
      </c>
      <c r="G50" s="8" t="inlineStr">
        <is>
          <t>Toilets</t>
        </is>
      </c>
      <c r="H50" s="8" t="inlineStr"/>
      <c r="I50" s="8" t="inlineStr">
        <is>
          <t>Master plan D001 (not a phone pin)</t>
        </is>
      </c>
      <c r="J50" s="8" t="inlineStr">
        <is>
          <t>on site</t>
        </is>
      </c>
    </row>
    <row r="51">
      <c r="A51" s="8" t="inlineStr">
        <is>
          <t>WC60</t>
        </is>
      </c>
      <c r="B51" s="8" t="n">
        <v>2</v>
      </c>
      <c r="C51" s="9" t="inlineStr">
        <is>
          <t>1087500, 1119489</t>
        </is>
      </c>
      <c r="D51" s="8" t="inlineStr">
        <is>
          <t>-27.985279, 153.430053</t>
        </is>
      </c>
      <c r="E51" s="8" t="inlineStr">
        <is>
          <t>Seaside north – between S21 and S22</t>
        </is>
      </c>
      <c r="F51" s="8" t="inlineStr">
        <is>
          <t>2 × Toilet block 6m</t>
        </is>
      </c>
      <c r="G51" s="8" t="inlineStr">
        <is>
          <t>Toilets (Tank Mounted)</t>
        </is>
      </c>
      <c r="H51" s="8" t="inlineStr">
        <is>
          <t>S21</t>
        </is>
      </c>
      <c r="I51" s="8" t="inlineStr">
        <is>
          <t>Master plan D001 (not a phone pin)</t>
        </is>
      </c>
      <c r="J51" s="8" t="inlineStr">
        <is>
          <t>on site</t>
        </is>
      </c>
    </row>
    <row r="52">
      <c r="A52" s="8" t="inlineStr">
        <is>
          <t>WC61</t>
        </is>
      </c>
      <c r="B52" s="8" t="n">
        <v>8</v>
      </c>
      <c r="C52" s="9" t="inlineStr">
        <is>
          <t>0645, 0105, 0945, 0977, 0547, 0290, 0038, 0015</t>
        </is>
      </c>
      <c r="D52" s="8" t="inlineStr">
        <is>
          <t>-27.984122, 153.429824</t>
        </is>
      </c>
      <c r="E52" s="8" t="inlineStr">
        <is>
          <t>Seaside north – between S21 and S22</t>
        </is>
      </c>
      <c r="F52" s="8" t="inlineStr">
        <is>
          <t>8 × FWF</t>
        </is>
      </c>
      <c r="G52" s="8" t="inlineStr">
        <is>
          <t>Toilets</t>
        </is>
      </c>
      <c r="H52" s="8" t="inlineStr">
        <is>
          <t>S22A</t>
        </is>
      </c>
      <c r="I52" s="8" t="inlineStr">
        <is>
          <t>Master plan D001 (not a phone pin)</t>
        </is>
      </c>
      <c r="J52" s="8" t="inlineStr">
        <is>
          <t>on site</t>
        </is>
      </c>
    </row>
    <row r="53">
      <c r="A53" s="8" t="inlineStr">
        <is>
          <t>WC62</t>
        </is>
      </c>
      <c r="B53" s="8" t="n">
        <v>2</v>
      </c>
      <c r="C53" s="9" t="inlineStr">
        <is>
          <t>0976, 0103</t>
        </is>
      </c>
      <c r="D53" s="8" t="inlineStr">
        <is>
          <t>-27.981667, 153.429218</t>
        </is>
      </c>
      <c r="E53" s="8" t="inlineStr"/>
      <c r="F53" s="8" t="inlineStr">
        <is>
          <t>2 × FWF</t>
        </is>
      </c>
      <c r="G53" s="8" t="inlineStr">
        <is>
          <t>Toilets</t>
        </is>
      </c>
      <c r="H53" s="8" t="inlineStr"/>
      <c r="I53" s="8" t="inlineStr">
        <is>
          <t>Master plan D001 (not a phone pin)</t>
        </is>
      </c>
      <c r="J53" s="8" t="inlineStr">
        <is>
          <t>on site</t>
        </is>
      </c>
    </row>
    <row r="54">
      <c r="A54" s="8" t="inlineStr">
        <is>
          <t>WC65</t>
        </is>
      </c>
      <c r="B54" s="8" t="n">
        <v>1</v>
      </c>
      <c r="C54" s="9" t="inlineStr">
        <is>
          <t>0033</t>
        </is>
      </c>
      <c r="D54" s="8" t="inlineStr">
        <is>
          <t>-27.981478, 153.426408</t>
        </is>
      </c>
      <c r="E54" s="8" t="inlineStr">
        <is>
          <t>The Hill – entry point A47</t>
        </is>
      </c>
      <c r="F54" s="8" t="inlineStr">
        <is>
          <t>1 × FWF</t>
        </is>
      </c>
      <c r="G54" s="8" t="inlineStr">
        <is>
          <t>Toilets</t>
        </is>
      </c>
      <c r="H54" s="8" t="inlineStr"/>
      <c r="I54" s="8" t="inlineStr">
        <is>
          <t>Master plan D001 (not a phone pin)</t>
        </is>
      </c>
      <c r="J54" s="8" t="inlineStr">
        <is>
          <t>on site</t>
        </is>
      </c>
    </row>
    <row r="55">
      <c r="A55" s="8" t="inlineStr">
        <is>
          <t>WC67</t>
        </is>
      </c>
      <c r="B55" s="8" t="n">
        <v>2</v>
      </c>
      <c r="C55" s="9" t="inlineStr">
        <is>
          <t>0793, 0769</t>
        </is>
      </c>
      <c r="D55" s="8" t="inlineStr">
        <is>
          <t>-27.981391, 153.424166</t>
        </is>
      </c>
      <c r="E55" s="8" t="inlineStr">
        <is>
          <t>Helen Park drop point (red dot)</t>
        </is>
      </c>
      <c r="F55" s="8" t="inlineStr">
        <is>
          <t>2 × FWF</t>
        </is>
      </c>
      <c r="G55" s="8" t="inlineStr">
        <is>
          <t>Toilets</t>
        </is>
      </c>
      <c r="H55" s="8" t="inlineStr">
        <is>
          <t>S23</t>
        </is>
      </c>
      <c r="I55" s="8" t="inlineStr">
        <is>
          <t>Master plan D001 (not a phone pin)</t>
        </is>
      </c>
      <c r="J55" s="8" t="inlineStr">
        <is>
          <t>on site</t>
        </is>
      </c>
    </row>
    <row r="56">
      <c r="A56" s="8" t="inlineStr">
        <is>
          <t>WC68</t>
        </is>
      </c>
      <c r="B56" s="8" t="n">
        <v>1</v>
      </c>
      <c r="C56" s="9" t="inlineStr">
        <is>
          <t>0426</t>
        </is>
      </c>
      <c r="D56" s="8" t="inlineStr">
        <is>
          <t>-27.981498, 153.424438</t>
        </is>
      </c>
      <c r="E56" s="8" t="inlineStr">
        <is>
          <t>Helen Park drop point (red dot)</t>
        </is>
      </c>
      <c r="F56" s="8" t="inlineStr">
        <is>
          <t>1 × FWF</t>
        </is>
      </c>
      <c r="G56" s="8" t="inlineStr">
        <is>
          <t>Toilets</t>
        </is>
      </c>
      <c r="H56" s="8" t="inlineStr">
        <is>
          <t>S23</t>
        </is>
      </c>
      <c r="I56" s="8" t="inlineStr">
        <is>
          <t>Master plan D001 (not a phone pin)</t>
        </is>
      </c>
      <c r="J56" s="8" t="inlineStr">
        <is>
          <t>on site</t>
        </is>
      </c>
    </row>
    <row r="57">
      <c r="A57" s="8" t="inlineStr">
        <is>
          <t>WC69</t>
        </is>
      </c>
      <c r="B57" s="8" t="n">
        <v>12</v>
      </c>
      <c r="C57" s="9" t="inlineStr">
        <is>
          <t>0152, 0078, 0010, 0070, 0958, 0647, 0622, 0123, 0432, 0692, 0679, 0592</t>
        </is>
      </c>
      <c r="D57" s="8" t="inlineStr">
        <is>
          <t>-27.981496, 153.424162</t>
        </is>
      </c>
      <c r="E57" s="8" t="inlineStr">
        <is>
          <t>Helen Park drop point (red dot)</t>
        </is>
      </c>
      <c r="F57" s="8" t="inlineStr">
        <is>
          <t>12 × FWF</t>
        </is>
      </c>
      <c r="G57" s="8" t="inlineStr">
        <is>
          <t>Toilets</t>
        </is>
      </c>
      <c r="H57" s="8" t="inlineStr">
        <is>
          <t>S23</t>
        </is>
      </c>
      <c r="I57" s="8" t="inlineStr">
        <is>
          <t>Master plan D001 (not a phone pin)</t>
        </is>
      </c>
      <c r="J57" s="8" t="inlineStr">
        <is>
          <t>on site</t>
        </is>
      </c>
    </row>
    <row r="58">
      <c r="A58" s="8" t="inlineStr">
        <is>
          <t>WC70</t>
        </is>
      </c>
      <c r="B58" s="8" t="n">
        <v>1</v>
      </c>
      <c r="C58" s="9" t="inlineStr">
        <is>
          <t>0423</t>
        </is>
      </c>
      <c r="D58" s="8" t="inlineStr">
        <is>
          <t>-27.981659, 153.424041</t>
        </is>
      </c>
      <c r="E58" s="8" t="inlineStr">
        <is>
          <t>Helen Park drop point (red dot)</t>
        </is>
      </c>
      <c r="F58" s="8" t="inlineStr">
        <is>
          <t>1 × FWF</t>
        </is>
      </c>
      <c r="G58" s="8" t="inlineStr">
        <is>
          <t>Toilet</t>
        </is>
      </c>
      <c r="H58" s="8" t="inlineStr">
        <is>
          <t>S23</t>
        </is>
      </c>
      <c r="I58" s="8" t="inlineStr">
        <is>
          <t>Master plan D001 (not a phone pin)</t>
        </is>
      </c>
      <c r="J58" s="8" t="inlineStr">
        <is>
          <t>on site</t>
        </is>
      </c>
    </row>
    <row r="59">
      <c r="A59" s="8" t="inlineStr">
        <is>
          <t>WC71</t>
        </is>
      </c>
      <c r="B59" s="8" t="n">
        <v>8</v>
      </c>
      <c r="C59" s="9" t="inlineStr">
        <is>
          <t>0280, 0116, 0279, 0293, 0531, 0644, 0552, 0490</t>
        </is>
      </c>
      <c r="D59" s="8" t="inlineStr">
        <is>
          <t>-27.981283, 153.423484</t>
        </is>
      </c>
      <c r="E59" s="8" t="inlineStr">
        <is>
          <t>Helen Park drop point (red dot)</t>
        </is>
      </c>
      <c r="F59" s="8" t="inlineStr">
        <is>
          <t>8 × FWF</t>
        </is>
      </c>
      <c r="G59" s="8" t="inlineStr">
        <is>
          <t>Toilets</t>
        </is>
      </c>
      <c r="H59" s="8" t="inlineStr">
        <is>
          <t>S23</t>
        </is>
      </c>
      <c r="I59" s="8" t="inlineStr">
        <is>
          <t>Master plan D001 (not a phone pin)</t>
        </is>
      </c>
      <c r="J59" s="8" t="inlineStr">
        <is>
          <t>on site</t>
        </is>
      </c>
    </row>
    <row r="60">
      <c r="A60" s="8" t="inlineStr">
        <is>
          <t>WC72</t>
        </is>
      </c>
      <c r="B60" s="8" t="n">
        <v>1</v>
      </c>
      <c r="C60" s="9" t="inlineStr">
        <is>
          <t>0699</t>
        </is>
      </c>
      <c r="D60" s="8" t="inlineStr">
        <is>
          <t>-27.982129, 153.424007</t>
        </is>
      </c>
      <c r="E60" s="8" t="inlineStr">
        <is>
          <t>Helen Park drop point (red dot)</t>
        </is>
      </c>
      <c r="F60" s="8" t="inlineStr">
        <is>
          <t>1 × FWF</t>
        </is>
      </c>
      <c r="G60" s="8" t="inlineStr">
        <is>
          <t>Toilets</t>
        </is>
      </c>
      <c r="H60" s="8" t="inlineStr">
        <is>
          <t>S23</t>
        </is>
      </c>
      <c r="I60" s="8" t="inlineStr">
        <is>
          <t>Master plan D001 (not a phone pin)</t>
        </is>
      </c>
      <c r="J60" s="8" t="inlineStr">
        <is>
          <t>on site</t>
        </is>
      </c>
    </row>
    <row r="61">
      <c r="A61" s="8" t="inlineStr">
        <is>
          <t>WC73</t>
        </is>
      </c>
      <c r="B61" s="8" t="n">
        <v>2</v>
      </c>
      <c r="C61" s="9" t="inlineStr">
        <is>
          <t>0765, 0192</t>
        </is>
      </c>
      <c r="D61" s="8" t="inlineStr">
        <is>
          <t>-27.986961, 153.428102</t>
        </is>
      </c>
      <c r="E61" s="8" t="inlineStr">
        <is>
          <t>Island north – by FREIGHT</t>
        </is>
      </c>
      <c r="F61" s="8" t="inlineStr">
        <is>
          <t>2 × FWF</t>
        </is>
      </c>
      <c r="G61" s="8" t="inlineStr">
        <is>
          <t>Toilets</t>
        </is>
      </c>
      <c r="H61" s="8" t="inlineStr">
        <is>
          <t>S02</t>
        </is>
      </c>
      <c r="I61" s="8" t="inlineStr">
        <is>
          <t>Master plan D001 (not a phone pin)</t>
        </is>
      </c>
      <c r="J61" s="8" t="inlineStr">
        <is>
          <t>on site</t>
        </is>
      </c>
    </row>
    <row r="62">
      <c r="A62" s="8" t="inlineStr">
        <is>
          <t>WC81</t>
        </is>
      </c>
      <c r="B62" s="8" t="n">
        <v>1</v>
      </c>
      <c r="C62" s="9" t="inlineStr">
        <is>
          <t>0124</t>
        </is>
      </c>
      <c r="D62" s="8" t="inlineStr">
        <is>
          <t>-27.997509, 153.428455</t>
        </is>
      </c>
      <c r="E62" s="8" t="inlineStr"/>
      <c r="F62" s="8" t="inlineStr">
        <is>
          <t>1 × FWF</t>
        </is>
      </c>
      <c r="G62" s="8" t="inlineStr">
        <is>
          <t>Toilet (Cypress)</t>
        </is>
      </c>
      <c r="H62" s="8" t="inlineStr"/>
      <c r="I62" s="8" t="inlineStr">
        <is>
          <t>Master plan D001 (not a phone pin)</t>
        </is>
      </c>
      <c r="J62" s="8" t="inlineStr">
        <is>
          <t>on site</t>
        </is>
      </c>
    </row>
    <row r="63">
      <c r="A63" s="8" t="inlineStr">
        <is>
          <t>WC85</t>
        </is>
      </c>
      <c r="B63" s="8" t="n">
        <v>1</v>
      </c>
      <c r="C63" s="9" t="inlineStr">
        <is>
          <t>0135</t>
        </is>
      </c>
      <c r="D63" s="8" t="inlineStr"/>
      <c r="E63" s="8" t="inlineStr"/>
      <c r="F63" s="8" t="inlineStr">
        <is>
          <t>1 × FWF</t>
        </is>
      </c>
      <c r="G63" s="8" t="inlineStr">
        <is>
          <t>Toilets</t>
        </is>
      </c>
      <c r="H63" s="8" t="inlineStr"/>
      <c r="I63" s="8" t="inlineStr"/>
      <c r="J63" s="8" t="inlineStr">
        <is>
          <t>on site</t>
        </is>
      </c>
    </row>
    <row r="64">
      <c r="A64" s="8" t="inlineStr">
        <is>
          <t>WC86</t>
        </is>
      </c>
      <c r="B64" s="8" t="n">
        <v>1</v>
      </c>
      <c r="C64" s="9" t="inlineStr">
        <is>
          <t>1296899</t>
        </is>
      </c>
      <c r="D64" s="8" t="inlineStr">
        <is>
          <t>-27.987704, 153.428229</t>
        </is>
      </c>
      <c r="E64" s="8" t="inlineStr">
        <is>
          <t>Island north – by FREIGHT</t>
        </is>
      </c>
      <c r="F64" s="8" t="inlineStr">
        <is>
          <t>1 × Accessible toilet</t>
        </is>
      </c>
      <c r="G64" s="8" t="inlineStr">
        <is>
          <t>Toilet</t>
        </is>
      </c>
      <c r="H64" s="8" t="inlineStr">
        <is>
          <t>S04</t>
        </is>
      </c>
      <c r="I64" s="8" t="inlineStr">
        <is>
          <t>Master plan D001 (not a phone pin)</t>
        </is>
      </c>
      <c r="J64" s="8" t="inlineStr">
        <is>
          <t>on site</t>
        </is>
      </c>
    </row>
    <row r="65">
      <c r="A65" s="8" t="inlineStr">
        <is>
          <t>WC100</t>
        </is>
      </c>
      <c r="B65" s="8" t="n">
        <v>2</v>
      </c>
      <c r="C65" s="9" t="inlineStr">
        <is>
          <t>1248439, 1288823</t>
        </is>
      </c>
      <c r="D65" s="8" t="inlineStr"/>
      <c r="E65" s="8" t="inlineStr"/>
      <c r="F65" s="8" t="inlineStr">
        <is>
          <t>2 × FWF trailer</t>
        </is>
      </c>
      <c r="G65" s="8" t="inlineStr"/>
      <c r="H65" s="8" t="inlineStr"/>
      <c r="I65" s="8" t="inlineStr"/>
      <c r="J65" s="8" t="inlineStr">
        <is>
          <t>on site</t>
        </is>
      </c>
    </row>
    <row r="66">
      <c r="A66" s="8" t="inlineStr">
        <is>
          <t>PG01</t>
        </is>
      </c>
      <c r="B66" s="8" t="n">
        <v>1</v>
      </c>
      <c r="C66" s="9" t="inlineStr">
        <is>
          <t>0285</t>
        </is>
      </c>
      <c r="D66" s="8" t="inlineStr"/>
      <c r="E66" s="8" t="inlineStr">
        <is>
          <t>Pit lane entry</t>
        </is>
      </c>
      <c r="F66" s="8" t="inlineStr">
        <is>
          <t>1 × FWF</t>
        </is>
      </c>
      <c r="G66" s="8" t="inlineStr">
        <is>
          <t>Toilet (Pit Garage)</t>
        </is>
      </c>
      <c r="H66" s="8" t="inlineStr">
        <is>
          <t>S01</t>
        </is>
      </c>
      <c r="I66" s="8" t="inlineStr"/>
      <c r="J66" s="8" t="inlineStr">
        <is>
          <t>on site</t>
        </is>
      </c>
    </row>
    <row r="67">
      <c r="A67" s="8" t="inlineStr">
        <is>
          <t>PG03</t>
        </is>
      </c>
      <c r="B67" s="8" t="n">
        <v>1</v>
      </c>
      <c r="C67" s="9" t="inlineStr">
        <is>
          <t>0100</t>
        </is>
      </c>
      <c r="D67" s="8" t="inlineStr"/>
      <c r="E67" s="8" t="inlineStr">
        <is>
          <t>Pit lane entry</t>
        </is>
      </c>
      <c r="F67" s="8" t="inlineStr">
        <is>
          <t>1 × FWF</t>
        </is>
      </c>
      <c r="G67" s="8" t="inlineStr">
        <is>
          <t>Toilet (Pit Garage)</t>
        </is>
      </c>
      <c r="H67" s="8" t="inlineStr">
        <is>
          <t>S01</t>
        </is>
      </c>
      <c r="I67" s="8" t="inlineStr"/>
      <c r="J67" s="8" t="inlineStr">
        <is>
          <t>on site</t>
        </is>
      </c>
    </row>
    <row r="68">
      <c r="A68" s="8" t="inlineStr">
        <is>
          <t>PG05</t>
        </is>
      </c>
      <c r="B68" s="8" t="n">
        <v>1</v>
      </c>
      <c r="C68" s="9" t="inlineStr">
        <is>
          <t>0438</t>
        </is>
      </c>
      <c r="D68" s="8" t="inlineStr"/>
      <c r="E68" s="8" t="inlineStr">
        <is>
          <t>Pit lane entry</t>
        </is>
      </c>
      <c r="F68" s="8" t="inlineStr">
        <is>
          <t>1 × FWF</t>
        </is>
      </c>
      <c r="G68" s="8" t="inlineStr">
        <is>
          <t>Toilet (Pit Garage)</t>
        </is>
      </c>
      <c r="H68" s="8" t="inlineStr">
        <is>
          <t>S01</t>
        </is>
      </c>
      <c r="I68" s="8" t="inlineStr"/>
      <c r="J68" s="8" t="inlineStr">
        <is>
          <t>on site</t>
        </is>
      </c>
    </row>
    <row r="69">
      <c r="A69" s="8" t="inlineStr">
        <is>
          <t>PG29</t>
        </is>
      </c>
      <c r="B69" s="8" t="n">
        <v>1</v>
      </c>
      <c r="C69" s="9" t="inlineStr">
        <is>
          <t>0573</t>
        </is>
      </c>
      <c r="D69" s="8" t="inlineStr"/>
      <c r="E69" s="8" t="inlineStr">
        <is>
          <t>Pit lane entry</t>
        </is>
      </c>
      <c r="F69" s="8" t="inlineStr">
        <is>
          <t>1 × FWF</t>
        </is>
      </c>
      <c r="G69" s="8" t="inlineStr">
        <is>
          <t>Toilet (Pit Garage)</t>
        </is>
      </c>
      <c r="H69" s="8" t="inlineStr">
        <is>
          <t>S01</t>
        </is>
      </c>
      <c r="I69" s="8" t="inlineStr"/>
      <c r="J69" s="8" t="inlineStr">
        <is>
          <t>on site</t>
        </is>
      </c>
    </row>
    <row r="70">
      <c r="A70" s="8" t="inlineStr">
        <is>
          <t>T0024</t>
        </is>
      </c>
      <c r="B70" s="8" t="n">
        <v>1</v>
      </c>
      <c r="C70" s="9" t="inlineStr">
        <is>
          <t>1211968</t>
        </is>
      </c>
      <c r="D70" s="8" t="inlineStr"/>
      <c r="E70" s="8" t="inlineStr"/>
      <c r="F70" s="8" t="inlineStr">
        <is>
          <t>1 × FWF</t>
        </is>
      </c>
      <c r="G70" s="8" t="inlineStr">
        <is>
          <t>FWF</t>
        </is>
      </c>
      <c r="H70" s="8" t="inlineStr"/>
      <c r="I70" s="8" t="inlineStr"/>
      <c r="J70" s="8" t="inlineStr"/>
    </row>
    <row r="71">
      <c r="A71" s="8" t="inlineStr">
        <is>
          <t>T0162</t>
        </is>
      </c>
      <c r="B71" s="8" t="n">
        <v>1</v>
      </c>
      <c r="C71" s="9" t="inlineStr">
        <is>
          <t>0990</t>
        </is>
      </c>
      <c r="D71" s="8" t="inlineStr"/>
      <c r="E71" s="8" t="inlineStr"/>
      <c r="F71" s="8" t="inlineStr">
        <is>
          <t>1 × FWF</t>
        </is>
      </c>
      <c r="G71" s="8" t="inlineStr">
        <is>
          <t>FWF · Blanchard Race</t>
        </is>
      </c>
      <c r="H71" s="8" t="inlineStr"/>
      <c r="I71" s="8" t="inlineStr"/>
      <c r="J71" s="8" t="inlineStr">
        <is>
          <t>on site</t>
        </is>
      </c>
    </row>
    <row r="72">
      <c r="A72" s="8" t="inlineStr">
        <is>
          <t>T0176</t>
        </is>
      </c>
      <c r="B72" s="8" t="n">
        <v>2</v>
      </c>
      <c r="C72" s="9" t="inlineStr">
        <is>
          <t>0994, 0576</t>
        </is>
      </c>
      <c r="D72" s="8" t="inlineStr"/>
      <c r="E72" s="8" t="inlineStr"/>
      <c r="F72" s="8" t="inlineStr">
        <is>
          <t>2 × FWF</t>
        </is>
      </c>
      <c r="G72" s="8" t="inlineStr">
        <is>
          <t>FWF × 2 · Redbull</t>
        </is>
      </c>
      <c r="H72" s="8" t="inlineStr"/>
      <c r="I72" s="8" t="inlineStr"/>
      <c r="J72" s="8" t="inlineStr">
        <is>
          <t>on site</t>
        </is>
      </c>
    </row>
    <row r="73">
      <c r="A73" s="8" t="inlineStr">
        <is>
          <t>T0243</t>
        </is>
      </c>
      <c r="B73" s="8" t="n">
        <v>1</v>
      </c>
      <c r="C73" s="9" t="inlineStr">
        <is>
          <t>1311144</t>
        </is>
      </c>
      <c r="D73" s="8" t="inlineStr">
        <is>
          <t>-27.987534, 153.428271</t>
        </is>
      </c>
      <c r="E73" s="8" t="inlineStr">
        <is>
          <t>Island north – by FREIGHT</t>
        </is>
      </c>
      <c r="F73" s="8" t="inlineStr">
        <is>
          <t>1 × Toilet block 6m</t>
        </is>
      </c>
      <c r="G73" s="8" t="inlineStr">
        <is>
          <t>Toilet Block 6m · WC-TV (sewer connect)</t>
        </is>
      </c>
      <c r="H73" s="8" t="inlineStr">
        <is>
          <t>S04</t>
        </is>
      </c>
      <c r="I73" s="8" t="inlineStr">
        <is>
          <t>Master plan D001 (not a phone pin)</t>
        </is>
      </c>
      <c r="J73" s="8" t="inlineStr"/>
    </row>
    <row r="74">
      <c r="A74" s="8" t="inlineStr">
        <is>
          <t>BJR01</t>
        </is>
      </c>
      <c r="B74" s="8" t="n">
        <v>1</v>
      </c>
      <c r="C74" s="9" t="inlineStr">
        <is>
          <t>0941</t>
        </is>
      </c>
      <c r="D74" s="8" t="inlineStr"/>
      <c r="E74" s="8" t="inlineStr"/>
      <c r="F74" s="8" t="inlineStr">
        <is>
          <t>1 × FWF</t>
        </is>
      </c>
      <c r="G74" s="8" t="inlineStr">
        <is>
          <t>Brad Jones Racing</t>
        </is>
      </c>
      <c r="H74" s="8" t="inlineStr"/>
      <c r="I74" s="8" t="inlineStr"/>
      <c r="J74" s="8" t="inlineStr">
        <is>
          <t>on site</t>
        </is>
      </c>
    </row>
    <row r="75">
      <c r="A75" s="8" t="inlineStr">
        <is>
          <t>SVP01</t>
        </is>
      </c>
      <c r="B75" s="8" t="n">
        <v>1</v>
      </c>
      <c r="C75" s="9" t="inlineStr">
        <is>
          <t>0939</t>
        </is>
      </c>
      <c r="D75" s="8" t="inlineStr"/>
      <c r="E75" s="8" t="inlineStr"/>
      <c r="F75" s="8" t="inlineStr">
        <is>
          <t>1 × FWF</t>
        </is>
      </c>
      <c r="G75" s="8" t="inlineStr">
        <is>
          <t>Shell V-Power</t>
        </is>
      </c>
      <c r="H75" s="8" t="inlineStr"/>
      <c r="I75" s="8" t="inlineStr"/>
      <c r="J75" s="8" t="inlineStr">
        <is>
          <t>on site</t>
        </is>
      </c>
    </row>
    <row r="77">
      <c r="A77" s="10" t="inlineStr">
        <is>
          <t>Total</t>
        </is>
      </c>
      <c r="B77" s="10">
        <f>SUM(B2:B75)</f>
        <v/>
      </c>
    </row>
  </sheetData>
  <autoFilter ref="A1:J7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6" customWidth="1" min="2" max="2"/>
    <col width="24" customWidth="1" min="3" max="3"/>
    <col width="22" customWidth="1" min="4" max="4"/>
    <col width="16" customWidth="1" min="5" max="5"/>
    <col width="70" customWidth="1" min="6" max="6"/>
    <col width="34" customWidth="1" min="7" max="7"/>
  </cols>
  <sheetData>
    <row r="1" ht="30" customHeight="1">
      <c r="A1" s="1" t="inlineStr">
        <is>
          <t>Reference</t>
        </is>
      </c>
      <c r="B1" s="1" t="inlineStr">
        <is>
          <t>Qty</t>
        </is>
      </c>
      <c r="C1" s="1" t="inlineStr">
        <is>
          <t>Type</t>
        </is>
      </c>
      <c r="D1" s="1" t="inlineStr">
        <is>
          <t>When</t>
        </is>
      </c>
      <c r="E1" s="1" t="inlineStr">
        <is>
          <t>Supplier</t>
        </is>
      </c>
      <c r="F1" s="1" t="inlineStr">
        <is>
          <t>What the sources say</t>
        </is>
      </c>
      <c r="G1" s="1" t="inlineStr">
        <is>
          <t>Source</t>
        </is>
      </c>
    </row>
    <row r="2">
      <c r="A2" s="9" t="inlineStr">
        <is>
          <t>Tickford</t>
        </is>
      </c>
      <c r="B2" s="9" t="n">
        <v>1</v>
      </c>
      <c r="C2" s="9" t="inlineStr">
        <is>
          <t>FWF</t>
        </is>
      </c>
      <c r="D2" s="9" t="inlineStr">
        <is>
          <t>21 Oct (planned)</t>
        </is>
      </c>
      <c r="E2" s="9" t="inlineStr">
        <is>
          <t>Event Portables</t>
        </is>
      </c>
      <c r="F2" s="9" t="inlineStr">
        <is>
          <t>Pit-lane team toilet on Schedule 9 (Event Week row 44: "2026-10-21 | Toilet | FWF | 1 | Tickford | event p"). Not on the site record, so not on the page. Blanchard, Brad Jones, Shell V-Power and Red Bull from the same block of rows are all on.</t>
        </is>
      </c>
      <c r="G2" s="9" t="inlineStr">
        <is>
          <t>Schedule 9, Event Week row 44</t>
        </is>
      </c>
    </row>
    <row r="3">
      <c r="A3" s="9" t="inlineStr">
        <is>
          <t>Pit lane party (Q6847)</t>
        </is>
      </c>
      <c r="B3" s="9" t="n">
        <v>1</v>
      </c>
      <c r="C3" s="9" t="inlineStr">
        <is>
          <t>Luxury toilet trailer (Porta Lisa Plus)</t>
        </is>
      </c>
      <c r="D3" s="9" t="inlineStr">
        <is>
          <t>22 Oct, 17:30 drop, 19:00-22:00 use, 23:00 collect; staff on site</t>
        </is>
      </c>
      <c r="E3" s="9" t="inlineStr">
        <is>
          <t>Event Portables</t>
        </is>
      </c>
      <c r="F3" s="9" t="inlineStr">
        <is>
          <t>Approved Event Portables quote for the V8s pit lane party, one night. No reference on the record.</t>
        </is>
      </c>
      <c r="G3" s="9" t="inlineStr">
        <is>
          <t>Event Portables quote Q6847 (page data, rehire quotes)</t>
        </is>
      </c>
    </row>
    <row r="4">
      <c r="A4" s="9" t="inlineStr">
        <is>
          <t>VIP combo blocks (Q6845)</t>
        </is>
      </c>
      <c r="B4" s="9" t="n">
        <v>3</v>
      </c>
      <c r="C4" s="9" t="inlineStr">
        <is>
          <t>VIP 5 Star Combo toilet block</t>
        </is>
      </c>
      <c r="D4" s="9" t="inlineStr">
        <is>
          <t>never allocated</t>
        </is>
      </c>
      <c r="E4" s="9" t="inlineStr">
        <is>
          <t>Event Portables</t>
        </is>
      </c>
      <c r="F4" s="9" t="inlineStr">
        <is>
          <t>On the Event Portables quote as an allowance only: "No WC allocation - not on the load plan. Coates will advise if and where these are needed." Not ordered onto site.</t>
        </is>
      </c>
      <c r="G4" s="9" t="inlineStr">
        <is>
          <t>Event Portables quote Q6845; EP plan 3 Oct</t>
        </is>
      </c>
    </row>
    <row r="5">
      <c r="A5" s="9" t="inlineStr">
        <is>
          <t>WC18</t>
        </is>
      </c>
      <c r="B5" s="9" t="n"/>
      <c r="C5" s="9" t="inlineStr">
        <is>
          <t>Toilet (drawn)</t>
        </is>
      </c>
      <c r="D5" s="9" t="inlineStr"/>
      <c r="E5" s="9" t="inlineStr"/>
      <c r="F5" s="9" t="inlineStr">
        <is>
          <t>Drawn on master D001 and called out on D023 only. On no schedule, contract, quote or record.</t>
        </is>
      </c>
      <c r="G5" s="9" t="inlineStr">
        <is>
          <t>Master D001 (17 Sep and 2 Oct), D023</t>
        </is>
      </c>
    </row>
    <row r="6">
      <c r="A6" s="9" t="inlineStr">
        <is>
          <t>WC-BSF (WCBS)</t>
        </is>
      </c>
      <c r="B6" s="9" t="n"/>
      <c r="C6" s="9" t="inlineStr">
        <is>
          <t>Toilet (drawn)</t>
        </is>
      </c>
      <c r="D6" s="9" t="inlineStr"/>
      <c r="E6" s="9" t="inlineStr"/>
      <c r="F6" s="9" t="inlineStr">
        <is>
          <t>Drawn only, next to WC67 and WC69. On no schedule, contract or record; may be part of WC67/WC69 rather than a separate drop.</t>
        </is>
      </c>
      <c r="G6" s="9" t="inlineStr">
        <is>
          <t>Master D001, D023</t>
        </is>
      </c>
    </row>
    <row r="7">
      <c r="A7" s="9" t="inlineStr">
        <is>
          <t>WC32</t>
        </is>
      </c>
      <c r="B7" s="9" t="n">
        <v>1</v>
      </c>
      <c r="C7" s="9" t="inlineStr">
        <is>
          <t>FWF</t>
        </is>
      </c>
      <c r="D7" s="9" t="inlineStr">
        <is>
          <t>cancelled 3 Oct</t>
        </is>
      </c>
      <c r="E7" s="9" t="inlineStr"/>
      <c r="F7" s="9" t="inlineStr">
        <is>
          <t>Cancelled (Andrew: "wc32 is cancelled"), deleted 17 Oct. Schedule 9 still lists it (Week 2 row 27).</t>
        </is>
      </c>
      <c r="G7" s="9" t="inlineStr">
        <is>
          <t>Site record notes; Schedule 9</t>
        </is>
      </c>
    </row>
    <row r="8">
      <c r="A8" s="9" t="inlineStr">
        <is>
          <t>WC66</t>
        </is>
      </c>
      <c r="B8" s="9" t="n">
        <v>2</v>
      </c>
      <c r="C8" s="9" t="inlineStr">
        <is>
          <t>FWF</t>
        </is>
      </c>
      <c r="D8" s="9" t="inlineStr">
        <is>
          <t>deleted 1 Oct</t>
        </is>
      </c>
      <c r="E8" s="9" t="inlineStr"/>
      <c r="F8" s="9" t="inlineStr">
        <is>
          <t>"Not on this job" (deleted 1 Oct). Schedule 9 still lists it (Week 3 row 21).</t>
        </is>
      </c>
      <c r="G8" s="9" t="inlineStr">
        <is>
          <t>Site record notes; Schedule 9</t>
        </is>
      </c>
    </row>
    <row r="9">
      <c r="A9" s="9" t="inlineStr">
        <is>
          <t>T0089 (Event Elec)</t>
        </is>
      </c>
      <c r="B9" s="9" t="n">
        <v>1</v>
      </c>
      <c r="C9" s="9" t="inlineStr">
        <is>
          <t>FWF</t>
        </is>
      </c>
      <c r="D9" s="9" t="inlineStr">
        <is>
          <t>deleted 6 Oct</t>
        </is>
      </c>
      <c r="E9" s="9" t="inlineStr"/>
      <c r="F9" s="9" t="inlineStr">
        <is>
          <t>"Not on this job" (deleted 6 Oct).</t>
        </is>
      </c>
      <c r="G9" s="9" t="inlineStr">
        <is>
          <t>Site record notes; Schedule 9 Week 2 row 9</t>
        </is>
      </c>
    </row>
    <row r="10">
      <c r="A10" s="9" t="inlineStr">
        <is>
          <t>P13, P14, P15, P16</t>
        </is>
      </c>
      <c r="B10" s="9" t="n"/>
      <c r="C10" s="9" t="inlineStr">
        <is>
          <t>"+ TOILET" on the schedule</t>
        </is>
      </c>
      <c r="D10" s="9" t="inlineStr"/>
      <c r="E10" s="9" t="inlineStr"/>
      <c r="F10" s="9" t="inlineStr">
        <is>
          <t>Schedule 9 writes "+ TOILET" in the asset cell of these four team offices (WAU, Grove, Erebus, WFL). No toilet unit, contract line, docket line or record entry exists for any of them; the dockets carry the building only. Worth a look on site.</t>
        </is>
      </c>
      <c r="G10" s="9" t="inlineStr">
        <is>
          <t>Schedule 9 Week 4 rows 2-5</t>
        </is>
      </c>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34" customWidth="1" min="2" max="2"/>
    <col width="40" customWidth="1" min="3" max="3"/>
    <col width="60" customWidth="1" min="4" max="4"/>
  </cols>
  <sheetData>
    <row r="1" ht="30" customHeight="1">
      <c r="A1" s="1" t="inlineStr">
        <is>
          <t>Reference</t>
        </is>
      </c>
      <c r="B1" s="1" t="inlineStr">
        <is>
          <t>Site record (used here)</t>
        </is>
      </c>
      <c r="C1" s="1" t="inlineStr">
        <is>
          <t>Paperwork says</t>
        </is>
      </c>
      <c r="D1" s="1" t="inlineStr">
        <is>
          <t>Note</t>
        </is>
      </c>
    </row>
    <row r="2">
      <c r="A2" s="9" t="inlineStr">
        <is>
          <t>WC07</t>
        </is>
      </c>
      <c r="B2" s="9" t="inlineStr">
        <is>
          <t>1317743 (Andrew's entry, 22 Sep)</t>
        </is>
      </c>
      <c r="C2" s="9" t="inlineStr">
        <is>
          <t>1317643 (Baseplan line 38, docket 26081411)</t>
        </is>
      </c>
      <c r="D2" s="9" t="inlineStr">
        <is>
          <t>One of twenty; the other nineteen agree. Andrew's number stands; the plate settles it.</t>
        </is>
      </c>
    </row>
    <row r="3">
      <c r="A3" s="9" t="inlineStr">
        <is>
          <t>WC01</t>
        </is>
      </c>
      <c r="B3" s="9" t="inlineStr">
        <is>
          <t>3 units: 1317644 accessible, 1211958, 1211967</t>
        </is>
      </c>
      <c r="C3" s="9" t="inlineStr">
        <is>
          <t>Baseplan 9968955 line 140 adds 172824 as a fourth unit</t>
        </is>
      </c>
      <c r="D3" s="9" t="inlineStr">
        <is>
          <t>WC01 asks 3 and has 3: a spare, a swap or a docket slip.</t>
        </is>
      </c>
    </row>
    <row r="4">
      <c r="A4" s="9" t="inlineStr">
        <is>
          <t>WC21</t>
        </is>
      </c>
      <c r="B4" s="9" t="inlineStr">
        <is>
          <t>6 FWF</t>
        </is>
      </c>
      <c r="C4" s="9" t="inlineStr">
        <is>
          <t>Baseplan adds 1083399 as a seventh</t>
        </is>
      </c>
      <c r="D4" s="9" t="inlineStr">
        <is>
          <t>WC21 asks 6 and has 6: a spare, a swap or a docket slip.</t>
        </is>
      </c>
    </row>
    <row r="5">
      <c r="A5" s="9" t="inlineStr">
        <is>
          <t>WC12</t>
        </is>
      </c>
      <c r="B5" s="9" t="inlineStr">
        <is>
          <t>4 FWF incl. 1211963</t>
        </is>
      </c>
      <c r="C5" s="9" t="inlineStr">
        <is>
          <t>No contract hire line for 1211963 (3 lines for 4 units)</t>
        </is>
      </c>
      <c r="D5" s="9" t="inlineStr">
        <is>
          <t>A charge to check, not a missing toilet.</t>
        </is>
      </c>
    </row>
    <row r="6">
      <c r="A6" s="9" t="inlineStr">
        <is>
          <t>WC67</t>
        </is>
      </c>
      <c r="B6" s="9" t="inlineStr">
        <is>
          <t>2 FWF (0793, 0769)</t>
        </is>
      </c>
      <c r="C6" s="9" t="inlineStr">
        <is>
          <t>Schedule shows 4 on 13 Oct, "up from 2"</t>
        </is>
      </c>
      <c r="D6" s="9" t="inlineStr">
        <is>
          <t>Andrew 1 Oct: "WC67 here and complete and installed. Assets no 0793 0769". Whether 2 more were ever wanted is still open.</t>
        </is>
      </c>
    </row>
    <row r="7">
      <c r="A7" s="9" t="inlineStr">
        <is>
          <t>WC09</t>
        </is>
      </c>
      <c r="B7" s="9" t="inlineStr">
        <is>
          <t>10 FWF + 2 blocks (+ 6 pee panels)</t>
        </is>
      </c>
      <c r="C7" s="9" t="inlineStr">
        <is>
          <t>Schedule shows 4 FWF + 6 pee panels</t>
        </is>
      </c>
      <c r="D7" s="9" t="inlineStr">
        <is>
          <t>The record is what is standing there.</t>
        </is>
      </c>
    </row>
    <row r="8">
      <c r="A8" s="9" t="inlineStr">
        <is>
          <t>WC60</t>
        </is>
      </c>
      <c r="B8" s="9" t="inlineStr">
        <is>
          <t>2 blocks (1087500, 1119489)</t>
        </is>
      </c>
      <c r="C8" s="9" t="inlineStr">
        <is>
          <t>Schedule 9 shows 1 block</t>
        </is>
      </c>
      <c r="D8" s="9" t="inlineStr">
        <is>
          <t>The record is what is standing there.</t>
        </is>
      </c>
    </row>
    <row r="9">
      <c r="A9" s="9" t="inlineStr">
        <is>
          <t>Event Portables FWF</t>
        </is>
      </c>
      <c r="B9" s="9" t="inlineStr">
        <is>
          <t>193 on references + spare 0164 = 194</t>
        </is>
      </c>
      <c r="C9" s="9" t="inlineStr">
        <is>
          <t>Supplier total 194 (confirmed 6 Oct)</t>
        </is>
      </c>
      <c r="D9" s="9" t="inlineStr">
        <is>
          <t>Agrees.</t>
        </is>
      </c>
    </row>
  </sheetData>
  <autoFilter ref="A1:D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8" customWidth="1" min="1" max="1"/>
    <col width="110" customWidth="1" min="2" max="2"/>
  </cols>
  <sheetData>
    <row r="1">
      <c r="A1" s="11" t="inlineStr">
        <is>
          <t>GC500 toilet register</t>
        </is>
      </c>
      <c r="B1" t="inlineStr"/>
    </row>
    <row r="2">
      <c r="A2" s="12" t="inlineStr">
        <is>
          <t>Source</t>
        </is>
      </c>
      <c r="B2" s="13" t="inlineStr">
        <is>
          <t>Live site record, version 9704, read 17 Oct 2026 20:02 (Gold Coast time)</t>
        </is>
      </c>
    </row>
    <row r="3">
      <c r="A3" s="12" t="inlineStr">
        <is>
          <t>Covers</t>
        </is>
      </c>
      <c r="B3" s="13" t="inlineStr">
        <is>
          <t>Every FWF, FWF trailer, accessible toilet, toilet block and 16-pan block on the record, including pit garage (PG), T-numbered and team toilets. Waste tanks and pee panels are left out.</t>
        </is>
      </c>
    </row>
    <row r="4">
      <c r="A4" s="12" t="inlineStr">
        <is>
          <t>Checked</t>
        </is>
      </c>
      <c r="B4" s="13" t="inlineStr">
        <is>
          <t>17 Oct 2026: every source swept for toilet references (live record and page data, Schedule 9, Baseplan, dockets, Event Portables plans and quotes, master plan D001 and D023, record backups, 2025 papers); 133 candidates each checked by an independent reviewer.</t>
        </is>
      </c>
    </row>
    <row r="5">
      <c r="A5" s="12" t="inlineStr">
        <is>
          <t>References</t>
        </is>
      </c>
      <c r="B5" s="13" t="n">
        <v>74</v>
      </c>
    </row>
    <row r="6">
      <c r="A6" s="12" t="inlineStr">
        <is>
          <t>Units</t>
        </is>
      </c>
      <c r="B6" s="13" t="inlineStr">
        <is>
          <t>257 (including 1 spare with no reference)</t>
        </is>
      </c>
    </row>
    <row r="7">
      <c r="A7" s="12" t="inlineStr">
        <is>
          <t xml:space="preserve">  FWF</t>
        </is>
      </c>
      <c r="B7" s="13" t="n">
        <v>234</v>
      </c>
    </row>
    <row r="8">
      <c r="A8" s="12" t="inlineStr">
        <is>
          <t xml:space="preserve">  Toilet block 6m</t>
        </is>
      </c>
      <c r="B8" s="13" t="n">
        <v>15</v>
      </c>
    </row>
    <row r="9">
      <c r="A9" s="12" t="inlineStr">
        <is>
          <t xml:space="preserve">  Accessible toilet</t>
        </is>
      </c>
      <c r="B9" s="13" t="n">
        <v>4</v>
      </c>
    </row>
    <row r="10">
      <c r="A10" s="12" t="inlineStr">
        <is>
          <t xml:space="preserve">  16-pan block</t>
        </is>
      </c>
      <c r="B10" s="13" t="n">
        <v>2</v>
      </c>
    </row>
    <row r="11">
      <c r="A11" s="12" t="inlineStr">
        <is>
          <t xml:space="preserve">  FWF trailer</t>
        </is>
      </c>
      <c r="B11" s="13" t="n">
        <v>2</v>
      </c>
    </row>
    <row r="12">
      <c r="A12" s="12" t="inlineStr"/>
      <c r="B12" s="13" t="inlineStr"/>
    </row>
    <row r="13">
      <c r="A13" s="12" t="inlineStr">
        <is>
          <t>Qty</t>
        </is>
      </c>
      <c r="B13" s="13" t="inlineStr">
        <is>
          <t>One row per unit, so Qty is 1 on each row and the column adds up to the total. "Unit" shows its place in the reference (3 of 17). The By reference sheet gives the quantity per reference.</t>
        </is>
      </c>
    </row>
    <row r="14">
      <c r="A14" s="12" t="inlineStr">
        <is>
          <t>Asset No</t>
        </is>
      </c>
      <c r="B14" s="13" t="inlineStr">
        <is>
          <t>The number recorded against the unit. 7-digit numbers are Coates assets; 2- to 4-digit numbers are Event Portables unit numbers. Blank (shaded) where the record has no number for that unit.</t>
        </is>
      </c>
    </row>
    <row r="15">
      <c r="A15" s="12" t="inlineStr">
        <is>
          <t>Pin location</t>
        </is>
      </c>
      <c r="B15" s="13" t="inlineStr">
        <is>
          <t>The reference's position on the 2 Oct master plan (D001), as the page uses it. It is the reference's spot, not a phone pin on each unit; units in a group share it. Blank where the record has no position for the reference (pit garages and pit lane team toilets go to the pit lane report point, which is not where they stand).</t>
        </is>
      </c>
    </row>
    <row r="16">
      <c r="A16" s="12" t="inlineStr">
        <is>
          <t>Area</t>
        </is>
      </c>
      <c r="B16" s="13" t="inlineStr">
        <is>
          <t>The drop point the page sends trucks to for that reference. Blank where the page has only its default (pit lane entry) or no position to go on.</t>
        </is>
      </c>
    </row>
    <row r="17">
      <c r="A17" s="12" t="inlineStr">
        <is>
          <t>Status</t>
        </is>
      </c>
      <c r="B17" s="13" t="inlineStr">
        <is>
          <t>Delivery state on the record. Blank where the reference has no delivery entry.</t>
        </is>
      </c>
    </row>
    <row r="18">
      <c r="A18" s="12" t="inlineStr">
        <is>
          <t>WC31</t>
        </is>
      </c>
      <c r="B18" s="13" t="inlineStr">
        <is>
          <t>Accessible toilet 1317645 (Coates) is recorded under the 16-pan line but labelled Accessible Toilet; it is shown here as the accessible toilet. Blocks 12 and 74 are Event Portables.</t>
        </is>
      </c>
    </row>
    <row r="19">
      <c r="A19" s="12" t="inlineStr">
        <is>
          <t>Pit lane</t>
        </is>
      </c>
      <c r="B19" s="13" t="inlineStr">
        <is>
          <t>Pit garages PG01, PG03, PG05 and PG29 are the only PG numbers anywhere (the master prints no garage numbers). Team toilets: T0162 Blanchard, T0176 Red Bull, BJR01 Brad Jones, SVP01 Shell V-Power; T0024 is the Coates compound toilet. Tickford (21 Oct) and the 22 Oct party trailer are on the "Not on the record" sheet.</t>
        </is>
      </c>
    </row>
    <row r="20">
      <c r="A20" s="12" t="inlineStr">
        <is>
          <t>T and F</t>
        </is>
      </c>
      <c r="B20" s="13" t="inlineStr">
        <is>
          <t>The only standalone T toilet references are T0024, T0162, T0176 and T0243 (T0243 is the WC-TV block). Other T numbers are schedule rows inside a WC or PG reference. No F reference is a toilet: F01 is fencing, FL01-FL04 forklifts, FR01/FR02 fridges.</t>
        </is>
      </c>
    </row>
    <row r="21">
      <c r="A21" s="12" t="inlineStr">
        <is>
          <t>Other sheets</t>
        </is>
      </c>
      <c r="B21" s="13" t="inlineStr">
        <is>
          <t>"Not on the record": toilets on a schedule, quote or drawing but not on the site record. "Paperwork differences": where Baseplan, dockets or the schedule disagree with the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2026-10-17T12:54:50Z</dcterms:created>
  <dcterms:modified xmlns:dcterms="http://purl.org/dc/terms/" xmlns:xsi="http://www.w3.org/2001/XMLSchema-instance" xsi:type="dcterms:W3CDTF">2026-10-17T12:54:50Z</dcterms:modified>
</cp:coreProperties>
</file>