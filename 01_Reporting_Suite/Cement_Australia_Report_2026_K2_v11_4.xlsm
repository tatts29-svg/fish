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queryTables/queryTable8.xml" ContentType="application/vnd.openxmlformats-officedocument.spreadsheetml.queryTable+xml"/>
  <Override PartName="/xl/tables/table17.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tables/table18.xml" ContentType="application/vnd.openxmlformats-officedocument.spreadsheetml.table+xml"/>
  <Override PartName="/xl/tables/table19.xml" ContentType="application/vnd.openxmlformats-officedocument.spreadsheetml.table+xml"/>
  <Override PartName="/xl/queryTables/queryTable9.xml" ContentType="application/vnd.openxmlformats-officedocument.spreadsheetml.query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0.xml" ContentType="application/vnd.openxmlformats-officedocument.spreadsheetml.queryTable+xml"/>
  <Override PartName="/xl/tables/table29.xml" ContentType="application/vnd.openxmlformats-officedocument.spreadsheetml.table+xml"/>
  <Override PartName="/xl/queryTables/queryTable11.xml" ContentType="application/vnd.openxmlformats-officedocument.spreadsheetml.queryTable+xml"/>
  <Override PartName="/xl/tables/table30.xml" ContentType="application/vnd.openxmlformats-officedocument.spreadsheetml.table+xml"/>
  <Override PartName="/xl/queryTables/queryTable12.xml" ContentType="application/vnd.openxmlformats-officedocument.spreadsheetml.queryTable+xml"/>
  <Override PartName="/xl/tables/table31.xml" ContentType="application/vnd.openxmlformats-officedocument.spreadsheetml.table+xml"/>
  <Override PartName="/xl/queryTables/queryTable13.xml" ContentType="application/vnd.openxmlformats-officedocument.spreadsheetml.queryTable+xml"/>
  <Override PartName="/xl/tables/table32.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mc:AlternateContent xmlns:mc="http://schemas.openxmlformats.org/markup-compatibility/2006">
    <mc:Choice Requires="x15">
      <x15ac:absPath xmlns:x15ac="http://schemas.microsoft.com/office/spreadsheetml/2010/11/ac" url="https://coateshire-my.sharepoint.com/personal/andrew_fisher_coateshire_com_au/Documents/Desktop/New Cement Australia 2026/01_Reporting_Suite/"/>
    </mc:Choice>
  </mc:AlternateContent>
  <xr:revisionPtr revIDLastSave="10353" documentId="13_ncr:1_{72141133-84EA-4A28-9DB3-5FB3BB163510}" xr6:coauthVersionLast="47" xr6:coauthVersionMax="47" xr10:uidLastSave="{775F03BB-40F9-4BE8-B23A-746891507B06}"/>
  <bookViews>
    <workbookView xWindow="1536" yWindow="1536" windowWidth="17280" windowHeight="9960" tabRatio="884" xr2:uid="{00000000-000D-0000-FFFF-FFFF00000000}"/>
  </bookViews>
  <sheets>
    <sheet name="Gas Monitors Onhire" sheetId="8" r:id="rId1"/>
    <sheet name="Radios Onhire" sheetId="7" r:id="rId2"/>
    <sheet name="Tooling Onhire." sheetId="12" r:id="rId3"/>
    <sheet name="Plant Onsite " sheetId="10" r:id="rId4"/>
    <sheet name="Plant Onhire" sheetId="11" r:id="rId5"/>
    <sheet name="Milwaukee Onhire" sheetId="6" r:id="rId6"/>
    <sheet name="RENTAL_STOCK (2)" sheetId="5" state="hidden" r:id="rId7"/>
    <sheet name="Live Utilisation" sheetId="4" r:id="rId8"/>
    <sheet name="Shutdown Costing" sheetId="13" r:id="rId9"/>
    <sheet name="Daily Tracking" sheetId="1" r:id="rId10"/>
    <sheet name="Plant Equipment" sheetId="29" r:id="rId11"/>
    <sheet name="Plant Variance" sheetId="62" r:id="rId12"/>
    <sheet name="Coates Way + Safety" sheetId="40" r:id="rId13"/>
    <sheet name="Tooling to Supply" sheetId="17" r:id="rId14"/>
    <sheet name="Compliance + Assurance" sheetId="41" r:id="rId15"/>
    <sheet name="K2 Dashboard" sheetId="50" r:id="rId16"/>
    <sheet name="Company Accountability" sheetId="51" r:id="rId17"/>
    <sheet name="Dashboard Data" sheetId="52" state="hidden" r:id="rId18"/>
    <sheet name="Stocktake Log" sheetId="53" r:id="rId19"/>
    <sheet name="Controls &amp; Exceptions" sheetId="54" r:id="rId20"/>
    <sheet name="Control Config" sheetId="55" r:id="rId21"/>
    <sheet name="Control Data" sheetId="56" state="hidden" r:id="rId22"/>
    <sheet name="Consumables Stock" sheetId="57" r:id="rId23"/>
    <sheet name="Consumables Utilisation" sheetId="59" r:id="rId24"/>
    <sheet name="Consumables Movement" sheetId="58" r:id="rId25"/>
    <sheet name="Company Spend" sheetId="60" r:id="rId26"/>
    <sheet name="Stocktake Coverage" sheetId="61" r:id="rId27"/>
  </sheets>
  <definedNames>
    <definedName name="ExternalData_1" localSheetId="25" hidden="1">'Company Spend'!$A$4:$H$18</definedName>
    <definedName name="ExternalData_1" localSheetId="24" hidden="1">'Consumables Movement'!$A$4:$F$79</definedName>
    <definedName name="ExternalData_1" localSheetId="22" hidden="1">'Consumables Stock'!$A$4:$G$62</definedName>
    <definedName name="ExternalData_1" localSheetId="23" hidden="1">'Consumables Utilisation'!$A$4:$G$61</definedName>
    <definedName name="ExternalData_1" localSheetId="7" hidden="1">'Live Utilisation'!$A$1:$R$940</definedName>
    <definedName name="ExternalData_1" localSheetId="11" hidden="1">'Plant Variance'!$A$4:$H$6</definedName>
    <definedName name="ExternalData_1" localSheetId="26" hidden="1">'Stocktake Coverage'!$A$4:$F$13</definedName>
    <definedName name="ExternalData_1" localSheetId="18" hidden="1">'Stocktake Log'!$A$4:$D$58</definedName>
    <definedName name="ExternalData_2" localSheetId="6" hidden="1">'RENTAL_STOCK (2)'!$A$1:$I$28</definedName>
    <definedName name="ExternalData_3" localSheetId="5" hidden="1">'Milwaukee Onhire'!$A$1:$O$29</definedName>
    <definedName name="ExternalData_4" localSheetId="1" hidden="1">'Radios Onhire'!$A$1:$O$75</definedName>
    <definedName name="ExternalData_5" localSheetId="0" hidden="1">'Gas Monitors Onhire'!$A$1:$L$9</definedName>
    <definedName name="ExternalData_5" localSheetId="3" hidden="1">'Plant Onsite '!$A$1:$AJ$214</definedName>
    <definedName name="ExternalData_6" localSheetId="4" hidden="1">'Plant Onhire'!$A$1:$L$50</definedName>
    <definedName name="ExternalData_7" localSheetId="2" hidden="1">'Tooling Onhire.'!$A$1:$L$70</definedName>
    <definedName name="K2_ActualCompleteness">'Control Data'!$AL$40</definedName>
    <definedName name="K2_ActualRequiredCategories">'Control Config'!$B$14</definedName>
    <definedName name="K2_ApprovedOverrideCount">'Dashboard Data'!$H$49</definedName>
    <definedName name="K2_AutomationCommissioned">'Control Config'!$B$22</definedName>
    <definedName name="K2_ControlAsOfDate">'Control Config'!$B$4</definedName>
    <definedName name="K2_ControlHealth">'Dashboard Data'!$H$42</definedName>
    <definedName name="K2_ControlsPrintArea">'Controls &amp; Exceptions'!$A$1:$L$43</definedName>
    <definedName name="K2_CriticalExceptionCount">'Dashboard Data'!$H$44</definedName>
    <definedName name="K2_CriticalStockoutCount">'Dashboard Data'!$H$48</definedName>
    <definedName name="K2_DailyCloseTime">'Control Config'!$B$7</definedName>
    <definedName name="K2_EmailCC">'Dashboard Data'!$H$39</definedName>
    <definedName name="K2_EmailSubject">'Dashboard Data'!$H$40</definedName>
    <definedName name="K2_EmailTo">'Dashboard Data'!$H$38</definedName>
    <definedName name="K2_ExposureHighThreshold">'Control Config'!$B$15</definedName>
    <definedName name="K2_HighExceptionCount">'Dashboard Data'!$H$45</definedName>
    <definedName name="K2_InboundLeadDays">'Control Config'!$B$10</definedName>
    <definedName name="K2_LastAccountability">'Dashboard Data'!$H$41</definedName>
    <definedName name="K2_LastError">'Dashboard Data'!$H$36</definedName>
    <definedName name="K2_LastPDF">'Dashboard Data'!$H$37</definedName>
    <definedName name="K2_LastRefresh">'Dashboard Data'!$H$1</definedName>
    <definedName name="K2_LastSnapshot">'Dashboard Data'!$H$35</definedName>
    <definedName name="K2_MissingActualCount">'Control Data'!$AL$41</definedName>
    <definedName name="K2_ModelGap">'Dashboard Data'!$H$32</definedName>
    <definedName name="K2_ModelGapTolerance">'Control Config'!$B$8</definedName>
    <definedName name="K2_ModelHealth">'Dashboard Data'!$H$20</definedName>
    <definedName name="K2_OpenExceptionCount">'Dashboard Data'!$H$43</definedName>
    <definedName name="K2_PrintArea">'K2 Dashboard'!$A$1:$L$42</definedName>
    <definedName name="K2_QueryErrorCount">'Control Config'!$B$20</definedName>
    <definedName name="K2_RadioGasForecastDays">'Control Config'!$B$18</definedName>
    <definedName name="K2_ReconciledForecast">'Dashboard Data'!$H$31</definedName>
    <definedName name="K2_RefreshStatus">'Dashboard Data'!$H$2</definedName>
    <definedName name="K2_ReleaseGate">'Dashboard Data'!$H$42</definedName>
    <definedName name="K2_ReturnCriticalDays">'Control Config'!$B$13</definedName>
    <definedName name="K2_ReturnFollowupDays">'Control Config'!$B$11</definedName>
    <definedName name="K2_ReturnHighDays">'Control Config'!$B$12</definedName>
    <definedName name="K2_SafetyApproved">'Control Config'!$B$21</definedName>
    <definedName name="K2_ShutdownDays">'Control Config'!$B$16</definedName>
    <definedName name="K2_SourcePath">'Control Config'!$B$23</definedName>
    <definedName name="K2_ToolingUtilBase">'Control Config'!$B$17</definedName>
    <definedName name="K2_TrackingEnd">'Control Config'!$B$6</definedName>
    <definedName name="K2_TrackingForecast">'Dashboard Data'!$H$15</definedName>
    <definedName name="K2_TrackingStart">'Control Config'!$B$5</definedName>
    <definedName name="K2_UnreceivedPlantCount">'Dashboard Data'!$H$47</definedName>
    <definedName name="K2_ValueTolerance">'Control Config'!$B$9</definedName>
    <definedName name="_xlnm.Print_Area" localSheetId="16">'Company Accountability'!$A$1:$X$209</definedName>
    <definedName name="_xlnm.Print_Area" localSheetId="20">'Control Config'!$A$1:$R$53</definedName>
    <definedName name="_xlnm.Print_Area" localSheetId="19">'Controls &amp; Exceptions'!$A$1:$L$43</definedName>
    <definedName name="_xlnm.Print_Area" localSheetId="15">'K2 Dashboard'!$A$1:$L$42</definedName>
    <definedName name="_xlnm.Print_Titles" localSheetId="16">'Company Accountability'!$1:$4</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 i="52" l="1"/>
  <c r="J6" i="50" s="1"/>
  <c r="A3" i="54"/>
  <c r="D17" i="54"/>
  <c r="F17" i="54" s="1"/>
  <c r="A30" i="54"/>
  <c r="B30" i="54" s="1"/>
  <c r="A29" i="54"/>
  <c r="B29" i="54" s="1"/>
  <c r="A28" i="54"/>
  <c r="B28" i="54" s="1"/>
  <c r="A27" i="54"/>
  <c r="B27" i="54" s="1"/>
  <c r="A26" i="54"/>
  <c r="B26" i="54" s="1"/>
  <c r="A25" i="54"/>
  <c r="B25" i="54" s="1"/>
  <c r="A24" i="54"/>
  <c r="B24" i="54" s="1"/>
  <c r="D19" i="54"/>
  <c r="F19" i="54" s="1"/>
  <c r="D16" i="54"/>
  <c r="F16" i="54" s="1"/>
  <c r="D13" i="54"/>
  <c r="F13" i="54" s="1"/>
  <c r="J3" i="54"/>
  <c r="I39" i="13"/>
  <c r="J39" i="13" s="1"/>
  <c r="L39" i="13" s="1"/>
  <c r="I38" i="13"/>
  <c r="J38" i="13" s="1"/>
  <c r="L38" i="13" s="1"/>
  <c r="I37" i="13"/>
  <c r="J37" i="13" s="1"/>
  <c r="L37" i="13" s="1"/>
  <c r="I36" i="13"/>
  <c r="J36" i="13" s="1"/>
  <c r="L36" i="13" s="1"/>
  <c r="I35" i="13"/>
  <c r="J35" i="13" s="1"/>
  <c r="L35" i="13" s="1"/>
  <c r="I34" i="13"/>
  <c r="J34" i="13" s="1"/>
  <c r="L34" i="13" s="1"/>
  <c r="G186" i="29"/>
  <c r="G185" i="29"/>
  <c r="G184" i="29"/>
  <c r="G183" i="29"/>
  <c r="G182" i="29"/>
  <c r="C177" i="29"/>
  <c r="C176" i="29"/>
  <c r="C175" i="29"/>
  <c r="C174" i="29"/>
  <c r="C173" i="29"/>
  <c r="C172" i="29"/>
  <c r="C171" i="29"/>
  <c r="C170" i="29"/>
  <c r="C169" i="29"/>
  <c r="C168" i="29"/>
  <c r="W6" i="56"/>
  <c r="D12" i="54" s="1"/>
  <c r="M44" i="56"/>
  <c r="M45" i="56"/>
  <c r="M46" i="56"/>
  <c r="M47" i="56"/>
  <c r="M48" i="56"/>
  <c r="M49" i="56"/>
  <c r="M50" i="56"/>
  <c r="M51" i="56"/>
  <c r="M52" i="56"/>
  <c r="M53" i="56"/>
  <c r="M54" i="56"/>
  <c r="M55" i="56"/>
  <c r="M56" i="56"/>
  <c r="M57" i="56"/>
  <c r="M58" i="56"/>
  <c r="M59" i="56"/>
  <c r="M60" i="56"/>
  <c r="M61" i="56"/>
  <c r="M62" i="56"/>
  <c r="M63" i="56"/>
  <c r="M64" i="56"/>
  <c r="M65" i="56"/>
  <c r="M66" i="56"/>
  <c r="M67" i="56"/>
  <c r="M68" i="56"/>
  <c r="M69" i="56"/>
  <c r="M70" i="56"/>
  <c r="M71" i="56"/>
  <c r="M72" i="56"/>
  <c r="M73" i="56"/>
  <c r="M74" i="56"/>
  <c r="M75" i="56"/>
  <c r="M76" i="56"/>
  <c r="M77" i="56"/>
  <c r="M78" i="56"/>
  <c r="M79" i="56"/>
  <c r="M80" i="56"/>
  <c r="M81" i="56"/>
  <c r="M82" i="56"/>
  <c r="M83" i="56"/>
  <c r="M84" i="56"/>
  <c r="M85" i="56"/>
  <c r="M86" i="56"/>
  <c r="M87" i="56"/>
  <c r="M88" i="56"/>
  <c r="M89" i="56"/>
  <c r="M90" i="56"/>
  <c r="M91" i="56"/>
  <c r="M92" i="56"/>
  <c r="M93" i="56"/>
  <c r="M94" i="56"/>
  <c r="M95" i="56"/>
  <c r="M96" i="56"/>
  <c r="M97" i="56"/>
  <c r="M98" i="56"/>
  <c r="M99" i="56"/>
  <c r="M100" i="56"/>
  <c r="M101" i="56"/>
  <c r="M102" i="56"/>
  <c r="M103" i="56"/>
  <c r="M104" i="56"/>
  <c r="M105" i="56"/>
  <c r="M106" i="56"/>
  <c r="M107" i="56"/>
  <c r="M108" i="56"/>
  <c r="M109" i="56"/>
  <c r="M110" i="56"/>
  <c r="M111" i="56"/>
  <c r="M112" i="56"/>
  <c r="M113" i="56"/>
  <c r="M114" i="56"/>
  <c r="M115" i="56"/>
  <c r="M116" i="56"/>
  <c r="M117" i="56"/>
  <c r="M118" i="56"/>
  <c r="M119" i="56"/>
  <c r="M120" i="56"/>
  <c r="M121" i="56"/>
  <c r="M122" i="56"/>
  <c r="M123" i="56"/>
  <c r="M124" i="56"/>
  <c r="M125" i="56"/>
  <c r="M126" i="56"/>
  <c r="M127" i="56"/>
  <c r="M128" i="56"/>
  <c r="M129" i="56"/>
  <c r="M130" i="56"/>
  <c r="M131" i="56"/>
  <c r="M132" i="56"/>
  <c r="M133" i="56"/>
  <c r="M134" i="56"/>
  <c r="M135" i="56"/>
  <c r="M136" i="56"/>
  <c r="M137" i="56"/>
  <c r="M138" i="56"/>
  <c r="M139" i="56"/>
  <c r="M140" i="56"/>
  <c r="M141" i="56"/>
  <c r="M142" i="56"/>
  <c r="M143" i="56"/>
  <c r="M144" i="56"/>
  <c r="M145" i="56"/>
  <c r="M146" i="56"/>
  <c r="M147" i="56"/>
  <c r="M148" i="56"/>
  <c r="M149" i="56"/>
  <c r="M150" i="56"/>
  <c r="M151" i="56"/>
  <c r="M152" i="56"/>
  <c r="M153" i="56"/>
  <c r="M154" i="56"/>
  <c r="M155" i="56"/>
  <c r="M156" i="56"/>
  <c r="M157" i="56"/>
  <c r="M158" i="56"/>
  <c r="M159" i="56"/>
  <c r="M160" i="56"/>
  <c r="M161" i="56"/>
  <c r="M162" i="56"/>
  <c r="M163" i="56"/>
  <c r="M164" i="56"/>
  <c r="M165" i="56"/>
  <c r="M166" i="56"/>
  <c r="M167" i="56"/>
  <c r="M168" i="56"/>
  <c r="M169" i="56"/>
  <c r="M170" i="56"/>
  <c r="M171" i="56"/>
  <c r="M172" i="56"/>
  <c r="M173" i="56"/>
  <c r="M174" i="56"/>
  <c r="M175" i="56"/>
  <c r="M176" i="56"/>
  <c r="M177" i="56"/>
  <c r="M178" i="56"/>
  <c r="M179" i="56"/>
  <c r="M180" i="56"/>
  <c r="M181" i="56"/>
  <c r="M182" i="56"/>
  <c r="M183" i="56"/>
  <c r="M184" i="56"/>
  <c r="M185" i="56"/>
  <c r="M186" i="56"/>
  <c r="M187" i="56"/>
  <c r="M188" i="56"/>
  <c r="M189" i="56"/>
  <c r="M190" i="56"/>
  <c r="M191" i="56"/>
  <c r="M192" i="56"/>
  <c r="M193" i="56"/>
  <c r="M194" i="56"/>
  <c r="M195" i="56"/>
  <c r="M196" i="56"/>
  <c r="M197" i="56"/>
  <c r="M198" i="56"/>
  <c r="M199" i="56"/>
  <c r="M200" i="56"/>
  <c r="M201" i="56"/>
  <c r="M202" i="56"/>
  <c r="M203" i="56"/>
  <c r="M204" i="56"/>
  <c r="M205" i="56"/>
  <c r="M206" i="56"/>
  <c r="M207" i="56"/>
  <c r="M208" i="56"/>
  <c r="M209" i="56"/>
  <c r="M210" i="56"/>
  <c r="M211" i="56"/>
  <c r="M212" i="56"/>
  <c r="M213" i="56"/>
  <c r="M214" i="56"/>
  <c r="M215" i="56"/>
  <c r="M216" i="56"/>
  <c r="M217" i="56"/>
  <c r="M218" i="56"/>
  <c r="M219" i="56"/>
  <c r="M220" i="56"/>
  <c r="M221" i="56"/>
  <c r="M222" i="56"/>
  <c r="M223" i="56"/>
  <c r="M224" i="56"/>
  <c r="M225" i="56"/>
  <c r="M226" i="56"/>
  <c r="M227" i="56"/>
  <c r="M228" i="56"/>
  <c r="M229" i="56"/>
  <c r="M230" i="56"/>
  <c r="M231" i="56"/>
  <c r="M232" i="56"/>
  <c r="M233" i="56"/>
  <c r="M234" i="56"/>
  <c r="M235" i="56"/>
  <c r="M236" i="56"/>
  <c r="M237" i="56"/>
  <c r="M238" i="56"/>
  <c r="M239" i="56"/>
  <c r="M240" i="56"/>
  <c r="M241" i="56"/>
  <c r="M242" i="56"/>
  <c r="M243" i="56"/>
  <c r="M244" i="56"/>
  <c r="M245" i="56"/>
  <c r="M246" i="56"/>
  <c r="M247" i="56"/>
  <c r="M248" i="56"/>
  <c r="M249" i="56"/>
  <c r="M250" i="56"/>
  <c r="M251" i="56"/>
  <c r="M252" i="56"/>
  <c r="M253" i="56"/>
  <c r="M254" i="56"/>
  <c r="M255" i="56"/>
  <c r="M256" i="56"/>
  <c r="M257" i="56"/>
  <c r="M258" i="56"/>
  <c r="M259" i="56"/>
  <c r="M260" i="56"/>
  <c r="M261" i="56"/>
  <c r="M262" i="56"/>
  <c r="M263" i="56"/>
  <c r="M264" i="56"/>
  <c r="M265" i="56"/>
  <c r="M266" i="56"/>
  <c r="M267" i="56"/>
  <c r="M268" i="56"/>
  <c r="M269" i="56"/>
  <c r="M270" i="56"/>
  <c r="M271" i="56"/>
  <c r="M272" i="56"/>
  <c r="M273" i="56"/>
  <c r="M274" i="56"/>
  <c r="M275" i="56"/>
  <c r="M276" i="56"/>
  <c r="M277" i="56"/>
  <c r="M278" i="56"/>
  <c r="M279" i="56"/>
  <c r="M280" i="56"/>
  <c r="M281" i="56"/>
  <c r="M282" i="56"/>
  <c r="M283" i="56"/>
  <c r="J283" i="56"/>
  <c r="E283" i="56"/>
  <c r="D283" i="56"/>
  <c r="C283" i="56"/>
  <c r="B283" i="56"/>
  <c r="A283" i="56"/>
  <c r="J282" i="56"/>
  <c r="E282" i="56"/>
  <c r="D282" i="56"/>
  <c r="C282" i="56"/>
  <c r="B282" i="56"/>
  <c r="A282" i="56"/>
  <c r="J281" i="56"/>
  <c r="E281" i="56"/>
  <c r="D281" i="56"/>
  <c r="C281" i="56"/>
  <c r="B281" i="56"/>
  <c r="A281" i="56"/>
  <c r="J280" i="56"/>
  <c r="E280" i="56"/>
  <c r="D280" i="56"/>
  <c r="C280" i="56"/>
  <c r="B280" i="56"/>
  <c r="A280" i="56"/>
  <c r="J279" i="56"/>
  <c r="E279" i="56"/>
  <c r="D279" i="56"/>
  <c r="C279" i="56"/>
  <c r="B279" i="56"/>
  <c r="A279" i="56"/>
  <c r="J278" i="56"/>
  <c r="E278" i="56"/>
  <c r="D278" i="56"/>
  <c r="C278" i="56"/>
  <c r="B278" i="56"/>
  <c r="A278" i="56"/>
  <c r="J277" i="56"/>
  <c r="E277" i="56"/>
  <c r="D277" i="56"/>
  <c r="C277" i="56"/>
  <c r="B277" i="56"/>
  <c r="A277" i="56"/>
  <c r="J276" i="56"/>
  <c r="E276" i="56"/>
  <c r="D276" i="56"/>
  <c r="C276" i="56"/>
  <c r="B276" i="56"/>
  <c r="A276" i="56"/>
  <c r="J275" i="56"/>
  <c r="E275" i="56"/>
  <c r="D275" i="56"/>
  <c r="C275" i="56"/>
  <c r="B275" i="56"/>
  <c r="A275" i="56"/>
  <c r="J274" i="56"/>
  <c r="E274" i="56"/>
  <c r="D274" i="56"/>
  <c r="C274" i="56"/>
  <c r="B274" i="56"/>
  <c r="A274" i="56"/>
  <c r="J273" i="56"/>
  <c r="E273" i="56"/>
  <c r="D273" i="56"/>
  <c r="C273" i="56"/>
  <c r="B273" i="56"/>
  <c r="A273" i="56"/>
  <c r="J272" i="56"/>
  <c r="E272" i="56"/>
  <c r="D272" i="56"/>
  <c r="C272" i="56"/>
  <c r="B272" i="56"/>
  <c r="A272" i="56"/>
  <c r="J271" i="56"/>
  <c r="E271" i="56"/>
  <c r="D271" i="56"/>
  <c r="C271" i="56"/>
  <c r="B271" i="56"/>
  <c r="A271" i="56"/>
  <c r="J270" i="56"/>
  <c r="E270" i="56"/>
  <c r="D270" i="56"/>
  <c r="C270" i="56"/>
  <c r="B270" i="56"/>
  <c r="A270" i="56"/>
  <c r="J269" i="56"/>
  <c r="E269" i="56"/>
  <c r="D269" i="56"/>
  <c r="C269" i="56"/>
  <c r="B269" i="56"/>
  <c r="A269" i="56"/>
  <c r="J268" i="56"/>
  <c r="E268" i="56"/>
  <c r="D268" i="56"/>
  <c r="C268" i="56"/>
  <c r="B268" i="56"/>
  <c r="A268" i="56"/>
  <c r="J267" i="56"/>
  <c r="E267" i="56"/>
  <c r="D267" i="56"/>
  <c r="C267" i="56"/>
  <c r="B267" i="56"/>
  <c r="A267" i="56"/>
  <c r="J266" i="56"/>
  <c r="E266" i="56"/>
  <c r="D266" i="56"/>
  <c r="C266" i="56"/>
  <c r="B266" i="56"/>
  <c r="A266" i="56"/>
  <c r="J265" i="56"/>
  <c r="E265" i="56"/>
  <c r="D265" i="56"/>
  <c r="C265" i="56"/>
  <c r="B265" i="56"/>
  <c r="A265" i="56"/>
  <c r="J264" i="56"/>
  <c r="E264" i="56"/>
  <c r="D264" i="56"/>
  <c r="C264" i="56"/>
  <c r="B264" i="56"/>
  <c r="A264" i="56"/>
  <c r="J263" i="56"/>
  <c r="E263" i="56"/>
  <c r="D263" i="56"/>
  <c r="C263" i="56"/>
  <c r="B263" i="56"/>
  <c r="A263" i="56"/>
  <c r="J262" i="56"/>
  <c r="E262" i="56"/>
  <c r="D262" i="56"/>
  <c r="C262" i="56"/>
  <c r="B262" i="56"/>
  <c r="A262" i="56"/>
  <c r="J261" i="56"/>
  <c r="E261" i="56"/>
  <c r="D261" i="56"/>
  <c r="C261" i="56"/>
  <c r="B261" i="56"/>
  <c r="A261" i="56"/>
  <c r="J260" i="56"/>
  <c r="E260" i="56"/>
  <c r="D260" i="56"/>
  <c r="C260" i="56"/>
  <c r="B260" i="56"/>
  <c r="A260" i="56"/>
  <c r="J259" i="56"/>
  <c r="E259" i="56"/>
  <c r="D259" i="56"/>
  <c r="C259" i="56"/>
  <c r="B259" i="56"/>
  <c r="A259" i="56"/>
  <c r="J258" i="56"/>
  <c r="E258" i="56"/>
  <c r="D258" i="56"/>
  <c r="C258" i="56"/>
  <c r="B258" i="56"/>
  <c r="A258" i="56"/>
  <c r="J257" i="56"/>
  <c r="E257" i="56"/>
  <c r="D257" i="56"/>
  <c r="C257" i="56"/>
  <c r="B257" i="56"/>
  <c r="A257" i="56"/>
  <c r="J256" i="56"/>
  <c r="E256" i="56"/>
  <c r="D256" i="56"/>
  <c r="C256" i="56"/>
  <c r="B256" i="56"/>
  <c r="A256" i="56"/>
  <c r="J255" i="56"/>
  <c r="E255" i="56"/>
  <c r="D255" i="56"/>
  <c r="C255" i="56"/>
  <c r="B255" i="56"/>
  <c r="A255" i="56"/>
  <c r="J254" i="56"/>
  <c r="E254" i="56"/>
  <c r="D254" i="56"/>
  <c r="C254" i="56"/>
  <c r="B254" i="56"/>
  <c r="A254" i="56"/>
  <c r="J253" i="56"/>
  <c r="E253" i="56"/>
  <c r="D253" i="56"/>
  <c r="C253" i="56"/>
  <c r="B253" i="56"/>
  <c r="A253" i="56"/>
  <c r="J252" i="56"/>
  <c r="E252" i="56"/>
  <c r="D252" i="56"/>
  <c r="C252" i="56"/>
  <c r="B252" i="56"/>
  <c r="A252" i="56"/>
  <c r="J251" i="56"/>
  <c r="E251" i="56"/>
  <c r="D251" i="56"/>
  <c r="C251" i="56"/>
  <c r="B251" i="56"/>
  <c r="A251" i="56"/>
  <c r="J250" i="56"/>
  <c r="E250" i="56"/>
  <c r="D250" i="56"/>
  <c r="C250" i="56"/>
  <c r="B250" i="56"/>
  <c r="A250" i="56"/>
  <c r="J249" i="56"/>
  <c r="E249" i="56"/>
  <c r="D249" i="56"/>
  <c r="C249" i="56"/>
  <c r="B249" i="56"/>
  <c r="A249" i="56"/>
  <c r="J248" i="56"/>
  <c r="E248" i="56"/>
  <c r="D248" i="56"/>
  <c r="C248" i="56"/>
  <c r="B248" i="56"/>
  <c r="A248" i="56"/>
  <c r="J247" i="56"/>
  <c r="E247" i="56"/>
  <c r="D247" i="56"/>
  <c r="C247" i="56"/>
  <c r="B247" i="56"/>
  <c r="A247" i="56"/>
  <c r="J246" i="56"/>
  <c r="E246" i="56"/>
  <c r="D246" i="56"/>
  <c r="C246" i="56"/>
  <c r="B246" i="56"/>
  <c r="A246" i="56"/>
  <c r="J245" i="56"/>
  <c r="E245" i="56"/>
  <c r="D245" i="56"/>
  <c r="C245" i="56"/>
  <c r="B245" i="56"/>
  <c r="A245" i="56"/>
  <c r="J244" i="56"/>
  <c r="E244" i="56"/>
  <c r="D244" i="56"/>
  <c r="C244" i="56"/>
  <c r="B244" i="56"/>
  <c r="A244" i="56"/>
  <c r="J243" i="56"/>
  <c r="E243" i="56"/>
  <c r="D243" i="56"/>
  <c r="C243" i="56"/>
  <c r="B243" i="56"/>
  <c r="A243" i="56"/>
  <c r="J242" i="56"/>
  <c r="E242" i="56"/>
  <c r="D242" i="56"/>
  <c r="C242" i="56"/>
  <c r="B242" i="56"/>
  <c r="A242" i="56"/>
  <c r="J241" i="56"/>
  <c r="E241" i="56"/>
  <c r="D241" i="56"/>
  <c r="C241" i="56"/>
  <c r="B241" i="56"/>
  <c r="A241" i="56"/>
  <c r="J240" i="56"/>
  <c r="E240" i="56"/>
  <c r="D240" i="56"/>
  <c r="C240" i="56"/>
  <c r="B240" i="56"/>
  <c r="A240" i="56"/>
  <c r="J239" i="56"/>
  <c r="E239" i="56"/>
  <c r="D239" i="56"/>
  <c r="C239" i="56"/>
  <c r="B239" i="56"/>
  <c r="A239" i="56"/>
  <c r="J238" i="56"/>
  <c r="E238" i="56"/>
  <c r="D238" i="56"/>
  <c r="C238" i="56"/>
  <c r="B238" i="56"/>
  <c r="A238" i="56"/>
  <c r="J237" i="56"/>
  <c r="E237" i="56"/>
  <c r="D237" i="56"/>
  <c r="C237" i="56"/>
  <c r="B237" i="56"/>
  <c r="A237" i="56"/>
  <c r="J236" i="56"/>
  <c r="E236" i="56"/>
  <c r="D236" i="56"/>
  <c r="C236" i="56"/>
  <c r="B236" i="56"/>
  <c r="A236" i="56"/>
  <c r="J235" i="56"/>
  <c r="E235" i="56"/>
  <c r="D235" i="56"/>
  <c r="C235" i="56"/>
  <c r="B235" i="56"/>
  <c r="A235" i="56"/>
  <c r="J234" i="56"/>
  <c r="E234" i="56"/>
  <c r="D234" i="56"/>
  <c r="C234" i="56"/>
  <c r="B234" i="56"/>
  <c r="A234" i="56"/>
  <c r="J233" i="56"/>
  <c r="E233" i="56"/>
  <c r="D233" i="56"/>
  <c r="C233" i="56"/>
  <c r="B233" i="56"/>
  <c r="A233" i="56"/>
  <c r="J232" i="56"/>
  <c r="E232" i="56"/>
  <c r="D232" i="56"/>
  <c r="C232" i="56"/>
  <c r="B232" i="56"/>
  <c r="A232" i="56"/>
  <c r="J231" i="56"/>
  <c r="E231" i="56"/>
  <c r="D231" i="56"/>
  <c r="C231" i="56"/>
  <c r="B231" i="56"/>
  <c r="A231" i="56"/>
  <c r="J230" i="56"/>
  <c r="E230" i="56"/>
  <c r="D230" i="56"/>
  <c r="C230" i="56"/>
  <c r="B230" i="56"/>
  <c r="A230" i="56"/>
  <c r="J229" i="56"/>
  <c r="E229" i="56"/>
  <c r="D229" i="56"/>
  <c r="C229" i="56"/>
  <c r="B229" i="56"/>
  <c r="A229" i="56"/>
  <c r="J228" i="56"/>
  <c r="E228" i="56"/>
  <c r="D228" i="56"/>
  <c r="C228" i="56"/>
  <c r="B228" i="56"/>
  <c r="A228" i="56"/>
  <c r="J227" i="56"/>
  <c r="E227" i="56"/>
  <c r="D227" i="56"/>
  <c r="C227" i="56"/>
  <c r="B227" i="56"/>
  <c r="A227" i="56"/>
  <c r="J226" i="56"/>
  <c r="E226" i="56"/>
  <c r="D226" i="56"/>
  <c r="C226" i="56"/>
  <c r="B226" i="56"/>
  <c r="A226" i="56"/>
  <c r="J225" i="56"/>
  <c r="E225" i="56"/>
  <c r="D225" i="56"/>
  <c r="C225" i="56"/>
  <c r="B225" i="56"/>
  <c r="A225" i="56"/>
  <c r="J224" i="56"/>
  <c r="E224" i="56"/>
  <c r="D224" i="56"/>
  <c r="C224" i="56"/>
  <c r="B224" i="56"/>
  <c r="A224" i="56"/>
  <c r="J223" i="56"/>
  <c r="E223" i="56"/>
  <c r="D223" i="56"/>
  <c r="C223" i="56"/>
  <c r="B223" i="56"/>
  <c r="A223" i="56"/>
  <c r="J222" i="56"/>
  <c r="E222" i="56"/>
  <c r="D222" i="56"/>
  <c r="C222" i="56"/>
  <c r="B222" i="56"/>
  <c r="A222" i="56"/>
  <c r="J221" i="56"/>
  <c r="E221" i="56"/>
  <c r="D221" i="56"/>
  <c r="C221" i="56"/>
  <c r="B221" i="56"/>
  <c r="A221" i="56"/>
  <c r="J220" i="56"/>
  <c r="E220" i="56"/>
  <c r="D220" i="56"/>
  <c r="C220" i="56"/>
  <c r="B220" i="56"/>
  <c r="A220" i="56"/>
  <c r="J219" i="56"/>
  <c r="E219" i="56"/>
  <c r="D219" i="56"/>
  <c r="C219" i="56"/>
  <c r="B219" i="56"/>
  <c r="A219" i="56"/>
  <c r="J218" i="56"/>
  <c r="E218" i="56"/>
  <c r="D218" i="56"/>
  <c r="C218" i="56"/>
  <c r="B218" i="56"/>
  <c r="A218" i="56"/>
  <c r="J217" i="56"/>
  <c r="E217" i="56"/>
  <c r="D217" i="56"/>
  <c r="C217" i="56"/>
  <c r="B217" i="56"/>
  <c r="A217" i="56"/>
  <c r="J216" i="56"/>
  <c r="E216" i="56"/>
  <c r="D216" i="56"/>
  <c r="C216" i="56"/>
  <c r="B216" i="56"/>
  <c r="A216" i="56"/>
  <c r="J215" i="56"/>
  <c r="E215" i="56"/>
  <c r="D215" i="56"/>
  <c r="C215" i="56"/>
  <c r="B215" i="56"/>
  <c r="A215" i="56"/>
  <c r="J214" i="56"/>
  <c r="E214" i="56"/>
  <c r="D214" i="56"/>
  <c r="C214" i="56"/>
  <c r="B214" i="56"/>
  <c r="A214" i="56"/>
  <c r="J213" i="56"/>
  <c r="E213" i="56"/>
  <c r="D213" i="56"/>
  <c r="C213" i="56"/>
  <c r="B213" i="56"/>
  <c r="A213" i="56"/>
  <c r="J212" i="56"/>
  <c r="E212" i="56"/>
  <c r="D212" i="56"/>
  <c r="C212" i="56"/>
  <c r="B212" i="56"/>
  <c r="A212" i="56"/>
  <c r="J211" i="56"/>
  <c r="E211" i="56"/>
  <c r="D211" i="56"/>
  <c r="C211" i="56"/>
  <c r="B211" i="56"/>
  <c r="A211" i="56"/>
  <c r="J210" i="56"/>
  <c r="E210" i="56"/>
  <c r="D210" i="56"/>
  <c r="C210" i="56"/>
  <c r="B210" i="56"/>
  <c r="A210" i="56"/>
  <c r="J209" i="56"/>
  <c r="E209" i="56"/>
  <c r="D209" i="56"/>
  <c r="C209" i="56"/>
  <c r="B209" i="56"/>
  <c r="A209" i="56"/>
  <c r="J208" i="56"/>
  <c r="E208" i="56"/>
  <c r="D208" i="56"/>
  <c r="C208" i="56"/>
  <c r="B208" i="56"/>
  <c r="A208" i="56"/>
  <c r="J207" i="56"/>
  <c r="E207" i="56"/>
  <c r="D207" i="56"/>
  <c r="C207" i="56"/>
  <c r="B207" i="56"/>
  <c r="A207" i="56"/>
  <c r="J206" i="56"/>
  <c r="E206" i="56"/>
  <c r="D206" i="56"/>
  <c r="C206" i="56"/>
  <c r="B206" i="56"/>
  <c r="A206" i="56"/>
  <c r="J205" i="56"/>
  <c r="E205" i="56"/>
  <c r="D205" i="56"/>
  <c r="C205" i="56"/>
  <c r="B205" i="56"/>
  <c r="A205" i="56"/>
  <c r="J204" i="56"/>
  <c r="E204" i="56"/>
  <c r="D204" i="56"/>
  <c r="C204" i="56"/>
  <c r="B204" i="56"/>
  <c r="A204" i="56"/>
  <c r="J203" i="56"/>
  <c r="E203" i="56"/>
  <c r="D203" i="56"/>
  <c r="C203" i="56"/>
  <c r="B203" i="56"/>
  <c r="A203" i="56"/>
  <c r="J202" i="56"/>
  <c r="E202" i="56"/>
  <c r="D202" i="56"/>
  <c r="C202" i="56"/>
  <c r="B202" i="56"/>
  <c r="A202" i="56"/>
  <c r="J201" i="56"/>
  <c r="E201" i="56"/>
  <c r="D201" i="56"/>
  <c r="C201" i="56"/>
  <c r="B201" i="56"/>
  <c r="A201" i="56"/>
  <c r="J200" i="56"/>
  <c r="E200" i="56"/>
  <c r="D200" i="56"/>
  <c r="C200" i="56"/>
  <c r="B200" i="56"/>
  <c r="A200" i="56"/>
  <c r="J199" i="56"/>
  <c r="E199" i="56"/>
  <c r="D199" i="56"/>
  <c r="C199" i="56"/>
  <c r="B199" i="56"/>
  <c r="A199" i="56"/>
  <c r="J198" i="56"/>
  <c r="E198" i="56"/>
  <c r="D198" i="56"/>
  <c r="C198" i="56"/>
  <c r="B198" i="56"/>
  <c r="A198" i="56"/>
  <c r="J197" i="56"/>
  <c r="E197" i="56"/>
  <c r="D197" i="56"/>
  <c r="C197" i="56"/>
  <c r="B197" i="56"/>
  <c r="A197" i="56"/>
  <c r="J196" i="56"/>
  <c r="E196" i="56"/>
  <c r="D196" i="56"/>
  <c r="C196" i="56"/>
  <c r="B196" i="56"/>
  <c r="A196" i="56"/>
  <c r="J195" i="56"/>
  <c r="E195" i="56"/>
  <c r="D195" i="56"/>
  <c r="C195" i="56"/>
  <c r="B195" i="56"/>
  <c r="A195" i="56"/>
  <c r="J194" i="56"/>
  <c r="E194" i="56"/>
  <c r="D194" i="56"/>
  <c r="C194" i="56"/>
  <c r="B194" i="56"/>
  <c r="A194" i="56"/>
  <c r="J193" i="56"/>
  <c r="E193" i="56"/>
  <c r="D193" i="56"/>
  <c r="C193" i="56"/>
  <c r="B193" i="56"/>
  <c r="A193" i="56"/>
  <c r="J192" i="56"/>
  <c r="E192" i="56"/>
  <c r="D192" i="56"/>
  <c r="C192" i="56"/>
  <c r="B192" i="56"/>
  <c r="A192" i="56"/>
  <c r="J191" i="56"/>
  <c r="E191" i="56"/>
  <c r="D191" i="56"/>
  <c r="C191" i="56"/>
  <c r="B191" i="56"/>
  <c r="A191" i="56"/>
  <c r="J190" i="56"/>
  <c r="E190" i="56"/>
  <c r="D190" i="56"/>
  <c r="C190" i="56"/>
  <c r="B190" i="56"/>
  <c r="A190" i="56"/>
  <c r="J189" i="56"/>
  <c r="E189" i="56"/>
  <c r="D189" i="56"/>
  <c r="C189" i="56"/>
  <c r="B189" i="56"/>
  <c r="A189" i="56"/>
  <c r="J188" i="56"/>
  <c r="E188" i="56"/>
  <c r="D188" i="56"/>
  <c r="C188" i="56"/>
  <c r="B188" i="56"/>
  <c r="A188" i="56"/>
  <c r="J187" i="56"/>
  <c r="E187" i="56"/>
  <c r="D187" i="56"/>
  <c r="C187" i="56"/>
  <c r="B187" i="56"/>
  <c r="A187" i="56"/>
  <c r="J186" i="56"/>
  <c r="E186" i="56"/>
  <c r="D186" i="56"/>
  <c r="C186" i="56"/>
  <c r="B186" i="56"/>
  <c r="A186" i="56"/>
  <c r="J185" i="56"/>
  <c r="E185" i="56"/>
  <c r="D185" i="56"/>
  <c r="C185" i="56"/>
  <c r="B185" i="56"/>
  <c r="A185" i="56"/>
  <c r="J184" i="56"/>
  <c r="E184" i="56"/>
  <c r="D184" i="56"/>
  <c r="C184" i="56"/>
  <c r="B184" i="56"/>
  <c r="A184" i="56"/>
  <c r="J183" i="56"/>
  <c r="E183" i="56"/>
  <c r="D183" i="56"/>
  <c r="C183" i="56"/>
  <c r="B183" i="56"/>
  <c r="A183" i="56"/>
  <c r="J182" i="56"/>
  <c r="E182" i="56"/>
  <c r="D182" i="56"/>
  <c r="C182" i="56"/>
  <c r="B182" i="56"/>
  <c r="A182" i="56"/>
  <c r="J181" i="56"/>
  <c r="E181" i="56"/>
  <c r="D181" i="56"/>
  <c r="C181" i="56"/>
  <c r="B181" i="56"/>
  <c r="A181" i="56"/>
  <c r="J180" i="56"/>
  <c r="E180" i="56"/>
  <c r="D180" i="56"/>
  <c r="C180" i="56"/>
  <c r="B180" i="56"/>
  <c r="A180" i="56"/>
  <c r="J179" i="56"/>
  <c r="E179" i="56"/>
  <c r="D179" i="56"/>
  <c r="C179" i="56"/>
  <c r="B179" i="56"/>
  <c r="A179" i="56"/>
  <c r="J178" i="56"/>
  <c r="E178" i="56"/>
  <c r="D178" i="56"/>
  <c r="C178" i="56"/>
  <c r="B178" i="56"/>
  <c r="A178" i="56"/>
  <c r="J177" i="56"/>
  <c r="E177" i="56"/>
  <c r="D177" i="56"/>
  <c r="C177" i="56"/>
  <c r="B177" i="56"/>
  <c r="A177" i="56"/>
  <c r="J176" i="56"/>
  <c r="E176" i="56"/>
  <c r="D176" i="56"/>
  <c r="C176" i="56"/>
  <c r="B176" i="56"/>
  <c r="A176" i="56"/>
  <c r="J175" i="56"/>
  <c r="E175" i="56"/>
  <c r="D175" i="56"/>
  <c r="C175" i="56"/>
  <c r="B175" i="56"/>
  <c r="A175" i="56"/>
  <c r="J174" i="56"/>
  <c r="E174" i="56"/>
  <c r="D174" i="56"/>
  <c r="C174" i="56"/>
  <c r="B174" i="56"/>
  <c r="A174" i="56"/>
  <c r="J173" i="56"/>
  <c r="E173" i="56"/>
  <c r="D173" i="56"/>
  <c r="C173" i="56"/>
  <c r="B173" i="56"/>
  <c r="A173" i="56"/>
  <c r="J172" i="56"/>
  <c r="E172" i="56"/>
  <c r="D172" i="56"/>
  <c r="C172" i="56"/>
  <c r="B172" i="56"/>
  <c r="A172" i="56"/>
  <c r="J171" i="56"/>
  <c r="E171" i="56"/>
  <c r="D171" i="56"/>
  <c r="C171" i="56"/>
  <c r="B171" i="56"/>
  <c r="A171" i="56"/>
  <c r="J170" i="56"/>
  <c r="E170" i="56"/>
  <c r="D170" i="56"/>
  <c r="C170" i="56"/>
  <c r="B170" i="56"/>
  <c r="A170" i="56"/>
  <c r="J169" i="56"/>
  <c r="E169" i="56"/>
  <c r="D169" i="56"/>
  <c r="C169" i="56"/>
  <c r="B169" i="56"/>
  <c r="A169" i="56"/>
  <c r="J168" i="56"/>
  <c r="E168" i="56"/>
  <c r="D168" i="56"/>
  <c r="C168" i="56"/>
  <c r="B168" i="56"/>
  <c r="A168" i="56"/>
  <c r="J167" i="56"/>
  <c r="E167" i="56"/>
  <c r="D167" i="56"/>
  <c r="C167" i="56"/>
  <c r="B167" i="56"/>
  <c r="A167" i="56"/>
  <c r="J166" i="56"/>
  <c r="E166" i="56"/>
  <c r="D166" i="56"/>
  <c r="C166" i="56"/>
  <c r="B166" i="56"/>
  <c r="A166" i="56"/>
  <c r="J165" i="56"/>
  <c r="E165" i="56"/>
  <c r="D165" i="56"/>
  <c r="C165" i="56"/>
  <c r="B165" i="56"/>
  <c r="A165" i="56"/>
  <c r="J164" i="56"/>
  <c r="E164" i="56"/>
  <c r="D164" i="56"/>
  <c r="C164" i="56"/>
  <c r="B164" i="56"/>
  <c r="A164" i="56"/>
  <c r="J163" i="56"/>
  <c r="E163" i="56"/>
  <c r="D163" i="56"/>
  <c r="C163" i="56"/>
  <c r="B163" i="56"/>
  <c r="A163" i="56"/>
  <c r="J162" i="56"/>
  <c r="E162" i="56"/>
  <c r="D162" i="56"/>
  <c r="C162" i="56"/>
  <c r="B162" i="56"/>
  <c r="A162" i="56"/>
  <c r="J161" i="56"/>
  <c r="E161" i="56"/>
  <c r="D161" i="56"/>
  <c r="C161" i="56"/>
  <c r="B161" i="56"/>
  <c r="A161" i="56"/>
  <c r="J160" i="56"/>
  <c r="E160" i="56"/>
  <c r="D160" i="56"/>
  <c r="C160" i="56"/>
  <c r="B160" i="56"/>
  <c r="A160" i="56"/>
  <c r="J159" i="56"/>
  <c r="E159" i="56"/>
  <c r="D159" i="56"/>
  <c r="C159" i="56"/>
  <c r="B159" i="56"/>
  <c r="A159" i="56"/>
  <c r="J158" i="56"/>
  <c r="E158" i="56"/>
  <c r="D158" i="56"/>
  <c r="C158" i="56"/>
  <c r="B158" i="56"/>
  <c r="A158" i="56"/>
  <c r="J157" i="56"/>
  <c r="E157" i="56"/>
  <c r="D157" i="56"/>
  <c r="C157" i="56"/>
  <c r="B157" i="56"/>
  <c r="A157" i="56"/>
  <c r="J156" i="56"/>
  <c r="E156" i="56"/>
  <c r="D156" i="56"/>
  <c r="C156" i="56"/>
  <c r="B156" i="56"/>
  <c r="A156" i="56"/>
  <c r="J155" i="56"/>
  <c r="E155" i="56"/>
  <c r="D155" i="56"/>
  <c r="C155" i="56"/>
  <c r="B155" i="56"/>
  <c r="A155" i="56"/>
  <c r="J154" i="56"/>
  <c r="E154" i="56"/>
  <c r="D154" i="56"/>
  <c r="C154" i="56"/>
  <c r="B154" i="56"/>
  <c r="A154" i="56"/>
  <c r="J153" i="56"/>
  <c r="E153" i="56"/>
  <c r="D153" i="56"/>
  <c r="C153" i="56"/>
  <c r="B153" i="56"/>
  <c r="A153" i="56"/>
  <c r="J152" i="56"/>
  <c r="E152" i="56"/>
  <c r="D152" i="56"/>
  <c r="C152" i="56"/>
  <c r="B152" i="56"/>
  <c r="A152" i="56"/>
  <c r="J151" i="56"/>
  <c r="E151" i="56"/>
  <c r="D151" i="56"/>
  <c r="C151" i="56"/>
  <c r="B151" i="56"/>
  <c r="A151" i="56"/>
  <c r="J150" i="56"/>
  <c r="E150" i="56"/>
  <c r="D150" i="56"/>
  <c r="C150" i="56"/>
  <c r="B150" i="56"/>
  <c r="A150" i="56"/>
  <c r="J149" i="56"/>
  <c r="E149" i="56"/>
  <c r="D149" i="56"/>
  <c r="C149" i="56"/>
  <c r="B149" i="56"/>
  <c r="A149" i="56"/>
  <c r="J148" i="56"/>
  <c r="E148" i="56"/>
  <c r="D148" i="56"/>
  <c r="C148" i="56"/>
  <c r="B148" i="56"/>
  <c r="A148" i="56"/>
  <c r="J147" i="56"/>
  <c r="E147" i="56"/>
  <c r="D147" i="56"/>
  <c r="C147" i="56"/>
  <c r="B147" i="56"/>
  <c r="A147" i="56"/>
  <c r="J146" i="56"/>
  <c r="E146" i="56"/>
  <c r="D146" i="56"/>
  <c r="C146" i="56"/>
  <c r="B146" i="56"/>
  <c r="A146" i="56"/>
  <c r="J145" i="56"/>
  <c r="E145" i="56"/>
  <c r="D145" i="56"/>
  <c r="C145" i="56"/>
  <c r="B145" i="56"/>
  <c r="A145" i="56"/>
  <c r="J144" i="56"/>
  <c r="E144" i="56"/>
  <c r="D144" i="56"/>
  <c r="C144" i="56"/>
  <c r="B144" i="56"/>
  <c r="A144" i="56"/>
  <c r="J143" i="56"/>
  <c r="E143" i="56"/>
  <c r="D143" i="56"/>
  <c r="C143" i="56"/>
  <c r="B143" i="56"/>
  <c r="A143" i="56"/>
  <c r="J142" i="56"/>
  <c r="E142" i="56"/>
  <c r="D142" i="56"/>
  <c r="C142" i="56"/>
  <c r="B142" i="56"/>
  <c r="A142" i="56"/>
  <c r="J141" i="56"/>
  <c r="E141" i="56"/>
  <c r="D141" i="56"/>
  <c r="C141" i="56"/>
  <c r="B141" i="56"/>
  <c r="A141" i="56"/>
  <c r="J140" i="56"/>
  <c r="E140" i="56"/>
  <c r="D140" i="56"/>
  <c r="C140" i="56"/>
  <c r="B140" i="56"/>
  <c r="A140" i="56"/>
  <c r="J139" i="56"/>
  <c r="E139" i="56"/>
  <c r="D139" i="56"/>
  <c r="C139" i="56"/>
  <c r="B139" i="56"/>
  <c r="A139" i="56"/>
  <c r="J138" i="56"/>
  <c r="E138" i="56"/>
  <c r="D138" i="56"/>
  <c r="C138" i="56"/>
  <c r="B138" i="56"/>
  <c r="A138" i="56"/>
  <c r="J137" i="56"/>
  <c r="E137" i="56"/>
  <c r="D137" i="56"/>
  <c r="C137" i="56"/>
  <c r="B137" i="56"/>
  <c r="A137" i="56"/>
  <c r="J136" i="56"/>
  <c r="E136" i="56"/>
  <c r="D136" i="56"/>
  <c r="C136" i="56"/>
  <c r="B136" i="56"/>
  <c r="A136" i="56"/>
  <c r="J135" i="56"/>
  <c r="E135" i="56"/>
  <c r="D135" i="56"/>
  <c r="C135" i="56"/>
  <c r="B135" i="56"/>
  <c r="A135" i="56"/>
  <c r="J134" i="56"/>
  <c r="E134" i="56"/>
  <c r="D134" i="56"/>
  <c r="C134" i="56"/>
  <c r="B134" i="56"/>
  <c r="A134" i="56"/>
  <c r="J133" i="56"/>
  <c r="E133" i="56"/>
  <c r="D133" i="56"/>
  <c r="C133" i="56"/>
  <c r="B133" i="56"/>
  <c r="A133" i="56"/>
  <c r="J132" i="56"/>
  <c r="E132" i="56"/>
  <c r="D132" i="56"/>
  <c r="C132" i="56"/>
  <c r="B132" i="56"/>
  <c r="A132" i="56"/>
  <c r="J131" i="56"/>
  <c r="E131" i="56"/>
  <c r="D131" i="56"/>
  <c r="C131" i="56"/>
  <c r="B131" i="56"/>
  <c r="A131" i="56"/>
  <c r="J130" i="56"/>
  <c r="E130" i="56"/>
  <c r="D130" i="56"/>
  <c r="C130" i="56"/>
  <c r="B130" i="56"/>
  <c r="A130" i="56"/>
  <c r="J129" i="56"/>
  <c r="E129" i="56"/>
  <c r="D129" i="56"/>
  <c r="C129" i="56"/>
  <c r="B129" i="56"/>
  <c r="A129" i="56"/>
  <c r="J128" i="56"/>
  <c r="E128" i="56"/>
  <c r="D128" i="56"/>
  <c r="C128" i="56"/>
  <c r="B128" i="56"/>
  <c r="A128" i="56"/>
  <c r="J127" i="56"/>
  <c r="E127" i="56"/>
  <c r="D127" i="56"/>
  <c r="C127" i="56"/>
  <c r="B127" i="56"/>
  <c r="A127" i="56"/>
  <c r="J126" i="56"/>
  <c r="E126" i="56"/>
  <c r="D126" i="56"/>
  <c r="C126" i="56"/>
  <c r="B126" i="56"/>
  <c r="A126" i="56"/>
  <c r="J125" i="56"/>
  <c r="E125" i="56"/>
  <c r="D125" i="56"/>
  <c r="C125" i="56"/>
  <c r="B125" i="56"/>
  <c r="A125" i="56"/>
  <c r="J124" i="56"/>
  <c r="E124" i="56"/>
  <c r="D124" i="56"/>
  <c r="C124" i="56"/>
  <c r="B124" i="56"/>
  <c r="A124" i="56"/>
  <c r="J123" i="56"/>
  <c r="E123" i="56"/>
  <c r="D123" i="56"/>
  <c r="C123" i="56"/>
  <c r="B123" i="56"/>
  <c r="A123" i="56"/>
  <c r="J122" i="56"/>
  <c r="E122" i="56"/>
  <c r="D122" i="56"/>
  <c r="C122" i="56"/>
  <c r="B122" i="56"/>
  <c r="A122" i="56"/>
  <c r="J121" i="56"/>
  <c r="E121" i="56"/>
  <c r="D121" i="56"/>
  <c r="C121" i="56"/>
  <c r="B121" i="56"/>
  <c r="A121" i="56"/>
  <c r="J120" i="56"/>
  <c r="E120" i="56"/>
  <c r="D120" i="56"/>
  <c r="C120" i="56"/>
  <c r="B120" i="56"/>
  <c r="A120" i="56"/>
  <c r="J119" i="56"/>
  <c r="E119" i="56"/>
  <c r="D119" i="56"/>
  <c r="C119" i="56"/>
  <c r="B119" i="56"/>
  <c r="A119" i="56"/>
  <c r="J118" i="56"/>
  <c r="E118" i="56"/>
  <c r="D118" i="56"/>
  <c r="C118" i="56"/>
  <c r="B118" i="56"/>
  <c r="A118" i="56"/>
  <c r="J117" i="56"/>
  <c r="E117" i="56"/>
  <c r="D117" i="56"/>
  <c r="C117" i="56"/>
  <c r="B117" i="56"/>
  <c r="A117" i="56"/>
  <c r="J116" i="56"/>
  <c r="E116" i="56"/>
  <c r="D116" i="56"/>
  <c r="C116" i="56"/>
  <c r="B116" i="56"/>
  <c r="A116" i="56"/>
  <c r="J115" i="56"/>
  <c r="E115" i="56"/>
  <c r="D115" i="56"/>
  <c r="C115" i="56"/>
  <c r="B115" i="56"/>
  <c r="A115" i="56"/>
  <c r="J114" i="56"/>
  <c r="E114" i="56"/>
  <c r="D114" i="56"/>
  <c r="C114" i="56"/>
  <c r="B114" i="56"/>
  <c r="A114" i="56"/>
  <c r="J113" i="56"/>
  <c r="E113" i="56"/>
  <c r="D113" i="56"/>
  <c r="C113" i="56"/>
  <c r="B113" i="56"/>
  <c r="A113" i="56"/>
  <c r="J112" i="56"/>
  <c r="E112" i="56"/>
  <c r="D112" i="56"/>
  <c r="C112" i="56"/>
  <c r="B112" i="56"/>
  <c r="A112" i="56"/>
  <c r="J111" i="56"/>
  <c r="E111" i="56"/>
  <c r="D111" i="56"/>
  <c r="C111" i="56"/>
  <c r="B111" i="56"/>
  <c r="A111" i="56"/>
  <c r="J110" i="56"/>
  <c r="E110" i="56"/>
  <c r="D110" i="56"/>
  <c r="C110" i="56"/>
  <c r="B110" i="56"/>
  <c r="A110" i="56"/>
  <c r="J109" i="56"/>
  <c r="E109" i="56"/>
  <c r="D109" i="56"/>
  <c r="C109" i="56"/>
  <c r="B109" i="56"/>
  <c r="A109" i="56"/>
  <c r="J108" i="56"/>
  <c r="E108" i="56"/>
  <c r="D108" i="56"/>
  <c r="C108" i="56"/>
  <c r="B108" i="56"/>
  <c r="A108" i="56"/>
  <c r="J107" i="56"/>
  <c r="E107" i="56"/>
  <c r="D107" i="56"/>
  <c r="C107" i="56"/>
  <c r="B107" i="56"/>
  <c r="A107" i="56"/>
  <c r="J106" i="56"/>
  <c r="E106" i="56"/>
  <c r="D106" i="56"/>
  <c r="C106" i="56"/>
  <c r="B106" i="56"/>
  <c r="A106" i="56"/>
  <c r="J105" i="56"/>
  <c r="E105" i="56"/>
  <c r="D105" i="56"/>
  <c r="C105" i="56"/>
  <c r="B105" i="56"/>
  <c r="A105" i="56"/>
  <c r="J104" i="56"/>
  <c r="E104" i="56"/>
  <c r="D104" i="56"/>
  <c r="C104" i="56"/>
  <c r="B104" i="56"/>
  <c r="A104" i="56"/>
  <c r="J103" i="56"/>
  <c r="E103" i="56"/>
  <c r="D103" i="56"/>
  <c r="C103" i="56"/>
  <c r="B103" i="56"/>
  <c r="A103" i="56"/>
  <c r="J102" i="56"/>
  <c r="E102" i="56"/>
  <c r="D102" i="56"/>
  <c r="C102" i="56"/>
  <c r="B102" i="56"/>
  <c r="A102" i="56"/>
  <c r="J101" i="56"/>
  <c r="E101" i="56"/>
  <c r="D101" i="56"/>
  <c r="C101" i="56"/>
  <c r="B101" i="56"/>
  <c r="A101" i="56"/>
  <c r="J100" i="56"/>
  <c r="E100" i="56"/>
  <c r="D100" i="56"/>
  <c r="C100" i="56"/>
  <c r="B100" i="56"/>
  <c r="A100" i="56"/>
  <c r="J99" i="56"/>
  <c r="E99" i="56"/>
  <c r="D99" i="56"/>
  <c r="C99" i="56"/>
  <c r="B99" i="56"/>
  <c r="A99" i="56"/>
  <c r="J98" i="56"/>
  <c r="E98" i="56"/>
  <c r="D98" i="56"/>
  <c r="C98" i="56"/>
  <c r="B98" i="56"/>
  <c r="A98" i="56"/>
  <c r="J97" i="56"/>
  <c r="E97" i="56"/>
  <c r="D97" i="56"/>
  <c r="C97" i="56"/>
  <c r="B97" i="56"/>
  <c r="A97" i="56"/>
  <c r="J96" i="56"/>
  <c r="E96" i="56"/>
  <c r="D96" i="56"/>
  <c r="C96" i="56"/>
  <c r="B96" i="56"/>
  <c r="A96" i="56"/>
  <c r="J95" i="56"/>
  <c r="E95" i="56"/>
  <c r="D95" i="56"/>
  <c r="C95" i="56"/>
  <c r="B95" i="56"/>
  <c r="A95" i="56"/>
  <c r="J94" i="56"/>
  <c r="E94" i="56"/>
  <c r="D94" i="56"/>
  <c r="C94" i="56"/>
  <c r="B94" i="56"/>
  <c r="A94" i="56"/>
  <c r="J93" i="56"/>
  <c r="E93" i="56"/>
  <c r="D93" i="56"/>
  <c r="C93" i="56"/>
  <c r="B93" i="56"/>
  <c r="A93" i="56"/>
  <c r="J92" i="56"/>
  <c r="E92" i="56"/>
  <c r="D92" i="56"/>
  <c r="C92" i="56"/>
  <c r="B92" i="56"/>
  <c r="A92" i="56"/>
  <c r="J91" i="56"/>
  <c r="E91" i="56"/>
  <c r="D91" i="56"/>
  <c r="C91" i="56"/>
  <c r="B91" i="56"/>
  <c r="A91" i="56"/>
  <c r="J90" i="56"/>
  <c r="E90" i="56"/>
  <c r="D90" i="56"/>
  <c r="C90" i="56"/>
  <c r="B90" i="56"/>
  <c r="A90" i="56"/>
  <c r="J89" i="56"/>
  <c r="E89" i="56"/>
  <c r="D89" i="56"/>
  <c r="C89" i="56"/>
  <c r="B89" i="56"/>
  <c r="A89" i="56"/>
  <c r="J88" i="56"/>
  <c r="E88" i="56"/>
  <c r="D88" i="56"/>
  <c r="C88" i="56"/>
  <c r="B88" i="56"/>
  <c r="A88" i="56"/>
  <c r="J87" i="56"/>
  <c r="E87" i="56"/>
  <c r="D87" i="56"/>
  <c r="C87" i="56"/>
  <c r="B87" i="56"/>
  <c r="A87" i="56"/>
  <c r="J86" i="56"/>
  <c r="E86" i="56"/>
  <c r="D86" i="56"/>
  <c r="C86" i="56"/>
  <c r="B86" i="56"/>
  <c r="A86" i="56"/>
  <c r="J85" i="56"/>
  <c r="E85" i="56"/>
  <c r="D85" i="56"/>
  <c r="C85" i="56"/>
  <c r="B85" i="56"/>
  <c r="A85" i="56"/>
  <c r="J84" i="56"/>
  <c r="E84" i="56"/>
  <c r="D84" i="56"/>
  <c r="C84" i="56"/>
  <c r="B84" i="56"/>
  <c r="A84" i="56"/>
  <c r="J83" i="56"/>
  <c r="E83" i="56"/>
  <c r="D83" i="56"/>
  <c r="C83" i="56"/>
  <c r="B83" i="56"/>
  <c r="A83" i="56"/>
  <c r="J82" i="56"/>
  <c r="E82" i="56"/>
  <c r="D82" i="56"/>
  <c r="C82" i="56"/>
  <c r="B82" i="56"/>
  <c r="A82" i="56"/>
  <c r="J81" i="56"/>
  <c r="E81" i="56"/>
  <c r="D81" i="56"/>
  <c r="C81" i="56"/>
  <c r="B81" i="56"/>
  <c r="A81" i="56"/>
  <c r="J80" i="56"/>
  <c r="E80" i="56"/>
  <c r="D80" i="56"/>
  <c r="C80" i="56"/>
  <c r="B80" i="56"/>
  <c r="A80" i="56"/>
  <c r="J79" i="56"/>
  <c r="E79" i="56"/>
  <c r="D79" i="56"/>
  <c r="C79" i="56"/>
  <c r="B79" i="56"/>
  <c r="A79" i="56"/>
  <c r="J78" i="56"/>
  <c r="E78" i="56"/>
  <c r="D78" i="56"/>
  <c r="C78" i="56"/>
  <c r="B78" i="56"/>
  <c r="A78" i="56"/>
  <c r="J77" i="56"/>
  <c r="E77" i="56"/>
  <c r="D77" i="56"/>
  <c r="C77" i="56"/>
  <c r="B77" i="56"/>
  <c r="A77" i="56"/>
  <c r="J76" i="56"/>
  <c r="E76" i="56"/>
  <c r="D76" i="56"/>
  <c r="C76" i="56"/>
  <c r="B76" i="56"/>
  <c r="A76" i="56"/>
  <c r="J75" i="56"/>
  <c r="E75" i="56"/>
  <c r="D75" i="56"/>
  <c r="C75" i="56"/>
  <c r="B75" i="56"/>
  <c r="A75" i="56"/>
  <c r="J74" i="56"/>
  <c r="E74" i="56"/>
  <c r="D74" i="56"/>
  <c r="C74" i="56"/>
  <c r="B74" i="56"/>
  <c r="A74" i="56"/>
  <c r="J73" i="56"/>
  <c r="E73" i="56"/>
  <c r="D73" i="56"/>
  <c r="C73" i="56"/>
  <c r="B73" i="56"/>
  <c r="A73" i="56"/>
  <c r="J72" i="56"/>
  <c r="E72" i="56"/>
  <c r="D72" i="56"/>
  <c r="C72" i="56"/>
  <c r="B72" i="56"/>
  <c r="A72" i="56"/>
  <c r="J71" i="56"/>
  <c r="E71" i="56"/>
  <c r="D71" i="56"/>
  <c r="C71" i="56"/>
  <c r="B71" i="56"/>
  <c r="A71" i="56"/>
  <c r="J70" i="56"/>
  <c r="E70" i="56"/>
  <c r="D70" i="56"/>
  <c r="C70" i="56"/>
  <c r="B70" i="56"/>
  <c r="A70" i="56"/>
  <c r="J69" i="56"/>
  <c r="E69" i="56"/>
  <c r="D69" i="56"/>
  <c r="C69" i="56"/>
  <c r="B69" i="56"/>
  <c r="A69" i="56"/>
  <c r="J68" i="56"/>
  <c r="E68" i="56"/>
  <c r="D68" i="56"/>
  <c r="C68" i="56"/>
  <c r="B68" i="56"/>
  <c r="A68" i="56"/>
  <c r="J67" i="56"/>
  <c r="E67" i="56"/>
  <c r="D67" i="56"/>
  <c r="C67" i="56"/>
  <c r="B67" i="56"/>
  <c r="A67" i="56"/>
  <c r="J66" i="56"/>
  <c r="E66" i="56"/>
  <c r="D66" i="56"/>
  <c r="C66" i="56"/>
  <c r="B66" i="56"/>
  <c r="A66" i="56"/>
  <c r="J65" i="56"/>
  <c r="E65" i="56"/>
  <c r="D65" i="56"/>
  <c r="C65" i="56"/>
  <c r="B65" i="56"/>
  <c r="A65" i="56"/>
  <c r="J64" i="56"/>
  <c r="E64" i="56"/>
  <c r="D64" i="56"/>
  <c r="C64" i="56"/>
  <c r="B64" i="56"/>
  <c r="A64" i="56"/>
  <c r="J63" i="56"/>
  <c r="E63" i="56"/>
  <c r="D63" i="56"/>
  <c r="C63" i="56"/>
  <c r="B63" i="56"/>
  <c r="A63" i="56"/>
  <c r="J62" i="56"/>
  <c r="E62" i="56"/>
  <c r="D62" i="56"/>
  <c r="C62" i="56"/>
  <c r="B62" i="56"/>
  <c r="A62" i="56"/>
  <c r="J61" i="56"/>
  <c r="E61" i="56"/>
  <c r="D61" i="56"/>
  <c r="C61" i="56"/>
  <c r="B61" i="56"/>
  <c r="A61" i="56"/>
  <c r="J60" i="56"/>
  <c r="E60" i="56"/>
  <c r="D60" i="56"/>
  <c r="C60" i="56"/>
  <c r="B60" i="56"/>
  <c r="A60" i="56"/>
  <c r="J59" i="56"/>
  <c r="E59" i="56"/>
  <c r="D59" i="56"/>
  <c r="C59" i="56"/>
  <c r="B59" i="56"/>
  <c r="A59" i="56"/>
  <c r="J58" i="56"/>
  <c r="E58" i="56"/>
  <c r="D58" i="56"/>
  <c r="C58" i="56"/>
  <c r="B58" i="56"/>
  <c r="A58" i="56"/>
  <c r="J57" i="56"/>
  <c r="E57" i="56"/>
  <c r="D57" i="56"/>
  <c r="C57" i="56"/>
  <c r="B57" i="56"/>
  <c r="A57" i="56"/>
  <c r="J56" i="56"/>
  <c r="E56" i="56"/>
  <c r="D56" i="56"/>
  <c r="C56" i="56"/>
  <c r="B56" i="56"/>
  <c r="A56" i="56"/>
  <c r="J55" i="56"/>
  <c r="E55" i="56"/>
  <c r="D55" i="56"/>
  <c r="C55" i="56"/>
  <c r="B55" i="56"/>
  <c r="A55" i="56"/>
  <c r="J54" i="56"/>
  <c r="E54" i="56"/>
  <c r="D54" i="56"/>
  <c r="C54" i="56"/>
  <c r="B54" i="56"/>
  <c r="A54" i="56"/>
  <c r="J53" i="56"/>
  <c r="E53" i="56"/>
  <c r="D53" i="56"/>
  <c r="C53" i="56"/>
  <c r="B53" i="56"/>
  <c r="A53" i="56"/>
  <c r="J52" i="56"/>
  <c r="E52" i="56"/>
  <c r="D52" i="56"/>
  <c r="C52" i="56"/>
  <c r="B52" i="56"/>
  <c r="A52" i="56"/>
  <c r="J51" i="56"/>
  <c r="E51" i="56"/>
  <c r="D51" i="56"/>
  <c r="C51" i="56"/>
  <c r="B51" i="56"/>
  <c r="A51" i="56"/>
  <c r="J50" i="56"/>
  <c r="E50" i="56"/>
  <c r="D50" i="56"/>
  <c r="C50" i="56"/>
  <c r="B50" i="56"/>
  <c r="A50" i="56"/>
  <c r="J49" i="56"/>
  <c r="E49" i="56"/>
  <c r="D49" i="56"/>
  <c r="C49" i="56"/>
  <c r="B49" i="56"/>
  <c r="A49" i="56"/>
  <c r="J48" i="56"/>
  <c r="E48" i="56"/>
  <c r="D48" i="56"/>
  <c r="C48" i="56"/>
  <c r="B48" i="56"/>
  <c r="A48" i="56"/>
  <c r="J47" i="56"/>
  <c r="E47" i="56"/>
  <c r="D47" i="56"/>
  <c r="C47" i="56"/>
  <c r="B47" i="56"/>
  <c r="A47" i="56"/>
  <c r="J46" i="56"/>
  <c r="E46" i="56"/>
  <c r="D46" i="56"/>
  <c r="C46" i="56"/>
  <c r="B46" i="56"/>
  <c r="A46" i="56"/>
  <c r="J45" i="56"/>
  <c r="E45" i="56"/>
  <c r="D45" i="56"/>
  <c r="C45" i="56"/>
  <c r="B45" i="56"/>
  <c r="A45" i="56"/>
  <c r="J44" i="56"/>
  <c r="E44" i="56"/>
  <c r="D44" i="56"/>
  <c r="C44" i="56"/>
  <c r="B44" i="56"/>
  <c r="A44" i="56"/>
  <c r="J43" i="56"/>
  <c r="E43" i="56"/>
  <c r="D43" i="56"/>
  <c r="C43" i="56"/>
  <c r="B43" i="56"/>
  <c r="A43" i="56"/>
  <c r="M43" i="56" s="1"/>
  <c r="J42" i="56"/>
  <c r="E42" i="56"/>
  <c r="D42" i="56"/>
  <c r="C42" i="56"/>
  <c r="B42" i="56"/>
  <c r="A42" i="56"/>
  <c r="M42" i="56" s="1"/>
  <c r="AL41" i="56"/>
  <c r="J41" i="56"/>
  <c r="E41" i="56"/>
  <c r="D41" i="56"/>
  <c r="C41" i="56"/>
  <c r="B41" i="56"/>
  <c r="A41" i="56"/>
  <c r="M41" i="56" s="1"/>
  <c r="J40" i="56"/>
  <c r="E40" i="56"/>
  <c r="D40" i="56"/>
  <c r="C40" i="56"/>
  <c r="B40" i="56"/>
  <c r="A40" i="56"/>
  <c r="M40" i="56" s="1"/>
  <c r="J39" i="56"/>
  <c r="E39" i="56"/>
  <c r="D39" i="56"/>
  <c r="C39" i="56"/>
  <c r="B39" i="56"/>
  <c r="A39" i="56"/>
  <c r="M39" i="56" s="1"/>
  <c r="AK38" i="56"/>
  <c r="J38" i="56"/>
  <c r="E38" i="56"/>
  <c r="D38" i="56"/>
  <c r="C38" i="56"/>
  <c r="B38" i="56"/>
  <c r="A38" i="56"/>
  <c r="AK37" i="56"/>
  <c r="J37" i="56"/>
  <c r="E37" i="56"/>
  <c r="D37" i="56"/>
  <c r="C37" i="56"/>
  <c r="B37" i="56"/>
  <c r="A37" i="56"/>
  <c r="M37" i="56" s="1"/>
  <c r="AK36" i="56"/>
  <c r="S36" i="56"/>
  <c r="B42" i="54" s="1"/>
  <c r="J36" i="56"/>
  <c r="E36" i="56"/>
  <c r="D36" i="56"/>
  <c r="C36" i="56"/>
  <c r="B36" i="56"/>
  <c r="A36" i="56"/>
  <c r="M36" i="56" s="1"/>
  <c r="AK35" i="56"/>
  <c r="S35" i="56"/>
  <c r="B41" i="54" s="1"/>
  <c r="J35" i="56"/>
  <c r="E35" i="56"/>
  <c r="D35" i="56"/>
  <c r="C35" i="56"/>
  <c r="B35" i="56"/>
  <c r="A35" i="56"/>
  <c r="AK34" i="56"/>
  <c r="S34" i="56"/>
  <c r="B40" i="54" s="1"/>
  <c r="J34" i="56"/>
  <c r="E34" i="56"/>
  <c r="D34" i="56"/>
  <c r="C34" i="56"/>
  <c r="B34" i="56"/>
  <c r="A34" i="56"/>
  <c r="M34" i="56" s="1"/>
  <c r="AK33" i="56"/>
  <c r="S33" i="56"/>
  <c r="B39" i="54" s="1"/>
  <c r="J33" i="56"/>
  <c r="E33" i="56"/>
  <c r="D33" i="56"/>
  <c r="C33" i="56"/>
  <c r="B33" i="56"/>
  <c r="A33" i="56"/>
  <c r="M33" i="56" s="1"/>
  <c r="AK32" i="56"/>
  <c r="S32" i="56"/>
  <c r="B38" i="54" s="1"/>
  <c r="J32" i="56"/>
  <c r="E32" i="56"/>
  <c r="D32" i="56"/>
  <c r="C32" i="56"/>
  <c r="B32" i="56"/>
  <c r="A32" i="56"/>
  <c r="M32" i="56" s="1"/>
  <c r="AK31" i="56"/>
  <c r="S31" i="56"/>
  <c r="B37" i="54" s="1"/>
  <c r="J31" i="56"/>
  <c r="E31" i="56"/>
  <c r="D31" i="56"/>
  <c r="C31" i="56"/>
  <c r="B31" i="56"/>
  <c r="A31" i="56"/>
  <c r="M31" i="56" s="1"/>
  <c r="AK30" i="56"/>
  <c r="S30" i="56"/>
  <c r="B36" i="54" s="1"/>
  <c r="J30" i="56"/>
  <c r="E30" i="56"/>
  <c r="D30" i="56"/>
  <c r="C30" i="56"/>
  <c r="B30" i="56"/>
  <c r="A30" i="56"/>
  <c r="M30" i="56" s="1"/>
  <c r="AK29" i="56"/>
  <c r="S29" i="56"/>
  <c r="B35" i="54" s="1"/>
  <c r="J29" i="56"/>
  <c r="E29" i="56"/>
  <c r="D29" i="56"/>
  <c r="C29" i="56"/>
  <c r="B29" i="56"/>
  <c r="A29" i="56"/>
  <c r="M29" i="56" s="1"/>
  <c r="AK28" i="56"/>
  <c r="J28" i="56"/>
  <c r="E28" i="56"/>
  <c r="D28" i="56"/>
  <c r="C28" i="56"/>
  <c r="B28" i="56"/>
  <c r="A28" i="56"/>
  <c r="M28" i="56" s="1"/>
  <c r="AK27" i="56"/>
  <c r="J27" i="56"/>
  <c r="E27" i="56"/>
  <c r="D27" i="56"/>
  <c r="C27" i="56"/>
  <c r="B27" i="56"/>
  <c r="A27" i="56"/>
  <c r="M27" i="56" s="1"/>
  <c r="AK26" i="56"/>
  <c r="J26" i="56"/>
  <c r="E26" i="56"/>
  <c r="D26" i="56"/>
  <c r="C26" i="56"/>
  <c r="B26" i="56"/>
  <c r="A26" i="56"/>
  <c r="AK25" i="56"/>
  <c r="J25" i="56"/>
  <c r="E25" i="56"/>
  <c r="D25" i="56"/>
  <c r="C25" i="56"/>
  <c r="B25" i="56"/>
  <c r="A25" i="56"/>
  <c r="M25" i="56" s="1"/>
  <c r="AK24" i="56"/>
  <c r="AC24" i="56"/>
  <c r="W24" i="56"/>
  <c r="Y24" i="56" s="1"/>
  <c r="AH24" i="56" s="1"/>
  <c r="J24" i="56"/>
  <c r="E24" i="56"/>
  <c r="D24" i="56"/>
  <c r="C24" i="56"/>
  <c r="B24" i="56"/>
  <c r="A24" i="56"/>
  <c r="M24" i="56" s="1"/>
  <c r="AK23" i="56"/>
  <c r="AC23" i="56"/>
  <c r="W23" i="56"/>
  <c r="Y23" i="56" s="1"/>
  <c r="AH23" i="56" s="1"/>
  <c r="AI23" i="56" s="1"/>
  <c r="J23" i="56"/>
  <c r="E23" i="56"/>
  <c r="D23" i="56"/>
  <c r="C23" i="56"/>
  <c r="B23" i="56"/>
  <c r="A23" i="56"/>
  <c r="M23" i="56" s="1"/>
  <c r="AK22" i="56"/>
  <c r="AC22" i="56"/>
  <c r="W22" i="56"/>
  <c r="Y22" i="56" s="1"/>
  <c r="AH22" i="56" s="1"/>
  <c r="AI22" i="56" s="1"/>
  <c r="J22" i="56"/>
  <c r="E22" i="56"/>
  <c r="D22" i="56"/>
  <c r="C22" i="56"/>
  <c r="B22" i="56"/>
  <c r="A22" i="56"/>
  <c r="M22" i="56" s="1"/>
  <c r="AK21" i="56"/>
  <c r="AC21" i="56"/>
  <c r="W21" i="56"/>
  <c r="Y21" i="56" s="1"/>
  <c r="AH21" i="56" s="1"/>
  <c r="J21" i="56"/>
  <c r="E21" i="56"/>
  <c r="D21" i="56"/>
  <c r="C21" i="56"/>
  <c r="B21" i="56"/>
  <c r="A21" i="56"/>
  <c r="M21" i="56" s="1"/>
  <c r="AK20" i="56"/>
  <c r="AC20" i="56"/>
  <c r="J20" i="56"/>
  <c r="E20" i="56"/>
  <c r="D20" i="56"/>
  <c r="C20" i="56"/>
  <c r="B20" i="56"/>
  <c r="A20" i="56"/>
  <c r="M20" i="56" s="1"/>
  <c r="AK19" i="56"/>
  <c r="AC19" i="56"/>
  <c r="W19" i="56"/>
  <c r="Y19" i="56" s="1"/>
  <c r="J19" i="56"/>
  <c r="E19" i="56"/>
  <c r="D19" i="56"/>
  <c r="C19" i="56"/>
  <c r="B19" i="56"/>
  <c r="A19" i="56"/>
  <c r="M19" i="56" s="1"/>
  <c r="AK18" i="56"/>
  <c r="AC18" i="56"/>
  <c r="W18" i="56"/>
  <c r="Y18" i="56" s="1"/>
  <c r="J18" i="56"/>
  <c r="E18" i="56"/>
  <c r="D18" i="56"/>
  <c r="C18" i="56"/>
  <c r="B18" i="56"/>
  <c r="A18" i="56"/>
  <c r="M18" i="56" s="1"/>
  <c r="AK17" i="56"/>
  <c r="AC17" i="56"/>
  <c r="J17" i="56"/>
  <c r="E17" i="56"/>
  <c r="D17" i="56"/>
  <c r="C17" i="56"/>
  <c r="B17" i="56"/>
  <c r="A17" i="56"/>
  <c r="M17" i="56" s="1"/>
  <c r="AK16" i="56"/>
  <c r="AC16" i="56"/>
  <c r="W16" i="56"/>
  <c r="Y16" i="56" s="1"/>
  <c r="J16" i="56"/>
  <c r="E16" i="56"/>
  <c r="D16" i="56"/>
  <c r="C16" i="56"/>
  <c r="B16" i="56"/>
  <c r="A16" i="56"/>
  <c r="M16" i="56" s="1"/>
  <c r="AK15" i="56"/>
  <c r="AC15" i="56"/>
  <c r="W15" i="56"/>
  <c r="Y15" i="56" s="1"/>
  <c r="J15" i="56"/>
  <c r="E15" i="56"/>
  <c r="D15" i="56"/>
  <c r="C15" i="56"/>
  <c r="B15" i="56"/>
  <c r="A15" i="56"/>
  <c r="AK14" i="56"/>
  <c r="AC14" i="56"/>
  <c r="W14" i="56"/>
  <c r="Y14" i="56" s="1"/>
  <c r="AH14" i="56" s="1"/>
  <c r="AI14" i="56" s="1"/>
  <c r="J14" i="56"/>
  <c r="E14" i="56"/>
  <c r="D14" i="56"/>
  <c r="C14" i="56"/>
  <c r="B14" i="56"/>
  <c r="A14" i="56"/>
  <c r="AK13" i="56"/>
  <c r="AC13" i="56"/>
  <c r="J13" i="56"/>
  <c r="E13" i="56"/>
  <c r="D13" i="56"/>
  <c r="C13" i="56"/>
  <c r="B13" i="56"/>
  <c r="A13" i="56"/>
  <c r="M13" i="56" s="1"/>
  <c r="AK12" i="56"/>
  <c r="AC12" i="56"/>
  <c r="J12" i="56"/>
  <c r="E12" i="56"/>
  <c r="D12" i="56"/>
  <c r="C12" i="56"/>
  <c r="B12" i="56"/>
  <c r="A12" i="56"/>
  <c r="M12" i="56" s="1"/>
  <c r="AK11" i="56"/>
  <c r="AC11" i="56"/>
  <c r="J11" i="56"/>
  <c r="E11" i="56"/>
  <c r="D11" i="56"/>
  <c r="C11" i="56"/>
  <c r="B11" i="56"/>
  <c r="A11" i="56"/>
  <c r="AK10" i="56"/>
  <c r="AC10" i="56"/>
  <c r="J10" i="56"/>
  <c r="E10" i="56"/>
  <c r="D10" i="56"/>
  <c r="C10" i="56"/>
  <c r="B10" i="56"/>
  <c r="A10" i="56"/>
  <c r="M10" i="56" s="1"/>
  <c r="AK9" i="56"/>
  <c r="AC9" i="56"/>
  <c r="W9" i="56"/>
  <c r="Y9" i="56" s="1"/>
  <c r="J9" i="56"/>
  <c r="E9" i="56"/>
  <c r="D9" i="56"/>
  <c r="C9" i="56"/>
  <c r="B9" i="56"/>
  <c r="A9" i="56"/>
  <c r="M9" i="56" s="1"/>
  <c r="AK8" i="56"/>
  <c r="AC8" i="56"/>
  <c r="J8" i="56"/>
  <c r="E8" i="56"/>
  <c r="D8" i="56"/>
  <c r="C8" i="56"/>
  <c r="B8" i="56"/>
  <c r="A8" i="56"/>
  <c r="M8" i="56" s="1"/>
  <c r="AK7" i="56"/>
  <c r="AC7" i="56"/>
  <c r="W7" i="56"/>
  <c r="Y7" i="56" s="1"/>
  <c r="J7" i="56"/>
  <c r="E7" i="56"/>
  <c r="D7" i="56"/>
  <c r="C7" i="56"/>
  <c r="B7" i="56"/>
  <c r="A7" i="56"/>
  <c r="M7" i="56" s="1"/>
  <c r="AK6" i="56"/>
  <c r="AC6" i="56"/>
  <c r="J6" i="56"/>
  <c r="E6" i="56"/>
  <c r="D6" i="56"/>
  <c r="C6" i="56"/>
  <c r="B6" i="56"/>
  <c r="A6" i="56"/>
  <c r="M6" i="56" s="1"/>
  <c r="AK5" i="56"/>
  <c r="AC5" i="56"/>
  <c r="W5" i="56"/>
  <c r="J5" i="56"/>
  <c r="E5" i="56"/>
  <c r="D5" i="56"/>
  <c r="C5" i="56"/>
  <c r="B5" i="56"/>
  <c r="A5" i="56"/>
  <c r="M5" i="56" s="1"/>
  <c r="AK4" i="56"/>
  <c r="AC4" i="56"/>
  <c r="W4" i="56"/>
  <c r="Y4" i="56" s="1"/>
  <c r="J4" i="56"/>
  <c r="E4" i="56"/>
  <c r="D4" i="56"/>
  <c r="C4" i="56"/>
  <c r="B4" i="56"/>
  <c r="A4" i="56"/>
  <c r="M4" i="56" s="1"/>
  <c r="O16" i="55"/>
  <c r="O11" i="55"/>
  <c r="O10" i="55"/>
  <c r="O9" i="55"/>
  <c r="O8" i="55"/>
  <c r="O7" i="55"/>
  <c r="B6" i="55"/>
  <c r="B5" i="55"/>
  <c r="O4" i="55"/>
  <c r="B4" i="55"/>
  <c r="H48" i="52"/>
  <c r="H47" i="52"/>
  <c r="H46" i="52"/>
  <c r="P36" i="52"/>
  <c r="C36" i="52"/>
  <c r="A36" i="52"/>
  <c r="P35" i="52"/>
  <c r="C35" i="52"/>
  <c r="A35" i="52"/>
  <c r="P34" i="52"/>
  <c r="C34" i="52"/>
  <c r="A34" i="52"/>
  <c r="P33" i="52"/>
  <c r="C33" i="52"/>
  <c r="A33" i="52"/>
  <c r="P32" i="52"/>
  <c r="C32" i="52"/>
  <c r="A32" i="52"/>
  <c r="P31" i="52"/>
  <c r="C31" i="52"/>
  <c r="A31" i="52"/>
  <c r="P30" i="52"/>
  <c r="C30" i="52"/>
  <c r="A30" i="52"/>
  <c r="P29" i="52"/>
  <c r="C29" i="52"/>
  <c r="A29" i="52"/>
  <c r="P28" i="52"/>
  <c r="C28" i="52"/>
  <c r="A28" i="52"/>
  <c r="P27" i="52"/>
  <c r="C27" i="52"/>
  <c r="A27" i="52"/>
  <c r="P26" i="52"/>
  <c r="C26" i="52"/>
  <c r="A26" i="52"/>
  <c r="P25" i="52"/>
  <c r="C25" i="52"/>
  <c r="A25" i="52"/>
  <c r="P24" i="52"/>
  <c r="C24" i="52"/>
  <c r="A24" i="52"/>
  <c r="P23" i="52"/>
  <c r="H23" i="52"/>
  <c r="C23" i="52"/>
  <c r="A23" i="52"/>
  <c r="P22" i="52"/>
  <c r="C22" i="52"/>
  <c r="A22" i="52"/>
  <c r="P21" i="52"/>
  <c r="H21" i="52"/>
  <c r="C21" i="52"/>
  <c r="A21" i="52"/>
  <c r="P20" i="52"/>
  <c r="C20" i="52"/>
  <c r="A20" i="52"/>
  <c r="P19" i="52"/>
  <c r="C19" i="52"/>
  <c r="A19" i="52"/>
  <c r="P18" i="52"/>
  <c r="C18" i="52"/>
  <c r="A18" i="52"/>
  <c r="P17" i="52"/>
  <c r="N17" i="52"/>
  <c r="C40" i="50" s="1"/>
  <c r="C17" i="52"/>
  <c r="A17" i="52"/>
  <c r="N16" i="52"/>
  <c r="T32" i="56" s="1"/>
  <c r="D39" i="50" s="1"/>
  <c r="O16" i="52" s="1"/>
  <c r="F39" i="50" s="1"/>
  <c r="A16" i="52"/>
  <c r="N15" i="52"/>
  <c r="T31" i="56" s="1"/>
  <c r="A15" i="52"/>
  <c r="N14" i="52"/>
  <c r="T30" i="56" s="1"/>
  <c r="D37" i="50" s="1"/>
  <c r="C37" i="50" s="1"/>
  <c r="O14" i="52" s="1"/>
  <c r="F37" i="50" s="1"/>
  <c r="A14" i="52"/>
  <c r="N13" i="52"/>
  <c r="C36" i="50" s="1"/>
  <c r="A13" i="52"/>
  <c r="N12" i="52"/>
  <c r="T36" i="56" s="1"/>
  <c r="C42" i="54" s="1"/>
  <c r="M12" i="52"/>
  <c r="D35" i="50" s="1"/>
  <c r="L12" i="52"/>
  <c r="C35" i="50" s="1"/>
  <c r="K12" i="52"/>
  <c r="B35" i="50" s="1"/>
  <c r="H12" i="52"/>
  <c r="W17" i="56" s="1"/>
  <c r="Y17" i="56" s="1"/>
  <c r="A12" i="52"/>
  <c r="T35" i="56"/>
  <c r="H11" i="52"/>
  <c r="G11" i="50" s="1"/>
  <c r="A11" i="52"/>
  <c r="N10" i="52"/>
  <c r="T34" i="56" s="1"/>
  <c r="A10" i="52"/>
  <c r="N9" i="52"/>
  <c r="T28" i="56" s="1"/>
  <c r="U28" i="56" s="1"/>
  <c r="W28" i="56" s="1"/>
  <c r="E34" i="54" s="1"/>
  <c r="M9" i="52"/>
  <c r="D32" i="50" s="1"/>
  <c r="L9" i="52"/>
  <c r="C32" i="50" s="1"/>
  <c r="K9" i="52"/>
  <c r="A9" i="52"/>
  <c r="N8" i="52"/>
  <c r="E31" i="50" s="1"/>
  <c r="M8" i="52"/>
  <c r="D31" i="50" s="1"/>
  <c r="L8" i="52"/>
  <c r="C31" i="50" s="1"/>
  <c r="K8" i="52"/>
  <c r="B31" i="50" s="1"/>
  <c r="A8" i="52"/>
  <c r="N7" i="52"/>
  <c r="E30" i="50" s="1"/>
  <c r="M7" i="52"/>
  <c r="D30" i="50" s="1"/>
  <c r="L7" i="52"/>
  <c r="C30" i="50" s="1"/>
  <c r="K7" i="52"/>
  <c r="H7" i="52"/>
  <c r="A7" i="52"/>
  <c r="N6" i="52"/>
  <c r="E29" i="50" s="1"/>
  <c r="M6" i="52"/>
  <c r="D29" i="50" s="1"/>
  <c r="L6" i="52"/>
  <c r="C29" i="50" s="1"/>
  <c r="K6" i="52"/>
  <c r="H6" i="52"/>
  <c r="A6" i="52"/>
  <c r="N5" i="52"/>
  <c r="E28" i="50" s="1"/>
  <c r="M5" i="52"/>
  <c r="D28" i="50" s="1"/>
  <c r="L5" i="52"/>
  <c r="C28" i="50" s="1"/>
  <c r="K5" i="52"/>
  <c r="B28" i="50" s="1"/>
  <c r="H5" i="52"/>
  <c r="A6" i="50" s="1"/>
  <c r="A5" i="52"/>
  <c r="N4" i="52"/>
  <c r="E27" i="50" s="1"/>
  <c r="M4" i="52"/>
  <c r="D27" i="50" s="1"/>
  <c r="L4" i="52"/>
  <c r="C27" i="50" s="1"/>
  <c r="K4" i="52"/>
  <c r="B27" i="50" s="1"/>
  <c r="A4" i="52"/>
  <c r="N3" i="52"/>
  <c r="E26" i="50" s="1"/>
  <c r="M3" i="52"/>
  <c r="D26" i="50" s="1"/>
  <c r="L3" i="52"/>
  <c r="C26" i="50" s="1"/>
  <c r="K3" i="52"/>
  <c r="H3" i="52"/>
  <c r="A3" i="52"/>
  <c r="N2" i="52"/>
  <c r="E25" i="50" s="1"/>
  <c r="M2" i="52"/>
  <c r="D25" i="50" s="1"/>
  <c r="L2" i="52"/>
  <c r="C25" i="50" s="1"/>
  <c r="K2" i="52"/>
  <c r="B25" i="50" s="1"/>
  <c r="A2" i="52"/>
  <c r="P6" i="51"/>
  <c r="O6" i="51"/>
  <c r="N6" i="51"/>
  <c r="M6" i="51"/>
  <c r="P5" i="51"/>
  <c r="O5" i="51"/>
  <c r="N5" i="51"/>
  <c r="M5" i="51"/>
  <c r="D40" i="50"/>
  <c r="C39" i="50"/>
  <c r="B39" i="50"/>
  <c r="D38" i="50"/>
  <c r="C38" i="50"/>
  <c r="B37" i="50"/>
  <c r="D36" i="50"/>
  <c r="C34" i="50"/>
  <c r="B34" i="50"/>
  <c r="F21" i="50"/>
  <c r="E21" i="50"/>
  <c r="D21" i="50"/>
  <c r="C21" i="50"/>
  <c r="B21" i="50"/>
  <c r="F18" i="50"/>
  <c r="E18" i="50"/>
  <c r="D18" i="50"/>
  <c r="C18" i="50"/>
  <c r="B18" i="50"/>
  <c r="F17" i="50"/>
  <c r="E17" i="50"/>
  <c r="D17" i="50"/>
  <c r="C17" i="50"/>
  <c r="B17" i="50"/>
  <c r="K3" i="50"/>
  <c r="D3" i="50"/>
  <c r="H706" i="17"/>
  <c r="H705" i="17"/>
  <c r="H704" i="17"/>
  <c r="H703" i="17"/>
  <c r="H702" i="17"/>
  <c r="H701" i="17"/>
  <c r="H700" i="17"/>
  <c r="H699" i="17"/>
  <c r="H698" i="17"/>
  <c r="H697" i="17"/>
  <c r="H696" i="17"/>
  <c r="H695" i="17"/>
  <c r="H694" i="17"/>
  <c r="H693" i="17"/>
  <c r="H692" i="17"/>
  <c r="H691" i="17"/>
  <c r="H690" i="17"/>
  <c r="H689" i="17"/>
  <c r="H688" i="17"/>
  <c r="H687" i="17"/>
  <c r="H686" i="17"/>
  <c r="H685" i="17"/>
  <c r="H684" i="17"/>
  <c r="H683" i="17"/>
  <c r="H682" i="17"/>
  <c r="H681" i="17"/>
  <c r="H680" i="17"/>
  <c r="H679" i="17"/>
  <c r="H678" i="17"/>
  <c r="H677" i="17"/>
  <c r="H676" i="17"/>
  <c r="H675" i="17"/>
  <c r="H674" i="17"/>
  <c r="H673" i="17"/>
  <c r="H672" i="17"/>
  <c r="H671" i="17"/>
  <c r="H670" i="17"/>
  <c r="H669" i="17"/>
  <c r="H668" i="17"/>
  <c r="H667" i="17"/>
  <c r="H666" i="17"/>
  <c r="H665" i="17"/>
  <c r="H664" i="17"/>
  <c r="H663" i="17"/>
  <c r="H662" i="17"/>
  <c r="H661" i="17"/>
  <c r="H660" i="17"/>
  <c r="H659" i="17"/>
  <c r="H658" i="17"/>
  <c r="H657" i="17"/>
  <c r="H656" i="17"/>
  <c r="H655" i="17"/>
  <c r="H654" i="17"/>
  <c r="H653" i="17"/>
  <c r="H652" i="17"/>
  <c r="H651" i="17"/>
  <c r="H650" i="17"/>
  <c r="H649" i="17"/>
  <c r="H648" i="17"/>
  <c r="H647" i="17"/>
  <c r="H646" i="17"/>
  <c r="H645" i="17"/>
  <c r="H644" i="17"/>
  <c r="H643" i="17"/>
  <c r="H642" i="17"/>
  <c r="H641" i="17"/>
  <c r="H640" i="17"/>
  <c r="H639" i="17"/>
  <c r="H638" i="17"/>
  <c r="H637" i="17"/>
  <c r="H636" i="17"/>
  <c r="H635" i="17"/>
  <c r="H634" i="17"/>
  <c r="H633" i="17"/>
  <c r="H632" i="17"/>
  <c r="H631" i="17"/>
  <c r="H630" i="17"/>
  <c r="H629" i="17"/>
  <c r="H628" i="17"/>
  <c r="H627" i="17"/>
  <c r="H626" i="17"/>
  <c r="H625" i="17"/>
  <c r="H624" i="17"/>
  <c r="H623" i="17"/>
  <c r="H622" i="17"/>
  <c r="H621" i="17"/>
  <c r="H620" i="17"/>
  <c r="H619" i="17"/>
  <c r="H618" i="17"/>
  <c r="H617" i="17"/>
  <c r="H616" i="17"/>
  <c r="H615" i="17"/>
  <c r="H614" i="17"/>
  <c r="H613" i="17"/>
  <c r="H612" i="17"/>
  <c r="H611" i="17"/>
  <c r="H610" i="17"/>
  <c r="H609" i="17"/>
  <c r="H608" i="17"/>
  <c r="H607" i="17"/>
  <c r="H606" i="17"/>
  <c r="H605" i="17"/>
  <c r="H604" i="17"/>
  <c r="H603" i="17"/>
  <c r="H602" i="17"/>
  <c r="H601" i="17"/>
  <c r="H600" i="17"/>
  <c r="H599" i="17"/>
  <c r="H598" i="17"/>
  <c r="H597" i="17"/>
  <c r="H596" i="17"/>
  <c r="H595" i="17"/>
  <c r="H594" i="17"/>
  <c r="H593" i="17"/>
  <c r="H592" i="17"/>
  <c r="H591" i="17"/>
  <c r="H590" i="17"/>
  <c r="H589" i="17"/>
  <c r="H588" i="17"/>
  <c r="H587" i="17"/>
  <c r="H586" i="17"/>
  <c r="H585" i="17"/>
  <c r="H584" i="17"/>
  <c r="H583" i="17"/>
  <c r="H582" i="17"/>
  <c r="H581" i="17"/>
  <c r="H580" i="17"/>
  <c r="H579" i="17"/>
  <c r="H578" i="17"/>
  <c r="H577" i="17"/>
  <c r="H576" i="17"/>
  <c r="H575" i="17"/>
  <c r="H574" i="17"/>
  <c r="H573" i="17"/>
  <c r="H572" i="17"/>
  <c r="H571" i="17"/>
  <c r="H570" i="17"/>
  <c r="H569" i="17"/>
  <c r="H568" i="17"/>
  <c r="H567" i="17"/>
  <c r="H566" i="17"/>
  <c r="H565" i="17"/>
  <c r="H564" i="17"/>
  <c r="H563" i="17"/>
  <c r="H562" i="17"/>
  <c r="H561" i="17"/>
  <c r="H560" i="17"/>
  <c r="H559" i="17"/>
  <c r="H558" i="17"/>
  <c r="H557" i="17"/>
  <c r="H556" i="17"/>
  <c r="H555" i="17"/>
  <c r="H554" i="17"/>
  <c r="H553" i="17"/>
  <c r="H552" i="17"/>
  <c r="H551" i="17"/>
  <c r="H550" i="17"/>
  <c r="H549" i="17"/>
  <c r="H548" i="17"/>
  <c r="H547" i="17"/>
  <c r="H546" i="17"/>
  <c r="H545" i="17"/>
  <c r="H544" i="17"/>
  <c r="H543" i="17"/>
  <c r="H542" i="17"/>
  <c r="H541" i="17"/>
  <c r="H540" i="17"/>
  <c r="H539" i="17"/>
  <c r="H538" i="17"/>
  <c r="H537" i="17"/>
  <c r="H536" i="17"/>
  <c r="H535" i="17"/>
  <c r="H534" i="17"/>
  <c r="H533" i="17"/>
  <c r="H532" i="17"/>
  <c r="H531" i="17"/>
  <c r="H530" i="17"/>
  <c r="H529" i="17"/>
  <c r="H528" i="17"/>
  <c r="H527" i="17"/>
  <c r="H526" i="17"/>
  <c r="H525" i="17"/>
  <c r="H524" i="17"/>
  <c r="H523" i="17"/>
  <c r="H522" i="17"/>
  <c r="H521" i="17"/>
  <c r="H520" i="17"/>
  <c r="H519" i="17"/>
  <c r="H518" i="17"/>
  <c r="H517" i="17"/>
  <c r="H516" i="17"/>
  <c r="H515" i="17"/>
  <c r="H514" i="17"/>
  <c r="H513" i="17"/>
  <c r="H512" i="17"/>
  <c r="H511" i="17"/>
  <c r="H510" i="17"/>
  <c r="H509" i="17"/>
  <c r="H508" i="17"/>
  <c r="H507" i="17"/>
  <c r="H506" i="17"/>
  <c r="H505" i="17"/>
  <c r="H504" i="17"/>
  <c r="H503" i="17"/>
  <c r="H502" i="17"/>
  <c r="H501" i="17"/>
  <c r="H500" i="17"/>
  <c r="H499" i="17"/>
  <c r="H498" i="17"/>
  <c r="H497" i="17"/>
  <c r="H496" i="17"/>
  <c r="H495" i="17"/>
  <c r="H494" i="17"/>
  <c r="H493" i="17"/>
  <c r="H492" i="17"/>
  <c r="H491" i="17"/>
  <c r="H490" i="17"/>
  <c r="H489" i="17"/>
  <c r="H488" i="17"/>
  <c r="H487" i="17"/>
  <c r="H486" i="17"/>
  <c r="H485" i="17"/>
  <c r="H484" i="17"/>
  <c r="H483" i="17"/>
  <c r="H482" i="17"/>
  <c r="H481" i="17"/>
  <c r="H480" i="17"/>
  <c r="H479" i="17"/>
  <c r="H478" i="17"/>
  <c r="H477" i="17"/>
  <c r="H476" i="17"/>
  <c r="H475" i="17"/>
  <c r="H474" i="17"/>
  <c r="H473" i="17"/>
  <c r="H472" i="17"/>
  <c r="H471" i="17"/>
  <c r="H470" i="17"/>
  <c r="H469" i="17"/>
  <c r="H468" i="17"/>
  <c r="H467" i="17"/>
  <c r="H466" i="17"/>
  <c r="H465" i="17"/>
  <c r="H464" i="17"/>
  <c r="H463" i="17"/>
  <c r="H462" i="17"/>
  <c r="H461" i="17"/>
  <c r="H460" i="17"/>
  <c r="H459" i="17"/>
  <c r="H458" i="17"/>
  <c r="H457" i="17"/>
  <c r="H456" i="17"/>
  <c r="H455" i="17"/>
  <c r="H454" i="17"/>
  <c r="H453" i="17"/>
  <c r="H452" i="17"/>
  <c r="H451" i="17"/>
  <c r="H450" i="17"/>
  <c r="H449" i="17"/>
  <c r="H448" i="17"/>
  <c r="H447" i="17"/>
  <c r="H446" i="17"/>
  <c r="H445" i="17"/>
  <c r="H444" i="17"/>
  <c r="H443" i="17"/>
  <c r="H442" i="17"/>
  <c r="H441" i="17"/>
  <c r="H440" i="17"/>
  <c r="H439" i="17"/>
  <c r="H438" i="17"/>
  <c r="H437" i="17"/>
  <c r="H436" i="17"/>
  <c r="H435" i="17"/>
  <c r="H434" i="17"/>
  <c r="H433" i="17"/>
  <c r="H432" i="17"/>
  <c r="H431" i="17"/>
  <c r="H430" i="17"/>
  <c r="H429" i="17"/>
  <c r="H428" i="17"/>
  <c r="H427" i="17"/>
  <c r="H426" i="17"/>
  <c r="H425" i="17"/>
  <c r="H424" i="17"/>
  <c r="H423" i="17"/>
  <c r="H422" i="17"/>
  <c r="H421" i="17"/>
  <c r="H420" i="17"/>
  <c r="H419" i="17"/>
  <c r="H418" i="17"/>
  <c r="H417" i="17"/>
  <c r="H416" i="17"/>
  <c r="H415" i="17"/>
  <c r="H414" i="17"/>
  <c r="H413" i="17"/>
  <c r="H412" i="17"/>
  <c r="H411" i="17"/>
  <c r="H410" i="17"/>
  <c r="H409" i="17"/>
  <c r="H408" i="17"/>
  <c r="H407" i="17"/>
  <c r="H406" i="17"/>
  <c r="H405" i="17"/>
  <c r="H404" i="17"/>
  <c r="H403" i="17"/>
  <c r="H402" i="17"/>
  <c r="H401" i="17"/>
  <c r="H400" i="17"/>
  <c r="H399" i="17"/>
  <c r="H398" i="17"/>
  <c r="H397" i="17"/>
  <c r="H396" i="17"/>
  <c r="H395" i="17"/>
  <c r="H394" i="17"/>
  <c r="H393" i="17"/>
  <c r="H392" i="17"/>
  <c r="H391" i="17"/>
  <c r="H390" i="17"/>
  <c r="H389" i="17"/>
  <c r="H388" i="17"/>
  <c r="H387" i="17"/>
  <c r="H386" i="17"/>
  <c r="H385" i="17"/>
  <c r="H384" i="17"/>
  <c r="H383" i="17"/>
  <c r="H382" i="17"/>
  <c r="H381" i="17"/>
  <c r="H380" i="17"/>
  <c r="H379" i="17"/>
  <c r="H378" i="17"/>
  <c r="H377" i="17"/>
  <c r="H376" i="17"/>
  <c r="H375" i="17"/>
  <c r="H374" i="17"/>
  <c r="H373" i="17"/>
  <c r="H372" i="17"/>
  <c r="H371" i="17"/>
  <c r="H370" i="17"/>
  <c r="H369" i="17"/>
  <c r="H368" i="17"/>
  <c r="H367" i="17"/>
  <c r="H366" i="17"/>
  <c r="H365" i="17"/>
  <c r="H364" i="17"/>
  <c r="H363" i="17"/>
  <c r="H362" i="17"/>
  <c r="H361" i="17"/>
  <c r="H360" i="17"/>
  <c r="H359" i="17"/>
  <c r="H358" i="17"/>
  <c r="H357" i="17"/>
  <c r="H356" i="17"/>
  <c r="H355" i="17"/>
  <c r="H354" i="17"/>
  <c r="H353" i="17"/>
  <c r="H352" i="17"/>
  <c r="H351" i="17"/>
  <c r="H350" i="17"/>
  <c r="H349" i="17"/>
  <c r="H348" i="17"/>
  <c r="H347" i="17"/>
  <c r="H346" i="17"/>
  <c r="H345" i="17"/>
  <c r="H344" i="17"/>
  <c r="H343" i="17"/>
  <c r="H342" i="17"/>
  <c r="H341" i="17"/>
  <c r="H340" i="17"/>
  <c r="H339" i="17"/>
  <c r="H338" i="17"/>
  <c r="H337" i="17"/>
  <c r="H336" i="17"/>
  <c r="H335" i="17"/>
  <c r="H334" i="17"/>
  <c r="H333" i="17"/>
  <c r="H332" i="17"/>
  <c r="H331" i="17"/>
  <c r="H330" i="17"/>
  <c r="H329" i="17"/>
  <c r="H328" i="17"/>
  <c r="H327" i="17"/>
  <c r="H326" i="17"/>
  <c r="H325" i="17"/>
  <c r="H324" i="17"/>
  <c r="H323" i="17"/>
  <c r="H322" i="17"/>
  <c r="H321" i="17"/>
  <c r="H320" i="17"/>
  <c r="H319" i="17"/>
  <c r="H318" i="17"/>
  <c r="H317" i="17"/>
  <c r="H316" i="17"/>
  <c r="H315" i="17"/>
  <c r="H314" i="17"/>
  <c r="H313" i="17"/>
  <c r="H312" i="17"/>
  <c r="H311" i="17"/>
  <c r="H310" i="17"/>
  <c r="H309" i="17"/>
  <c r="H308" i="17"/>
  <c r="H307" i="17"/>
  <c r="H306" i="17"/>
  <c r="H305" i="17"/>
  <c r="H304" i="17"/>
  <c r="H303" i="17"/>
  <c r="H302" i="17"/>
  <c r="H301" i="17"/>
  <c r="H300" i="17"/>
  <c r="H299" i="17"/>
  <c r="H298" i="17"/>
  <c r="H297" i="17"/>
  <c r="H296" i="17"/>
  <c r="H295" i="17"/>
  <c r="H294" i="17"/>
  <c r="H293" i="17"/>
  <c r="H292" i="17"/>
  <c r="H291" i="17"/>
  <c r="H290" i="17"/>
  <c r="H289" i="17"/>
  <c r="H288" i="17"/>
  <c r="H287" i="17"/>
  <c r="H286" i="17"/>
  <c r="H285" i="17"/>
  <c r="H284" i="17"/>
  <c r="H283" i="17"/>
  <c r="H282" i="17"/>
  <c r="H281" i="17"/>
  <c r="H280" i="17"/>
  <c r="H279" i="17"/>
  <c r="H278" i="17"/>
  <c r="H277" i="17"/>
  <c r="H276" i="17"/>
  <c r="H275" i="17"/>
  <c r="H274" i="17"/>
  <c r="H273" i="17"/>
  <c r="H272" i="17"/>
  <c r="H271" i="17"/>
  <c r="H270" i="17"/>
  <c r="H269" i="17"/>
  <c r="H268" i="17"/>
  <c r="H267" i="17"/>
  <c r="H266" i="17"/>
  <c r="H265" i="17"/>
  <c r="H264" i="17"/>
  <c r="H263" i="17"/>
  <c r="H262" i="17"/>
  <c r="H261" i="17"/>
  <c r="H260" i="17"/>
  <c r="H259" i="17"/>
  <c r="H258" i="17"/>
  <c r="H257" i="17"/>
  <c r="H256" i="17"/>
  <c r="H255" i="17"/>
  <c r="H254" i="17"/>
  <c r="H253" i="17"/>
  <c r="H252" i="17"/>
  <c r="H251" i="17"/>
  <c r="H250" i="17"/>
  <c r="H249" i="17"/>
  <c r="H248" i="17"/>
  <c r="H247" i="17"/>
  <c r="H246" i="17"/>
  <c r="H245" i="17"/>
  <c r="H244" i="17"/>
  <c r="H243" i="17"/>
  <c r="H242" i="17"/>
  <c r="H241" i="17"/>
  <c r="H240" i="17"/>
  <c r="H239" i="17"/>
  <c r="H238" i="17"/>
  <c r="H237" i="17"/>
  <c r="H236" i="17"/>
  <c r="H235" i="17"/>
  <c r="H234" i="17"/>
  <c r="H233" i="17"/>
  <c r="H232" i="17"/>
  <c r="H231" i="17"/>
  <c r="H230" i="17"/>
  <c r="H229" i="17"/>
  <c r="H228" i="17"/>
  <c r="H227" i="17"/>
  <c r="H226" i="17"/>
  <c r="H225" i="17"/>
  <c r="H224" i="17"/>
  <c r="H223" i="17"/>
  <c r="H222" i="17"/>
  <c r="H221" i="17"/>
  <c r="H220" i="17"/>
  <c r="H219" i="17"/>
  <c r="H218" i="17"/>
  <c r="H217" i="17"/>
  <c r="H216" i="17"/>
  <c r="H215" i="17"/>
  <c r="H214" i="17"/>
  <c r="H213" i="17"/>
  <c r="H212" i="17"/>
  <c r="H211" i="17"/>
  <c r="H210" i="17"/>
  <c r="H209" i="17"/>
  <c r="H208" i="17"/>
  <c r="H207" i="17"/>
  <c r="H206" i="17"/>
  <c r="H205" i="17"/>
  <c r="H204" i="17"/>
  <c r="H203" i="17"/>
  <c r="H202" i="17"/>
  <c r="H201" i="17"/>
  <c r="H200" i="17"/>
  <c r="H199" i="17"/>
  <c r="H198" i="17"/>
  <c r="H197" i="17"/>
  <c r="H196" i="17"/>
  <c r="H195" i="17"/>
  <c r="H194" i="17"/>
  <c r="H193" i="17"/>
  <c r="H192" i="17"/>
  <c r="H191" i="17"/>
  <c r="H190" i="17"/>
  <c r="H189" i="17"/>
  <c r="H188" i="17"/>
  <c r="H187" i="17"/>
  <c r="H186" i="17"/>
  <c r="H185" i="17"/>
  <c r="H184" i="17"/>
  <c r="H183" i="17"/>
  <c r="H182" i="17"/>
  <c r="H181" i="17"/>
  <c r="H180" i="17"/>
  <c r="H179" i="17"/>
  <c r="H178" i="17"/>
  <c r="H177" i="17"/>
  <c r="H176" i="17"/>
  <c r="H175" i="17"/>
  <c r="H174" i="17"/>
  <c r="H173" i="17"/>
  <c r="H172" i="17"/>
  <c r="H171" i="17"/>
  <c r="H170" i="17"/>
  <c r="H169" i="17"/>
  <c r="H168" i="17"/>
  <c r="H167" i="17"/>
  <c r="H166" i="17"/>
  <c r="H165" i="17"/>
  <c r="H164" i="17"/>
  <c r="H163" i="17"/>
  <c r="H162" i="17"/>
  <c r="H161" i="17"/>
  <c r="H160" i="17"/>
  <c r="H159" i="17"/>
  <c r="H158" i="17"/>
  <c r="H157" i="17"/>
  <c r="H156" i="17"/>
  <c r="H155" i="17"/>
  <c r="H154" i="17"/>
  <c r="H153" i="17"/>
  <c r="H152" i="17"/>
  <c r="H151" i="17"/>
  <c r="H150" i="17"/>
  <c r="H149" i="17"/>
  <c r="H148" i="17"/>
  <c r="H147" i="17"/>
  <c r="H146" i="17"/>
  <c r="H145" i="17"/>
  <c r="H144" i="17"/>
  <c r="H143" i="17"/>
  <c r="H142" i="17"/>
  <c r="H141" i="17"/>
  <c r="H140" i="17"/>
  <c r="H139" i="17"/>
  <c r="H138" i="17"/>
  <c r="H137" i="17"/>
  <c r="H136" i="17"/>
  <c r="H135" i="17"/>
  <c r="H134" i="17"/>
  <c r="H133" i="17"/>
  <c r="H132" i="17"/>
  <c r="H131" i="17"/>
  <c r="H130" i="17"/>
  <c r="H129" i="17"/>
  <c r="H128" i="17"/>
  <c r="H127" i="17"/>
  <c r="H126" i="17"/>
  <c r="H125" i="17"/>
  <c r="H124" i="17"/>
  <c r="H123" i="17"/>
  <c r="H122" i="17"/>
  <c r="H121" i="17"/>
  <c r="H120" i="17"/>
  <c r="H119" i="17"/>
  <c r="H118" i="17"/>
  <c r="H117" i="17"/>
  <c r="H116" i="17"/>
  <c r="H115" i="17"/>
  <c r="H114"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1" i="17"/>
  <c r="H80" i="17"/>
  <c r="H79" i="17"/>
  <c r="H78" i="17"/>
  <c r="H77"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7" i="17"/>
  <c r="H16" i="17"/>
  <c r="H15" i="17"/>
  <c r="H14" i="17"/>
  <c r="H13" i="17"/>
  <c r="H12" i="17"/>
  <c r="H11" i="17"/>
  <c r="H10" i="17"/>
  <c r="H9" i="17"/>
  <c r="H8" i="17"/>
  <c r="H7" i="17"/>
  <c r="H6" i="17"/>
  <c r="H5" i="17"/>
  <c r="H4" i="17"/>
  <c r="H3" i="17"/>
  <c r="H2" i="17"/>
  <c r="G189" i="29"/>
  <c r="G187" i="29"/>
  <c r="B177" i="29"/>
  <c r="B176" i="29"/>
  <c r="B175" i="29"/>
  <c r="B174" i="29"/>
  <c r="B173" i="29"/>
  <c r="B172" i="29"/>
  <c r="B171" i="29"/>
  <c r="B170" i="29"/>
  <c r="B169" i="29"/>
  <c r="B168" i="29"/>
  <c r="L164" i="29"/>
  <c r="M164" i="29" s="1"/>
  <c r="L163" i="29"/>
  <c r="M163" i="29" s="1"/>
  <c r="L162" i="29"/>
  <c r="M162" i="29" s="1"/>
  <c r="L161" i="29"/>
  <c r="M161" i="29" s="1"/>
  <c r="L160" i="29"/>
  <c r="M160" i="29" s="1"/>
  <c r="L159" i="29"/>
  <c r="M159" i="29" s="1"/>
  <c r="L158" i="29"/>
  <c r="M158" i="29" s="1"/>
  <c r="L157" i="29"/>
  <c r="M157" i="29" s="1"/>
  <c r="L156" i="29"/>
  <c r="M156" i="29" s="1"/>
  <c r="L155" i="29"/>
  <c r="M155" i="29" s="1"/>
  <c r="L154" i="29"/>
  <c r="M154" i="29" s="1"/>
  <c r="L153" i="29"/>
  <c r="M153" i="29" s="1"/>
  <c r="L152" i="29"/>
  <c r="M152" i="29" s="1"/>
  <c r="L151" i="29"/>
  <c r="M151" i="29" s="1"/>
  <c r="L150" i="29"/>
  <c r="M150" i="29" s="1"/>
  <c r="L149" i="29"/>
  <c r="M149" i="29" s="1"/>
  <c r="L148" i="29"/>
  <c r="M148" i="29" s="1"/>
  <c r="L147" i="29"/>
  <c r="M147" i="29" s="1"/>
  <c r="L146" i="29"/>
  <c r="M146" i="29" s="1"/>
  <c r="L145" i="29"/>
  <c r="M145" i="29" s="1"/>
  <c r="L144" i="29"/>
  <c r="M144" i="29" s="1"/>
  <c r="L143" i="29"/>
  <c r="M143" i="29" s="1"/>
  <c r="L142" i="29"/>
  <c r="M142" i="29" s="1"/>
  <c r="L141" i="29"/>
  <c r="M141" i="29" s="1"/>
  <c r="L140" i="29"/>
  <c r="M140" i="29" s="1"/>
  <c r="L139" i="29"/>
  <c r="M139" i="29" s="1"/>
  <c r="L138" i="29"/>
  <c r="M138" i="29" s="1"/>
  <c r="L137" i="29"/>
  <c r="M137" i="29" s="1"/>
  <c r="L136" i="29"/>
  <c r="M136" i="29" s="1"/>
  <c r="L135" i="29"/>
  <c r="M135" i="29" s="1"/>
  <c r="L134" i="29"/>
  <c r="M134" i="29" s="1"/>
  <c r="L133" i="29"/>
  <c r="M133" i="29" s="1"/>
  <c r="L132" i="29"/>
  <c r="M132" i="29" s="1"/>
  <c r="L131" i="29"/>
  <c r="M131" i="29" s="1"/>
  <c r="L130" i="29"/>
  <c r="M130" i="29" s="1"/>
  <c r="L129" i="29"/>
  <c r="M129" i="29" s="1"/>
  <c r="L128" i="29"/>
  <c r="M128" i="29" s="1"/>
  <c r="L127" i="29"/>
  <c r="M127" i="29" s="1"/>
  <c r="L126" i="29"/>
  <c r="M126" i="29" s="1"/>
  <c r="L125" i="29"/>
  <c r="M125" i="29" s="1"/>
  <c r="L124" i="29"/>
  <c r="M124" i="29" s="1"/>
  <c r="L123" i="29"/>
  <c r="M123" i="29" s="1"/>
  <c r="L122" i="29"/>
  <c r="M122" i="29" s="1"/>
  <c r="L121" i="29"/>
  <c r="M121" i="29" s="1"/>
  <c r="L120" i="29"/>
  <c r="M120" i="29" s="1"/>
  <c r="L119" i="29"/>
  <c r="M119" i="29" s="1"/>
  <c r="L118" i="29"/>
  <c r="M118" i="29" s="1"/>
  <c r="L117" i="29"/>
  <c r="M117" i="29" s="1"/>
  <c r="L116" i="29"/>
  <c r="M116" i="29" s="1"/>
  <c r="L115" i="29"/>
  <c r="M115" i="29" s="1"/>
  <c r="L114" i="29"/>
  <c r="M114" i="29" s="1"/>
  <c r="L113" i="29"/>
  <c r="M113" i="29" s="1"/>
  <c r="L112" i="29"/>
  <c r="M112" i="29" s="1"/>
  <c r="L111" i="29"/>
  <c r="M111" i="29" s="1"/>
  <c r="L110" i="29"/>
  <c r="M110" i="29" s="1"/>
  <c r="L109" i="29"/>
  <c r="M109" i="29" s="1"/>
  <c r="L108" i="29"/>
  <c r="M108" i="29" s="1"/>
  <c r="L107" i="29"/>
  <c r="M107" i="29" s="1"/>
  <c r="L106" i="29"/>
  <c r="M106" i="29" s="1"/>
  <c r="L105" i="29"/>
  <c r="M105" i="29" s="1"/>
  <c r="L104" i="29"/>
  <c r="M104" i="29" s="1"/>
  <c r="L103" i="29"/>
  <c r="M103" i="29" s="1"/>
  <c r="L102" i="29"/>
  <c r="M102" i="29" s="1"/>
  <c r="L101" i="29"/>
  <c r="M101" i="29" s="1"/>
  <c r="L100" i="29"/>
  <c r="M100" i="29" s="1"/>
  <c r="L99" i="29"/>
  <c r="M99" i="29" s="1"/>
  <c r="L98" i="29"/>
  <c r="M98" i="29" s="1"/>
  <c r="L97" i="29"/>
  <c r="M97" i="29" s="1"/>
  <c r="L96" i="29"/>
  <c r="M96" i="29" s="1"/>
  <c r="L95" i="29"/>
  <c r="M95" i="29" s="1"/>
  <c r="L94" i="29"/>
  <c r="M94" i="29" s="1"/>
  <c r="L93" i="29"/>
  <c r="M93" i="29" s="1"/>
  <c r="L92" i="29"/>
  <c r="M92" i="29" s="1"/>
  <c r="L91" i="29"/>
  <c r="M91" i="29" s="1"/>
  <c r="L90" i="29"/>
  <c r="M90" i="29" s="1"/>
  <c r="L89" i="29"/>
  <c r="M89" i="29" s="1"/>
  <c r="L88" i="29"/>
  <c r="M88" i="29" s="1"/>
  <c r="L87" i="29"/>
  <c r="M87" i="29" s="1"/>
  <c r="L86" i="29"/>
  <c r="M86" i="29" s="1"/>
  <c r="L85" i="29"/>
  <c r="M85" i="29" s="1"/>
  <c r="L84" i="29"/>
  <c r="M84" i="29" s="1"/>
  <c r="L83" i="29"/>
  <c r="M83" i="29" s="1"/>
  <c r="L82" i="29"/>
  <c r="M82" i="29" s="1"/>
  <c r="L81" i="29"/>
  <c r="M81" i="29" s="1"/>
  <c r="L80" i="29"/>
  <c r="M80" i="29" s="1"/>
  <c r="L79" i="29"/>
  <c r="M79" i="29" s="1"/>
  <c r="L78" i="29"/>
  <c r="M78" i="29" s="1"/>
  <c r="L77" i="29"/>
  <c r="M77" i="29" s="1"/>
  <c r="L76" i="29"/>
  <c r="M76" i="29" s="1"/>
  <c r="L75" i="29"/>
  <c r="M75" i="29" s="1"/>
  <c r="L74" i="29"/>
  <c r="M74" i="29" s="1"/>
  <c r="L73" i="29"/>
  <c r="M73" i="29" s="1"/>
  <c r="L72" i="29"/>
  <c r="M72" i="29" s="1"/>
  <c r="L71" i="29"/>
  <c r="M71" i="29" s="1"/>
  <c r="L70" i="29"/>
  <c r="M70" i="29" s="1"/>
  <c r="L69" i="29"/>
  <c r="M69" i="29" s="1"/>
  <c r="L68" i="29"/>
  <c r="M68" i="29" s="1"/>
  <c r="L67" i="29"/>
  <c r="M67" i="29" s="1"/>
  <c r="L66" i="29"/>
  <c r="M66" i="29" s="1"/>
  <c r="L65" i="29"/>
  <c r="M65" i="29" s="1"/>
  <c r="L64" i="29"/>
  <c r="M64" i="29" s="1"/>
  <c r="L63" i="29"/>
  <c r="M63" i="29" s="1"/>
  <c r="L62" i="29"/>
  <c r="M62" i="29" s="1"/>
  <c r="L61" i="29"/>
  <c r="M61" i="29" s="1"/>
  <c r="L60" i="29"/>
  <c r="M60" i="29" s="1"/>
  <c r="L59" i="29"/>
  <c r="M59" i="29" s="1"/>
  <c r="L58" i="29"/>
  <c r="M58" i="29" s="1"/>
  <c r="L57" i="29"/>
  <c r="M57" i="29" s="1"/>
  <c r="L56" i="29"/>
  <c r="M56" i="29" s="1"/>
  <c r="L55" i="29"/>
  <c r="M55" i="29" s="1"/>
  <c r="L54" i="29"/>
  <c r="M54" i="29" s="1"/>
  <c r="L53" i="29"/>
  <c r="M53" i="29" s="1"/>
  <c r="L52" i="29"/>
  <c r="M52" i="29" s="1"/>
  <c r="L51" i="29"/>
  <c r="M51" i="29" s="1"/>
  <c r="L50" i="29"/>
  <c r="M50" i="29" s="1"/>
  <c r="L49" i="29"/>
  <c r="M49" i="29" s="1"/>
  <c r="L48" i="29"/>
  <c r="M48" i="29" s="1"/>
  <c r="L47" i="29"/>
  <c r="M47" i="29" s="1"/>
  <c r="L46" i="29"/>
  <c r="M46" i="29" s="1"/>
  <c r="L45" i="29"/>
  <c r="M45" i="29" s="1"/>
  <c r="L44" i="29"/>
  <c r="M44" i="29" s="1"/>
  <c r="L43" i="29"/>
  <c r="M43" i="29" s="1"/>
  <c r="L42" i="29"/>
  <c r="M42" i="29" s="1"/>
  <c r="L41" i="29"/>
  <c r="M41" i="29" s="1"/>
  <c r="L40" i="29"/>
  <c r="M40" i="29" s="1"/>
  <c r="L39" i="29"/>
  <c r="M39" i="29" s="1"/>
  <c r="L38" i="29"/>
  <c r="M38" i="29" s="1"/>
  <c r="L37" i="29"/>
  <c r="M37" i="29" s="1"/>
  <c r="L36" i="29"/>
  <c r="M36" i="29" s="1"/>
  <c r="L35" i="29"/>
  <c r="M35" i="29" s="1"/>
  <c r="L34" i="29"/>
  <c r="M34" i="29" s="1"/>
  <c r="L33" i="29"/>
  <c r="M33" i="29" s="1"/>
  <c r="L32" i="29"/>
  <c r="M32" i="29" s="1"/>
  <c r="L31" i="29"/>
  <c r="M31" i="29" s="1"/>
  <c r="L30" i="29"/>
  <c r="M30" i="29" s="1"/>
  <c r="L29" i="29"/>
  <c r="M29" i="29" s="1"/>
  <c r="L28" i="29"/>
  <c r="M28" i="29" s="1"/>
  <c r="L27" i="29"/>
  <c r="M27" i="29" s="1"/>
  <c r="L26" i="29"/>
  <c r="M26" i="29" s="1"/>
  <c r="L25" i="29"/>
  <c r="M25" i="29" s="1"/>
  <c r="L24" i="29"/>
  <c r="M24" i="29" s="1"/>
  <c r="L23" i="29"/>
  <c r="M23" i="29" s="1"/>
  <c r="L22" i="29"/>
  <c r="M22" i="29" s="1"/>
  <c r="L21" i="29"/>
  <c r="M21" i="29" s="1"/>
  <c r="L20" i="29"/>
  <c r="M20" i="29" s="1"/>
  <c r="L19" i="29"/>
  <c r="M19" i="29" s="1"/>
  <c r="L18" i="29"/>
  <c r="M18" i="29" s="1"/>
  <c r="L17" i="29"/>
  <c r="M17" i="29" s="1"/>
  <c r="L16" i="29"/>
  <c r="M16" i="29" s="1"/>
  <c r="L15" i="29"/>
  <c r="M15" i="29" s="1"/>
  <c r="L14" i="29"/>
  <c r="M14" i="29" s="1"/>
  <c r="L13" i="29"/>
  <c r="M13" i="29" s="1"/>
  <c r="L12" i="29"/>
  <c r="M12" i="29" s="1"/>
  <c r="L11" i="29"/>
  <c r="M11" i="29" s="1"/>
  <c r="L10" i="29"/>
  <c r="M10" i="29" s="1"/>
  <c r="L9" i="29"/>
  <c r="M9" i="29" s="1"/>
  <c r="L8" i="29"/>
  <c r="M8" i="29" s="1"/>
  <c r="L7" i="29"/>
  <c r="M7" i="29" s="1"/>
  <c r="L6" i="29"/>
  <c r="M6" i="29" s="1"/>
  <c r="L5" i="29"/>
  <c r="M5" i="29" s="1"/>
  <c r="L4" i="29"/>
  <c r="M4" i="29" s="1"/>
  <c r="L3" i="29"/>
  <c r="M3" i="29" s="1"/>
  <c r="L2" i="29"/>
  <c r="M2" i="29" s="1"/>
  <c r="X38" i="1"/>
  <c r="W38" i="1"/>
  <c r="H30" i="52" s="1"/>
  <c r="U38" i="1"/>
  <c r="T38" i="1"/>
  <c r="H29" i="52" s="1"/>
  <c r="R38" i="1"/>
  <c r="Q38" i="1"/>
  <c r="H28" i="52" s="1"/>
  <c r="O38" i="1"/>
  <c r="N38" i="1"/>
  <c r="H27" i="52" s="1"/>
  <c r="L38" i="1"/>
  <c r="K38" i="1"/>
  <c r="H26" i="52" s="1"/>
  <c r="I38" i="1"/>
  <c r="H38" i="1"/>
  <c r="H25" i="52" s="1"/>
  <c r="F38" i="1"/>
  <c r="C38" i="1"/>
  <c r="AA36" i="1"/>
  <c r="Z36" i="1"/>
  <c r="B36" i="52" s="1"/>
  <c r="Y36" i="1"/>
  <c r="V36" i="1"/>
  <c r="S36" i="1"/>
  <c r="P36" i="1"/>
  <c r="M36" i="1"/>
  <c r="J36" i="1"/>
  <c r="G36" i="1"/>
  <c r="D36" i="1"/>
  <c r="AA35" i="1"/>
  <c r="Z35" i="1"/>
  <c r="B35" i="52" s="1"/>
  <c r="Y35" i="1"/>
  <c r="V35" i="1"/>
  <c r="S35" i="1"/>
  <c r="P35" i="1"/>
  <c r="M35" i="1"/>
  <c r="J35" i="1"/>
  <c r="G35" i="1"/>
  <c r="D35" i="1"/>
  <c r="AA34" i="1"/>
  <c r="Z34" i="1"/>
  <c r="B34" i="52" s="1"/>
  <c r="Y34" i="1"/>
  <c r="V34" i="1"/>
  <c r="S34" i="1"/>
  <c r="P34" i="1"/>
  <c r="M34" i="1"/>
  <c r="J34" i="1"/>
  <c r="G34" i="1"/>
  <c r="D34" i="1"/>
  <c r="AA33" i="1"/>
  <c r="Z33" i="1"/>
  <c r="B33" i="52" s="1"/>
  <c r="Y33" i="1"/>
  <c r="V33" i="1"/>
  <c r="S33" i="1"/>
  <c r="P33" i="1"/>
  <c r="M33" i="1"/>
  <c r="J33" i="1"/>
  <c r="G33" i="1"/>
  <c r="D33" i="1"/>
  <c r="AA32" i="1"/>
  <c r="Y32" i="1"/>
  <c r="V32" i="1"/>
  <c r="S32" i="1"/>
  <c r="P32" i="1"/>
  <c r="M32" i="1"/>
  <c r="J32" i="1"/>
  <c r="AA31" i="1"/>
  <c r="Y31" i="1"/>
  <c r="V31" i="1"/>
  <c r="S31" i="1"/>
  <c r="P31" i="1"/>
  <c r="M31" i="1"/>
  <c r="J31" i="1"/>
  <c r="AA30" i="1"/>
  <c r="Y30" i="1"/>
  <c r="V30" i="1"/>
  <c r="S30" i="1"/>
  <c r="P30" i="1"/>
  <c r="M30" i="1"/>
  <c r="J30" i="1"/>
  <c r="AA29" i="1"/>
  <c r="Y29" i="1"/>
  <c r="V29" i="1"/>
  <c r="S29" i="1"/>
  <c r="P29" i="1"/>
  <c r="M29" i="1"/>
  <c r="J29" i="1"/>
  <c r="AA28" i="1"/>
  <c r="Y28" i="1"/>
  <c r="V28" i="1"/>
  <c r="S28" i="1"/>
  <c r="P28" i="1"/>
  <c r="M28" i="1"/>
  <c r="J28" i="1"/>
  <c r="AA27" i="1"/>
  <c r="Y27" i="1"/>
  <c r="V27" i="1"/>
  <c r="S27" i="1"/>
  <c r="P27" i="1"/>
  <c r="M27" i="1"/>
  <c r="J27" i="1"/>
  <c r="AA26" i="1"/>
  <c r="Y26" i="1"/>
  <c r="V26" i="1"/>
  <c r="S26" i="1"/>
  <c r="P26" i="1"/>
  <c r="M26" i="1"/>
  <c r="J26" i="1"/>
  <c r="AA25" i="1"/>
  <c r="Y25" i="1"/>
  <c r="V25" i="1"/>
  <c r="S25" i="1"/>
  <c r="P25" i="1"/>
  <c r="M25" i="1"/>
  <c r="J25" i="1"/>
  <c r="AA24" i="1"/>
  <c r="Y24" i="1"/>
  <c r="V24" i="1"/>
  <c r="S24" i="1"/>
  <c r="P24" i="1"/>
  <c r="M24" i="1"/>
  <c r="J24" i="1"/>
  <c r="AA23" i="1"/>
  <c r="Y23" i="1"/>
  <c r="V23" i="1"/>
  <c r="S23" i="1"/>
  <c r="P23" i="1"/>
  <c r="M23" i="1"/>
  <c r="J23" i="1"/>
  <c r="AA22" i="1"/>
  <c r="Y22" i="1"/>
  <c r="V22" i="1"/>
  <c r="S22" i="1"/>
  <c r="P22" i="1"/>
  <c r="M22" i="1"/>
  <c r="J22" i="1"/>
  <c r="AA21" i="1"/>
  <c r="Y21" i="1"/>
  <c r="V21" i="1"/>
  <c r="S21" i="1"/>
  <c r="P21" i="1"/>
  <c r="M21" i="1"/>
  <c r="J21" i="1"/>
  <c r="AA20" i="1"/>
  <c r="Y20" i="1"/>
  <c r="V20" i="1"/>
  <c r="S20" i="1"/>
  <c r="P20" i="1"/>
  <c r="M20" i="1"/>
  <c r="J20" i="1"/>
  <c r="AA19" i="1"/>
  <c r="Y19" i="1"/>
  <c r="V19" i="1"/>
  <c r="S19" i="1"/>
  <c r="P19" i="1"/>
  <c r="M19" i="1"/>
  <c r="J19" i="1"/>
  <c r="AA18" i="1"/>
  <c r="Y18" i="1"/>
  <c r="V18" i="1"/>
  <c r="S18" i="1"/>
  <c r="P18" i="1"/>
  <c r="M18" i="1"/>
  <c r="J18" i="1"/>
  <c r="AA17" i="1"/>
  <c r="Y17" i="1"/>
  <c r="V17" i="1"/>
  <c r="S17" i="1"/>
  <c r="P17" i="1"/>
  <c r="M17" i="1"/>
  <c r="J17" i="1"/>
  <c r="AA16" i="1"/>
  <c r="C16" i="52" s="1"/>
  <c r="Y16" i="1"/>
  <c r="V16" i="1"/>
  <c r="S16" i="1"/>
  <c r="P16" i="1"/>
  <c r="M16" i="1"/>
  <c r="J16" i="1"/>
  <c r="AA15" i="1"/>
  <c r="C15" i="52" s="1"/>
  <c r="Y15" i="1"/>
  <c r="V15" i="1"/>
  <c r="S15" i="1"/>
  <c r="P15" i="1"/>
  <c r="M15" i="1"/>
  <c r="J15" i="1"/>
  <c r="AA14" i="1"/>
  <c r="C14" i="52" s="1"/>
  <c r="Y14" i="1"/>
  <c r="V14" i="1"/>
  <c r="S14" i="1"/>
  <c r="P14" i="1"/>
  <c r="M14" i="1"/>
  <c r="J14" i="1"/>
  <c r="AA13" i="1"/>
  <c r="C13" i="52" s="1"/>
  <c r="Y13" i="1"/>
  <c r="V13" i="1"/>
  <c r="S13" i="1"/>
  <c r="P13" i="1"/>
  <c r="M13" i="1"/>
  <c r="J13" i="1"/>
  <c r="AA12" i="1"/>
  <c r="C12" i="52" s="1"/>
  <c r="Y12" i="1"/>
  <c r="V12" i="1"/>
  <c r="S12" i="1"/>
  <c r="P12" i="1"/>
  <c r="M12" i="1"/>
  <c r="J12" i="1"/>
  <c r="AA11" i="1"/>
  <c r="C11" i="52" s="1"/>
  <c r="Y11" i="1"/>
  <c r="V11" i="1"/>
  <c r="S11" i="1"/>
  <c r="P11" i="1"/>
  <c r="M11" i="1"/>
  <c r="J11" i="1"/>
  <c r="AA10" i="1"/>
  <c r="C10" i="52" s="1"/>
  <c r="Y10" i="1"/>
  <c r="V10" i="1"/>
  <c r="S10" i="1"/>
  <c r="P10" i="1"/>
  <c r="M10" i="1"/>
  <c r="J10" i="1"/>
  <c r="AA9" i="1"/>
  <c r="C9" i="52" s="1"/>
  <c r="Z9" i="1"/>
  <c r="B9" i="52" s="1"/>
  <c r="Y9" i="1"/>
  <c r="V9" i="1"/>
  <c r="S9" i="1"/>
  <c r="P9" i="1"/>
  <c r="M9" i="1"/>
  <c r="J9" i="1"/>
  <c r="G9" i="1"/>
  <c r="D9" i="1"/>
  <c r="AA8" i="1"/>
  <c r="C8" i="52" s="1"/>
  <c r="Z8" i="1"/>
  <c r="B8" i="52" s="1"/>
  <c r="Y8" i="1"/>
  <c r="V8" i="1"/>
  <c r="S8" i="1"/>
  <c r="P8" i="1"/>
  <c r="M8" i="1"/>
  <c r="J8" i="1"/>
  <c r="G8" i="1"/>
  <c r="D8" i="1"/>
  <c r="AA7" i="1"/>
  <c r="C7" i="52" s="1"/>
  <c r="Z7" i="1"/>
  <c r="B7" i="52" s="1"/>
  <c r="Y7" i="1"/>
  <c r="V7" i="1"/>
  <c r="S7" i="1"/>
  <c r="P7" i="1"/>
  <c r="M7" i="1"/>
  <c r="J7" i="1"/>
  <c r="G7" i="1"/>
  <c r="D7" i="1"/>
  <c r="AA6" i="1"/>
  <c r="C6" i="52" s="1"/>
  <c r="Z6" i="1"/>
  <c r="P6" i="52" s="1"/>
  <c r="Y6" i="1"/>
  <c r="V6" i="1"/>
  <c r="S6" i="1"/>
  <c r="P6" i="1"/>
  <c r="M6" i="1"/>
  <c r="J6" i="1"/>
  <c r="G6" i="1"/>
  <c r="D6" i="1"/>
  <c r="AA5" i="1"/>
  <c r="C5" i="52" s="1"/>
  <c r="Z5" i="1"/>
  <c r="Y5" i="1"/>
  <c r="V5" i="1"/>
  <c r="S5" i="1"/>
  <c r="P5" i="1"/>
  <c r="M5" i="1"/>
  <c r="J5" i="1"/>
  <c r="G5" i="1"/>
  <c r="D5" i="1"/>
  <c r="AA4" i="1"/>
  <c r="C4" i="52" s="1"/>
  <c r="Z4" i="1"/>
  <c r="B4" i="52" s="1"/>
  <c r="Y4" i="1"/>
  <c r="V4" i="1"/>
  <c r="S4" i="1"/>
  <c r="P4" i="1"/>
  <c r="M4" i="1"/>
  <c r="J4" i="1"/>
  <c r="G4" i="1"/>
  <c r="D4" i="1"/>
  <c r="AA3" i="1"/>
  <c r="C3" i="52" s="1"/>
  <c r="Z3" i="1"/>
  <c r="B3" i="52" s="1"/>
  <c r="Y3" i="1"/>
  <c r="V3" i="1"/>
  <c r="S3" i="1"/>
  <c r="P3" i="1"/>
  <c r="M3" i="1"/>
  <c r="J3" i="1"/>
  <c r="G3" i="1"/>
  <c r="D3" i="1"/>
  <c r="AA2" i="1"/>
  <c r="C2" i="52" s="1"/>
  <c r="E2" i="52" s="1"/>
  <c r="Z2" i="1"/>
  <c r="Y2" i="1"/>
  <c r="V2" i="1"/>
  <c r="S2" i="1"/>
  <c r="P2" i="1"/>
  <c r="M2" i="1"/>
  <c r="J2" i="1"/>
  <c r="G2" i="1"/>
  <c r="D2" i="1"/>
  <c r="N190" i="13"/>
  <c r="O190" i="13" s="1"/>
  <c r="I190" i="13"/>
  <c r="J190" i="13" s="1"/>
  <c r="L190" i="13" s="1"/>
  <c r="N189" i="13"/>
  <c r="O189" i="13" s="1"/>
  <c r="I189" i="13"/>
  <c r="J189" i="13" s="1"/>
  <c r="L189" i="13" s="1"/>
  <c r="N188" i="13"/>
  <c r="O188" i="13" s="1"/>
  <c r="I188" i="13"/>
  <c r="J188" i="13" s="1"/>
  <c r="L188" i="13" s="1"/>
  <c r="N187" i="13"/>
  <c r="O187" i="13" s="1"/>
  <c r="I187" i="13"/>
  <c r="J187" i="13" s="1"/>
  <c r="L187" i="13" s="1"/>
  <c r="N186" i="13"/>
  <c r="O186" i="13" s="1"/>
  <c r="I186" i="13"/>
  <c r="J186" i="13" s="1"/>
  <c r="L186" i="13" s="1"/>
  <c r="N185" i="13"/>
  <c r="O185" i="13" s="1"/>
  <c r="I185" i="13"/>
  <c r="J185" i="13" s="1"/>
  <c r="L185" i="13" s="1"/>
  <c r="N184" i="13"/>
  <c r="O184" i="13" s="1"/>
  <c r="I184" i="13"/>
  <c r="J184" i="13" s="1"/>
  <c r="L184" i="13" s="1"/>
  <c r="N183" i="13"/>
  <c r="O183" i="13" s="1"/>
  <c r="J183" i="13"/>
  <c r="L183" i="13" s="1"/>
  <c r="I183" i="13"/>
  <c r="N182" i="13"/>
  <c r="O182" i="13" s="1"/>
  <c r="I182" i="13"/>
  <c r="J182" i="13" s="1"/>
  <c r="N181" i="13"/>
  <c r="O181" i="13" s="1"/>
  <c r="I181" i="13"/>
  <c r="J181" i="13" s="1"/>
  <c r="L181" i="13" s="1"/>
  <c r="N180" i="13"/>
  <c r="O180" i="13" s="1"/>
  <c r="I180" i="13"/>
  <c r="J180" i="13" s="1"/>
  <c r="L180" i="13" s="1"/>
  <c r="N179" i="13"/>
  <c r="O179" i="13" s="1"/>
  <c r="J179" i="13"/>
  <c r="L179" i="13" s="1"/>
  <c r="I179" i="13"/>
  <c r="N178" i="13"/>
  <c r="O178" i="13" s="1"/>
  <c r="I178" i="13"/>
  <c r="J178" i="13" s="1"/>
  <c r="L178" i="13" s="1"/>
  <c r="N177" i="13"/>
  <c r="O177" i="13" s="1"/>
  <c r="I177" i="13"/>
  <c r="J177" i="13" s="1"/>
  <c r="L177" i="13" s="1"/>
  <c r="N176" i="13"/>
  <c r="O176" i="13" s="1"/>
  <c r="I176" i="13"/>
  <c r="J176" i="13" s="1"/>
  <c r="L176" i="13" s="1"/>
  <c r="N175" i="13"/>
  <c r="O175" i="13" s="1"/>
  <c r="I175" i="13"/>
  <c r="J175" i="13" s="1"/>
  <c r="L175" i="13" s="1"/>
  <c r="N174" i="13"/>
  <c r="O174" i="13" s="1"/>
  <c r="I174" i="13"/>
  <c r="J174" i="13" s="1"/>
  <c r="L174" i="13" s="1"/>
  <c r="N173" i="13"/>
  <c r="O173" i="13" s="1"/>
  <c r="J173" i="13"/>
  <c r="L173" i="13" s="1"/>
  <c r="I173" i="13"/>
  <c r="N172" i="13"/>
  <c r="O172" i="13" s="1"/>
  <c r="I172" i="13"/>
  <c r="J172" i="13" s="1"/>
  <c r="L172" i="13" s="1"/>
  <c r="N171" i="13"/>
  <c r="O171" i="13" s="1"/>
  <c r="I171" i="13"/>
  <c r="J171" i="13" s="1"/>
  <c r="L171" i="13" s="1"/>
  <c r="N170" i="13"/>
  <c r="O170" i="13" s="1"/>
  <c r="I170" i="13"/>
  <c r="J170" i="13" s="1"/>
  <c r="L170" i="13" s="1"/>
  <c r="N169" i="13"/>
  <c r="O169" i="13" s="1"/>
  <c r="I169" i="13"/>
  <c r="J169" i="13" s="1"/>
  <c r="L169" i="13" s="1"/>
  <c r="N168" i="13"/>
  <c r="O168" i="13" s="1"/>
  <c r="I168" i="13"/>
  <c r="J168" i="13" s="1"/>
  <c r="L168" i="13" s="1"/>
  <c r="N167" i="13"/>
  <c r="O167" i="13" s="1"/>
  <c r="J167" i="13"/>
  <c r="L167" i="13" s="1"/>
  <c r="I167" i="13"/>
  <c r="N166" i="13"/>
  <c r="O166" i="13" s="1"/>
  <c r="I166" i="13"/>
  <c r="J166" i="13" s="1"/>
  <c r="L166" i="13" s="1"/>
  <c r="N165" i="13"/>
  <c r="O165" i="13" s="1"/>
  <c r="I165" i="13"/>
  <c r="J165" i="13" s="1"/>
  <c r="L165" i="13" s="1"/>
  <c r="N164" i="13"/>
  <c r="O164" i="13" s="1"/>
  <c r="I164" i="13"/>
  <c r="J164" i="13" s="1"/>
  <c r="L164" i="13" s="1"/>
  <c r="N163" i="13"/>
  <c r="O163" i="13" s="1"/>
  <c r="I163" i="13"/>
  <c r="J163" i="13" s="1"/>
  <c r="L163" i="13" s="1"/>
  <c r="N162" i="13"/>
  <c r="O162" i="13" s="1"/>
  <c r="I162" i="13"/>
  <c r="J162" i="13" s="1"/>
  <c r="L162" i="13" s="1"/>
  <c r="N161" i="13"/>
  <c r="O161" i="13" s="1"/>
  <c r="J161" i="13"/>
  <c r="L161" i="13" s="1"/>
  <c r="I161" i="13"/>
  <c r="N160" i="13"/>
  <c r="O160" i="13" s="1"/>
  <c r="I160" i="13"/>
  <c r="J160" i="13" s="1"/>
  <c r="L160" i="13" s="1"/>
  <c r="N159" i="13"/>
  <c r="O159" i="13" s="1"/>
  <c r="I159" i="13"/>
  <c r="J159" i="13" s="1"/>
  <c r="L159" i="13" s="1"/>
  <c r="N158" i="13"/>
  <c r="O158" i="13" s="1"/>
  <c r="I158" i="13"/>
  <c r="J158" i="13" s="1"/>
  <c r="L158" i="13" s="1"/>
  <c r="N157" i="13"/>
  <c r="O157" i="13" s="1"/>
  <c r="I157" i="13"/>
  <c r="J157" i="13" s="1"/>
  <c r="L157" i="13" s="1"/>
  <c r="N156" i="13"/>
  <c r="O156" i="13" s="1"/>
  <c r="I156" i="13"/>
  <c r="J156" i="13" s="1"/>
  <c r="L156" i="13" s="1"/>
  <c r="N155" i="13"/>
  <c r="O155" i="13" s="1"/>
  <c r="J155" i="13"/>
  <c r="L155" i="13" s="1"/>
  <c r="I155" i="13"/>
  <c r="N154" i="13"/>
  <c r="O154" i="13" s="1"/>
  <c r="I154" i="13"/>
  <c r="J154" i="13" s="1"/>
  <c r="L154" i="13" s="1"/>
  <c r="N153" i="13"/>
  <c r="O153" i="13" s="1"/>
  <c r="I153" i="13"/>
  <c r="J153" i="13" s="1"/>
  <c r="L153" i="13" s="1"/>
  <c r="N152" i="13"/>
  <c r="O152" i="13" s="1"/>
  <c r="I152" i="13"/>
  <c r="J152" i="13" s="1"/>
  <c r="L152" i="13" s="1"/>
  <c r="N151" i="13"/>
  <c r="O151" i="13" s="1"/>
  <c r="I151" i="13"/>
  <c r="J151" i="13" s="1"/>
  <c r="L151" i="13" s="1"/>
  <c r="N150" i="13"/>
  <c r="O150" i="13" s="1"/>
  <c r="I150" i="13"/>
  <c r="J150" i="13" s="1"/>
  <c r="L150" i="13" s="1"/>
  <c r="N149" i="13"/>
  <c r="O149" i="13" s="1"/>
  <c r="J149" i="13"/>
  <c r="L149" i="13" s="1"/>
  <c r="I149" i="13"/>
  <c r="N148" i="13"/>
  <c r="O148" i="13" s="1"/>
  <c r="I148" i="13"/>
  <c r="J148" i="13" s="1"/>
  <c r="L148" i="13" s="1"/>
  <c r="N147" i="13"/>
  <c r="O147" i="13" s="1"/>
  <c r="I147" i="13"/>
  <c r="J147" i="13" s="1"/>
  <c r="L147" i="13" s="1"/>
  <c r="N146" i="13"/>
  <c r="O146" i="13" s="1"/>
  <c r="I146" i="13"/>
  <c r="J146" i="13" s="1"/>
  <c r="L146" i="13" s="1"/>
  <c r="N145" i="13"/>
  <c r="O145" i="13" s="1"/>
  <c r="I145" i="13"/>
  <c r="J145" i="13" s="1"/>
  <c r="L145" i="13" s="1"/>
  <c r="N144" i="13"/>
  <c r="O144" i="13" s="1"/>
  <c r="I144" i="13"/>
  <c r="J144" i="13" s="1"/>
  <c r="L144" i="13" s="1"/>
  <c r="N143" i="13"/>
  <c r="O143" i="13" s="1"/>
  <c r="J143" i="13"/>
  <c r="L143" i="13" s="1"/>
  <c r="I143" i="13"/>
  <c r="N142" i="13"/>
  <c r="O142" i="13" s="1"/>
  <c r="I142" i="13"/>
  <c r="J142" i="13" s="1"/>
  <c r="L142" i="13" s="1"/>
  <c r="N141" i="13"/>
  <c r="O141" i="13" s="1"/>
  <c r="I141" i="13"/>
  <c r="J141" i="13" s="1"/>
  <c r="L141" i="13" s="1"/>
  <c r="N140" i="13"/>
  <c r="O140" i="13" s="1"/>
  <c r="J140" i="13"/>
  <c r="L140" i="13" s="1"/>
  <c r="I140" i="13"/>
  <c r="N139" i="13"/>
  <c r="O139" i="13" s="1"/>
  <c r="I139" i="13"/>
  <c r="J139" i="13" s="1"/>
  <c r="L139" i="13" s="1"/>
  <c r="N138" i="13"/>
  <c r="O138" i="13" s="1"/>
  <c r="I138" i="13"/>
  <c r="J138" i="13" s="1"/>
  <c r="L138" i="13" s="1"/>
  <c r="N137" i="13"/>
  <c r="O137" i="13" s="1"/>
  <c r="I137" i="13"/>
  <c r="J137" i="13" s="1"/>
  <c r="L137" i="13" s="1"/>
  <c r="N136" i="13"/>
  <c r="O136" i="13" s="1"/>
  <c r="I136" i="13"/>
  <c r="J136" i="13" s="1"/>
  <c r="L136" i="13" s="1"/>
  <c r="N135" i="13"/>
  <c r="O135" i="13" s="1"/>
  <c r="I135" i="13"/>
  <c r="J135" i="13" s="1"/>
  <c r="L135" i="13" s="1"/>
  <c r="N134" i="13"/>
  <c r="O134" i="13" s="1"/>
  <c r="I134" i="13"/>
  <c r="J134" i="13" s="1"/>
  <c r="L134" i="13" s="1"/>
  <c r="N133" i="13"/>
  <c r="O133" i="13" s="1"/>
  <c r="J133" i="13"/>
  <c r="L133" i="13" s="1"/>
  <c r="I133" i="13"/>
  <c r="N132" i="13"/>
  <c r="O132" i="13" s="1"/>
  <c r="I132" i="13"/>
  <c r="J132" i="13" s="1"/>
  <c r="L132" i="13" s="1"/>
  <c r="N131" i="13"/>
  <c r="O131" i="13" s="1"/>
  <c r="I131" i="13"/>
  <c r="J131" i="13" s="1"/>
  <c r="L131" i="13" s="1"/>
  <c r="N130" i="13"/>
  <c r="O130" i="13" s="1"/>
  <c r="I130" i="13"/>
  <c r="J130" i="13" s="1"/>
  <c r="L130" i="13" s="1"/>
  <c r="N129" i="13"/>
  <c r="O129" i="13" s="1"/>
  <c r="I129" i="13"/>
  <c r="J129" i="13" s="1"/>
  <c r="L129" i="13" s="1"/>
  <c r="N128" i="13"/>
  <c r="O128" i="13" s="1"/>
  <c r="I128" i="13"/>
  <c r="J128" i="13" s="1"/>
  <c r="L128" i="13" s="1"/>
  <c r="N127" i="13"/>
  <c r="O127" i="13" s="1"/>
  <c r="I127" i="13"/>
  <c r="J127" i="13" s="1"/>
  <c r="L127" i="13" s="1"/>
  <c r="N126" i="13"/>
  <c r="O126" i="13" s="1"/>
  <c r="J126" i="13"/>
  <c r="L126" i="13" s="1"/>
  <c r="I126" i="13"/>
  <c r="N125" i="13"/>
  <c r="O125" i="13" s="1"/>
  <c r="I125" i="13"/>
  <c r="J125" i="13" s="1"/>
  <c r="L125" i="13" s="1"/>
  <c r="N124" i="13"/>
  <c r="O124" i="13" s="1"/>
  <c r="I124" i="13"/>
  <c r="J124" i="13" s="1"/>
  <c r="L124" i="13" s="1"/>
  <c r="N123" i="13"/>
  <c r="O123" i="13" s="1"/>
  <c r="I123" i="13"/>
  <c r="J123" i="13" s="1"/>
  <c r="L123" i="13" s="1"/>
  <c r="N122" i="13"/>
  <c r="O122" i="13" s="1"/>
  <c r="I122" i="13"/>
  <c r="J122" i="13" s="1"/>
  <c r="L122" i="13" s="1"/>
  <c r="N121" i="13"/>
  <c r="O121" i="13" s="1"/>
  <c r="I121" i="13"/>
  <c r="J121" i="13" s="1"/>
  <c r="L121" i="13" s="1"/>
  <c r="N120" i="13"/>
  <c r="O120" i="13" s="1"/>
  <c r="I120" i="13"/>
  <c r="J120" i="13" s="1"/>
  <c r="L120" i="13" s="1"/>
  <c r="N119" i="13"/>
  <c r="O119" i="13" s="1"/>
  <c r="J119" i="13"/>
  <c r="L119" i="13" s="1"/>
  <c r="I119" i="13"/>
  <c r="N118" i="13"/>
  <c r="O118" i="13" s="1"/>
  <c r="J118" i="13"/>
  <c r="L118" i="13" s="1"/>
  <c r="I118" i="13"/>
  <c r="N117" i="13"/>
  <c r="O117" i="13" s="1"/>
  <c r="I117" i="13"/>
  <c r="J117" i="13" s="1"/>
  <c r="L117" i="13" s="1"/>
  <c r="N116" i="13"/>
  <c r="O116" i="13" s="1"/>
  <c r="I116" i="13"/>
  <c r="J116" i="13" s="1"/>
  <c r="L116" i="13" s="1"/>
  <c r="N115" i="13"/>
  <c r="O115" i="13" s="1"/>
  <c r="I115" i="13"/>
  <c r="J115" i="13" s="1"/>
  <c r="L115" i="13" s="1"/>
  <c r="N114" i="13"/>
  <c r="O114" i="13" s="1"/>
  <c r="I114" i="13"/>
  <c r="J114" i="13" s="1"/>
  <c r="L114" i="13" s="1"/>
  <c r="N113" i="13"/>
  <c r="O113" i="13" s="1"/>
  <c r="J113" i="13"/>
  <c r="L113" i="13" s="1"/>
  <c r="I113" i="13"/>
  <c r="N112" i="13"/>
  <c r="O112" i="13" s="1"/>
  <c r="I112" i="13"/>
  <c r="J112" i="13" s="1"/>
  <c r="L112" i="13" s="1"/>
  <c r="N111" i="13"/>
  <c r="O111" i="13" s="1"/>
  <c r="J111" i="13"/>
  <c r="L111" i="13" s="1"/>
  <c r="I111" i="13"/>
  <c r="N110" i="13"/>
  <c r="O110" i="13" s="1"/>
  <c r="I110" i="13"/>
  <c r="J110" i="13" s="1"/>
  <c r="L110" i="13" s="1"/>
  <c r="N109" i="13"/>
  <c r="O109" i="13" s="1"/>
  <c r="I109" i="13"/>
  <c r="J109" i="13" s="1"/>
  <c r="L109" i="13" s="1"/>
  <c r="N108" i="13"/>
  <c r="O108" i="13" s="1"/>
  <c r="I108" i="13"/>
  <c r="J108" i="13" s="1"/>
  <c r="L108" i="13" s="1"/>
  <c r="N107" i="13"/>
  <c r="O107" i="13" s="1"/>
  <c r="J107" i="13"/>
  <c r="L107" i="13" s="1"/>
  <c r="I107" i="13"/>
  <c r="N106" i="13"/>
  <c r="O106" i="13" s="1"/>
  <c r="I106" i="13"/>
  <c r="J106" i="13" s="1"/>
  <c r="L106" i="13" s="1"/>
  <c r="N105" i="13"/>
  <c r="O105" i="13" s="1"/>
  <c r="I105" i="13"/>
  <c r="J105" i="13" s="1"/>
  <c r="L105" i="13" s="1"/>
  <c r="N104" i="13"/>
  <c r="O104" i="13" s="1"/>
  <c r="I104" i="13"/>
  <c r="J104" i="13" s="1"/>
  <c r="L104" i="13" s="1"/>
  <c r="N103" i="13"/>
  <c r="O103" i="13" s="1"/>
  <c r="I103" i="13"/>
  <c r="J103" i="13" s="1"/>
  <c r="L103" i="13" s="1"/>
  <c r="N102" i="13"/>
  <c r="O102" i="13" s="1"/>
  <c r="I102" i="13"/>
  <c r="J102" i="13" s="1"/>
  <c r="L102" i="13" s="1"/>
  <c r="N101" i="13"/>
  <c r="O101" i="13" s="1"/>
  <c r="J101" i="13"/>
  <c r="L101" i="13" s="1"/>
  <c r="I101" i="13"/>
  <c r="N100" i="13"/>
  <c r="O100" i="13" s="1"/>
  <c r="I100" i="13"/>
  <c r="J100" i="13" s="1"/>
  <c r="L100" i="13" s="1"/>
  <c r="N99" i="13"/>
  <c r="O99" i="13" s="1"/>
  <c r="I99" i="13"/>
  <c r="J99" i="13" s="1"/>
  <c r="L99" i="13" s="1"/>
  <c r="N98" i="13"/>
  <c r="O98" i="13" s="1"/>
  <c r="I98" i="13"/>
  <c r="J98" i="13" s="1"/>
  <c r="L98" i="13" s="1"/>
  <c r="N97" i="13"/>
  <c r="O97" i="13" s="1"/>
  <c r="I97" i="13"/>
  <c r="J97" i="13" s="1"/>
  <c r="L97" i="13" s="1"/>
  <c r="N96" i="13"/>
  <c r="O96" i="13" s="1"/>
  <c r="I96" i="13"/>
  <c r="J96" i="13" s="1"/>
  <c r="L96" i="13" s="1"/>
  <c r="N95" i="13"/>
  <c r="O95" i="13" s="1"/>
  <c r="J95" i="13"/>
  <c r="L95" i="13" s="1"/>
  <c r="I95" i="13"/>
  <c r="N94" i="13"/>
  <c r="O94" i="13" s="1"/>
  <c r="I94" i="13"/>
  <c r="J94" i="13" s="1"/>
  <c r="L94" i="13" s="1"/>
  <c r="N93" i="13"/>
  <c r="O93" i="13" s="1"/>
  <c r="I93" i="13"/>
  <c r="J93" i="13" s="1"/>
  <c r="L93" i="13" s="1"/>
  <c r="N92" i="13"/>
  <c r="O92" i="13" s="1"/>
  <c r="I92" i="13"/>
  <c r="J92" i="13" s="1"/>
  <c r="L92" i="13" s="1"/>
  <c r="N91" i="13"/>
  <c r="O91" i="13" s="1"/>
  <c r="I91" i="13"/>
  <c r="J91" i="13" s="1"/>
  <c r="L91" i="13" s="1"/>
  <c r="N90" i="13"/>
  <c r="O90" i="13" s="1"/>
  <c r="I90" i="13"/>
  <c r="J90" i="13" s="1"/>
  <c r="L90" i="13" s="1"/>
  <c r="N89" i="13"/>
  <c r="O89" i="13" s="1"/>
  <c r="J89" i="13"/>
  <c r="L89" i="13" s="1"/>
  <c r="I89" i="13"/>
  <c r="N88" i="13"/>
  <c r="O88" i="13" s="1"/>
  <c r="I88" i="13"/>
  <c r="J88" i="13" s="1"/>
  <c r="L88" i="13" s="1"/>
  <c r="N87" i="13"/>
  <c r="O87" i="13" s="1"/>
  <c r="I87" i="13"/>
  <c r="J87" i="13" s="1"/>
  <c r="L87" i="13" s="1"/>
  <c r="N86" i="13"/>
  <c r="O86" i="13" s="1"/>
  <c r="I86" i="13"/>
  <c r="J86" i="13" s="1"/>
  <c r="L86" i="13" s="1"/>
  <c r="N85" i="13"/>
  <c r="O85" i="13" s="1"/>
  <c r="I85" i="13"/>
  <c r="J85" i="13" s="1"/>
  <c r="L85" i="13" s="1"/>
  <c r="N84" i="13"/>
  <c r="O84" i="13" s="1"/>
  <c r="I84" i="13"/>
  <c r="J84" i="13" s="1"/>
  <c r="L84" i="13" s="1"/>
  <c r="N83" i="13"/>
  <c r="O83" i="13" s="1"/>
  <c r="J83" i="13"/>
  <c r="L83" i="13" s="1"/>
  <c r="I83" i="13"/>
  <c r="N82" i="13"/>
  <c r="O82" i="13" s="1"/>
  <c r="I82" i="13"/>
  <c r="J82" i="13" s="1"/>
  <c r="L82" i="13" s="1"/>
  <c r="N81" i="13"/>
  <c r="O81" i="13" s="1"/>
  <c r="I81" i="13"/>
  <c r="J81" i="13" s="1"/>
  <c r="L81" i="13" s="1"/>
  <c r="N80" i="13"/>
  <c r="O80" i="13" s="1"/>
  <c r="I80" i="13"/>
  <c r="J80" i="13" s="1"/>
  <c r="L80" i="13" s="1"/>
  <c r="N79" i="13"/>
  <c r="O79" i="13" s="1"/>
  <c r="I79" i="13"/>
  <c r="J79" i="13" s="1"/>
  <c r="L79" i="13" s="1"/>
  <c r="N78" i="13"/>
  <c r="O78" i="13" s="1"/>
  <c r="I78" i="13"/>
  <c r="J78" i="13" s="1"/>
  <c r="L78" i="13" s="1"/>
  <c r="N77" i="13"/>
  <c r="O77" i="13" s="1"/>
  <c r="J77" i="13"/>
  <c r="L77" i="13" s="1"/>
  <c r="I77" i="13"/>
  <c r="N76" i="13"/>
  <c r="O76" i="13" s="1"/>
  <c r="I76" i="13"/>
  <c r="J76" i="13" s="1"/>
  <c r="L76" i="13" s="1"/>
  <c r="N75" i="13"/>
  <c r="O75" i="13" s="1"/>
  <c r="I75" i="13"/>
  <c r="J75" i="13" s="1"/>
  <c r="L75" i="13" s="1"/>
  <c r="N74" i="13"/>
  <c r="O74" i="13" s="1"/>
  <c r="I74" i="13"/>
  <c r="J74" i="13" s="1"/>
  <c r="L74" i="13" s="1"/>
  <c r="N73" i="13"/>
  <c r="O73" i="13" s="1"/>
  <c r="I73" i="13"/>
  <c r="J73" i="13" s="1"/>
  <c r="L73" i="13" s="1"/>
  <c r="N72" i="13"/>
  <c r="O72" i="13" s="1"/>
  <c r="I72" i="13"/>
  <c r="J72" i="13" s="1"/>
  <c r="L72" i="13" s="1"/>
  <c r="N71" i="13"/>
  <c r="O71" i="13" s="1"/>
  <c r="J71" i="13"/>
  <c r="L71" i="13" s="1"/>
  <c r="I71" i="13"/>
  <c r="N70" i="13"/>
  <c r="I70" i="13"/>
  <c r="J70" i="13" s="1"/>
  <c r="L70" i="13" s="1"/>
  <c r="N69" i="13"/>
  <c r="O69" i="13" s="1"/>
  <c r="I69" i="13"/>
  <c r="J69" i="13" s="1"/>
  <c r="N68" i="13"/>
  <c r="O68" i="13" s="1"/>
  <c r="J68" i="13"/>
  <c r="L68" i="13" s="1"/>
  <c r="I68" i="13"/>
  <c r="N67" i="13"/>
  <c r="O67" i="13" s="1"/>
  <c r="I67" i="13"/>
  <c r="J67" i="13" s="1"/>
  <c r="L67" i="13" s="1"/>
  <c r="N66" i="13"/>
  <c r="O66" i="13" s="1"/>
  <c r="I66" i="13"/>
  <c r="J66" i="13" s="1"/>
  <c r="L66" i="13" s="1"/>
  <c r="N65" i="13"/>
  <c r="O65" i="13" s="1"/>
  <c r="J65" i="13"/>
  <c r="L65" i="13" s="1"/>
  <c r="N64" i="13"/>
  <c r="O64" i="13" s="1"/>
  <c r="I64" i="13"/>
  <c r="N63" i="13"/>
  <c r="O63" i="13" s="1"/>
  <c r="J63" i="13"/>
  <c r="L63" i="13" s="1"/>
  <c r="N62" i="13"/>
  <c r="O62" i="13" s="1"/>
  <c r="J62" i="13"/>
  <c r="L62" i="13" s="1"/>
  <c r="I62" i="13"/>
  <c r="N61" i="13"/>
  <c r="O61" i="13" s="1"/>
  <c r="J61" i="13"/>
  <c r="N60" i="13"/>
  <c r="O60" i="13" s="1"/>
  <c r="J60" i="13"/>
  <c r="L60" i="13" s="1"/>
  <c r="N59" i="13"/>
  <c r="O59" i="13" s="1"/>
  <c r="J59" i="13"/>
  <c r="L59" i="13" s="1"/>
  <c r="N58" i="13"/>
  <c r="O58" i="13" s="1"/>
  <c r="J58" i="13"/>
  <c r="L58" i="13" s="1"/>
  <c r="N57" i="13"/>
  <c r="O57" i="13" s="1"/>
  <c r="J57" i="13"/>
  <c r="L57" i="13" s="1"/>
  <c r="N56" i="13"/>
  <c r="O56" i="13" s="1"/>
  <c r="J56" i="13"/>
  <c r="L56" i="13" s="1"/>
  <c r="N55" i="13"/>
  <c r="O55" i="13" s="1"/>
  <c r="J55" i="13"/>
  <c r="L55" i="13" s="1"/>
  <c r="N54" i="13"/>
  <c r="O54" i="13" s="1"/>
  <c r="J54" i="13"/>
  <c r="L54" i="13" s="1"/>
  <c r="N53" i="13"/>
  <c r="O53" i="13" s="1"/>
  <c r="J53" i="13"/>
  <c r="L53" i="13" s="1"/>
  <c r="N52" i="13"/>
  <c r="O52" i="13" s="1"/>
  <c r="J52" i="13"/>
  <c r="L52" i="13" s="1"/>
  <c r="N51" i="13"/>
  <c r="O51" i="13" s="1"/>
  <c r="J51" i="13"/>
  <c r="L51" i="13" s="1"/>
  <c r="N50" i="13"/>
  <c r="O50" i="13" s="1"/>
  <c r="J50" i="13"/>
  <c r="L50" i="13" s="1"/>
  <c r="N49" i="13"/>
  <c r="O49" i="13" s="1"/>
  <c r="J49" i="13"/>
  <c r="L49" i="13" s="1"/>
  <c r="N48" i="13"/>
  <c r="O48" i="13" s="1"/>
  <c r="J48" i="13"/>
  <c r="L48" i="13" s="1"/>
  <c r="N47" i="13"/>
  <c r="O47" i="13" s="1"/>
  <c r="J47" i="13"/>
  <c r="L47" i="13" s="1"/>
  <c r="N46" i="13"/>
  <c r="O46" i="13" s="1"/>
  <c r="J46" i="13"/>
  <c r="L46" i="13" s="1"/>
  <c r="N45" i="13"/>
  <c r="O45" i="13" s="1"/>
  <c r="J45" i="13"/>
  <c r="L45" i="13" s="1"/>
  <c r="N44" i="13"/>
  <c r="O44" i="13" s="1"/>
  <c r="J44" i="13"/>
  <c r="L44" i="13" s="1"/>
  <c r="N43" i="13"/>
  <c r="O43" i="13" s="1"/>
  <c r="J43" i="13"/>
  <c r="L43" i="13" s="1"/>
  <c r="N42" i="13"/>
  <c r="O42" i="13" s="1"/>
  <c r="J42" i="13"/>
  <c r="L42" i="13" s="1"/>
  <c r="N41" i="13"/>
  <c r="O41" i="13" s="1"/>
  <c r="J41" i="13"/>
  <c r="L41" i="13" s="1"/>
  <c r="N40" i="13"/>
  <c r="O40" i="13" s="1"/>
  <c r="I40" i="13"/>
  <c r="N39" i="13"/>
  <c r="O39" i="13" s="1"/>
  <c r="N38" i="13"/>
  <c r="O38" i="13" s="1"/>
  <c r="N37" i="13"/>
  <c r="O37" i="13" s="1"/>
  <c r="N36" i="13"/>
  <c r="O36" i="13" s="1"/>
  <c r="N35" i="13"/>
  <c r="O35" i="13" s="1"/>
  <c r="N34" i="13"/>
  <c r="O34" i="13" s="1"/>
  <c r="N33" i="13"/>
  <c r="O33" i="13" s="1"/>
  <c r="I33" i="13"/>
  <c r="J33" i="13" s="1"/>
  <c r="L33" i="13" s="1"/>
  <c r="N32" i="13"/>
  <c r="O32" i="13" s="1"/>
  <c r="I32" i="13"/>
  <c r="J32" i="13" s="1"/>
  <c r="L32" i="13" s="1"/>
  <c r="N31" i="13"/>
  <c r="O31" i="13" s="1"/>
  <c r="I31" i="13"/>
  <c r="J31" i="13" s="1"/>
  <c r="L31" i="13" s="1"/>
  <c r="N30" i="13"/>
  <c r="O30" i="13" s="1"/>
  <c r="I30" i="13"/>
  <c r="J30" i="13" s="1"/>
  <c r="L30" i="13" s="1"/>
  <c r="N29" i="13"/>
  <c r="O29" i="13" s="1"/>
  <c r="I29" i="13"/>
  <c r="J29" i="13" s="1"/>
  <c r="L29" i="13" s="1"/>
  <c r="N28" i="13"/>
  <c r="O28" i="13" s="1"/>
  <c r="I28" i="13"/>
  <c r="J28" i="13" s="1"/>
  <c r="L28" i="13" s="1"/>
  <c r="N27" i="13"/>
  <c r="O27" i="13" s="1"/>
  <c r="I27" i="13"/>
  <c r="J27" i="13" s="1"/>
  <c r="L27" i="13" s="1"/>
  <c r="N26" i="13"/>
  <c r="I26" i="13"/>
  <c r="J26" i="13" s="1"/>
  <c r="L26" i="13" s="1"/>
  <c r="N25" i="13"/>
  <c r="O25" i="13" s="1"/>
  <c r="I25" i="13"/>
  <c r="J25" i="13" s="1"/>
  <c r="L25" i="13" s="1"/>
  <c r="N24" i="13"/>
  <c r="O24" i="13" s="1"/>
  <c r="I24" i="13"/>
  <c r="J24" i="13" s="1"/>
  <c r="L24" i="13" s="1"/>
  <c r="N23" i="13"/>
  <c r="O23" i="13" s="1"/>
  <c r="I23" i="13"/>
  <c r="J23" i="13" s="1"/>
  <c r="L23" i="13" s="1"/>
  <c r="N22" i="13"/>
  <c r="O22" i="13" s="1"/>
  <c r="I22" i="13"/>
  <c r="J22" i="13" s="1"/>
  <c r="L22" i="13" s="1"/>
  <c r="N21" i="13"/>
  <c r="O21" i="13" s="1"/>
  <c r="I21" i="13"/>
  <c r="J21" i="13" s="1"/>
  <c r="L21" i="13" s="1"/>
  <c r="N20" i="13"/>
  <c r="O20" i="13" s="1"/>
  <c r="I20" i="13"/>
  <c r="J20" i="13" s="1"/>
  <c r="L20" i="13" s="1"/>
  <c r="N19" i="13"/>
  <c r="O19" i="13" s="1"/>
  <c r="I19" i="13"/>
  <c r="N18" i="13"/>
  <c r="I18" i="13"/>
  <c r="J18" i="13" s="1"/>
  <c r="L18" i="13" s="1"/>
  <c r="N17" i="13"/>
  <c r="O17" i="13" s="1"/>
  <c r="I17" i="13"/>
  <c r="N16" i="13"/>
  <c r="I16" i="13"/>
  <c r="J16" i="13" s="1"/>
  <c r="L16" i="13" s="1"/>
  <c r="F11" i="13"/>
  <c r="F10" i="13"/>
  <c r="F9" i="13"/>
  <c r="F8" i="13"/>
  <c r="F7" i="13"/>
  <c r="F42" i="54"/>
  <c r="A42" i="54"/>
  <c r="A41" i="54"/>
  <c r="F40" i="54"/>
  <c r="A40" i="54"/>
  <c r="F39" i="54"/>
  <c r="A39" i="54"/>
  <c r="F38" i="54"/>
  <c r="A38" i="54"/>
  <c r="F37" i="54"/>
  <c r="A37" i="54"/>
  <c r="F36" i="54"/>
  <c r="A36" i="54"/>
  <c r="F35" i="54"/>
  <c r="A35" i="54"/>
  <c r="F34" i="54"/>
  <c r="B34" i="54"/>
  <c r="A34" i="54"/>
  <c r="E21" i="54"/>
  <c r="C21" i="54"/>
  <c r="B21" i="54"/>
  <c r="A21" i="54"/>
  <c r="E20" i="54"/>
  <c r="C20" i="54"/>
  <c r="B20" i="54"/>
  <c r="A20" i="54"/>
  <c r="E19" i="54"/>
  <c r="B19" i="54"/>
  <c r="A19" i="54"/>
  <c r="E18" i="54"/>
  <c r="C18" i="54"/>
  <c r="B18" i="54"/>
  <c r="A18" i="54"/>
  <c r="E17" i="54"/>
  <c r="B17" i="54"/>
  <c r="A17" i="54"/>
  <c r="E16" i="54"/>
  <c r="B16" i="54"/>
  <c r="A16" i="54"/>
  <c r="E15" i="54"/>
  <c r="C15" i="54"/>
  <c r="B15" i="54"/>
  <c r="A15" i="54"/>
  <c r="E14" i="54"/>
  <c r="B14" i="54"/>
  <c r="A14" i="54"/>
  <c r="E13" i="54"/>
  <c r="C13" i="54"/>
  <c r="B13" i="54"/>
  <c r="A13" i="54"/>
  <c r="E12" i="54"/>
  <c r="C12" i="54"/>
  <c r="B12" i="54"/>
  <c r="A12" i="54"/>
  <c r="D3" i="54"/>
  <c r="P8" i="52" l="1"/>
  <c r="P9" i="52"/>
  <c r="P7" i="52"/>
  <c r="J30" i="54"/>
  <c r="H30" i="54"/>
  <c r="I30" i="54"/>
  <c r="G30" i="54"/>
  <c r="F30" i="54"/>
  <c r="D30" i="54"/>
  <c r="E30" i="54"/>
  <c r="C30" i="54"/>
  <c r="I29" i="54"/>
  <c r="G29" i="54"/>
  <c r="H29" i="54"/>
  <c r="F29" i="54"/>
  <c r="E29" i="54"/>
  <c r="D29" i="54"/>
  <c r="C29" i="54"/>
  <c r="H28" i="54"/>
  <c r="I28" i="54"/>
  <c r="G28" i="54"/>
  <c r="F28" i="54"/>
  <c r="E28" i="54"/>
  <c r="D28" i="54"/>
  <c r="C28" i="54"/>
  <c r="I27" i="54"/>
  <c r="H27" i="54"/>
  <c r="G27" i="54"/>
  <c r="D27" i="54"/>
  <c r="F27" i="54"/>
  <c r="E27" i="54"/>
  <c r="C27" i="54"/>
  <c r="G26" i="54"/>
  <c r="I26" i="54"/>
  <c r="H26" i="54"/>
  <c r="E26" i="54"/>
  <c r="F26" i="54"/>
  <c r="D26" i="54"/>
  <c r="C26" i="54"/>
  <c r="I25" i="54"/>
  <c r="H25" i="54"/>
  <c r="G25" i="54"/>
  <c r="F25" i="54"/>
  <c r="E25" i="54"/>
  <c r="D25" i="54"/>
  <c r="C25" i="54"/>
  <c r="I24" i="54"/>
  <c r="H24" i="54"/>
  <c r="G24" i="54"/>
  <c r="F24" i="54"/>
  <c r="D24" i="54"/>
  <c r="E24" i="54"/>
  <c r="C24" i="54"/>
  <c r="D14" i="54"/>
  <c r="F14" i="54" s="1"/>
  <c r="P39" i="13"/>
  <c r="P38" i="13"/>
  <c r="P37" i="13"/>
  <c r="P36" i="13"/>
  <c r="P35" i="13"/>
  <c r="P34" i="13"/>
  <c r="F18" i="54"/>
  <c r="G11" i="56"/>
  <c r="G14" i="56"/>
  <c r="G50" i="56"/>
  <c r="G194" i="56"/>
  <c r="G47" i="56"/>
  <c r="G51" i="56"/>
  <c r="G59" i="56"/>
  <c r="G63" i="56"/>
  <c r="G71" i="56"/>
  <c r="G75" i="56"/>
  <c r="G83" i="56"/>
  <c r="G87" i="56"/>
  <c r="G95" i="56"/>
  <c r="G99" i="56"/>
  <c r="G107" i="56"/>
  <c r="G111" i="56"/>
  <c r="G119" i="56"/>
  <c r="G123" i="56"/>
  <c r="G131" i="56"/>
  <c r="G135" i="56"/>
  <c r="G143" i="56"/>
  <c r="G147" i="56"/>
  <c r="G155" i="56"/>
  <c r="G159" i="56"/>
  <c r="G167" i="56"/>
  <c r="G171" i="56"/>
  <c r="G179" i="56"/>
  <c r="G183" i="56"/>
  <c r="G191" i="56"/>
  <c r="G195" i="56"/>
  <c r="G203" i="56"/>
  <c r="G207" i="56"/>
  <c r="G215" i="56"/>
  <c r="G219" i="56"/>
  <c r="G227" i="56"/>
  <c r="G231" i="56"/>
  <c r="G239" i="56"/>
  <c r="G243" i="56"/>
  <c r="G251" i="56"/>
  <c r="G255" i="56"/>
  <c r="G263" i="56"/>
  <c r="G267" i="56"/>
  <c r="G275" i="56"/>
  <c r="G279" i="56"/>
  <c r="G35" i="56"/>
  <c r="G48" i="56"/>
  <c r="G60" i="56"/>
  <c r="G62" i="56"/>
  <c r="G72" i="56"/>
  <c r="G74" i="56"/>
  <c r="G84" i="56"/>
  <c r="G86" i="56"/>
  <c r="G96" i="56"/>
  <c r="G98" i="56"/>
  <c r="G108" i="56"/>
  <c r="G110" i="56"/>
  <c r="G120" i="56"/>
  <c r="G122" i="56"/>
  <c r="G132" i="56"/>
  <c r="G134" i="56"/>
  <c r="G144" i="56"/>
  <c r="G146" i="56"/>
  <c r="G156" i="56"/>
  <c r="G158" i="56"/>
  <c r="G168" i="56"/>
  <c r="G170" i="56"/>
  <c r="G180" i="56"/>
  <c r="G182" i="56"/>
  <c r="G192" i="56"/>
  <c r="G204" i="56"/>
  <c r="G206" i="56"/>
  <c r="G216" i="56"/>
  <c r="G218" i="56"/>
  <c r="G228" i="56"/>
  <c r="G230" i="56"/>
  <c r="G240" i="56"/>
  <c r="G242" i="56"/>
  <c r="G252" i="56"/>
  <c r="G254" i="56"/>
  <c r="G264" i="56"/>
  <c r="G266" i="56"/>
  <c r="G276" i="56"/>
  <c r="G278" i="56"/>
  <c r="G26" i="56"/>
  <c r="G39" i="56"/>
  <c r="G15" i="56"/>
  <c r="G38" i="56"/>
  <c r="M26" i="56"/>
  <c r="G23" i="56"/>
  <c r="M15" i="56"/>
  <c r="M14" i="56"/>
  <c r="M11" i="56"/>
  <c r="M38" i="56"/>
  <c r="G36" i="56"/>
  <c r="M35" i="56"/>
  <c r="G27" i="56"/>
  <c r="G277" i="56"/>
  <c r="G265" i="56"/>
  <c r="G253" i="56"/>
  <c r="G241" i="56"/>
  <c r="G229" i="56"/>
  <c r="G217" i="56"/>
  <c r="G205" i="56"/>
  <c r="G193" i="56"/>
  <c r="G181" i="56"/>
  <c r="G169" i="56"/>
  <c r="G157" i="56"/>
  <c r="G145" i="56"/>
  <c r="G133" i="56"/>
  <c r="G121" i="56"/>
  <c r="G109" i="56"/>
  <c r="G97" i="56"/>
  <c r="G85" i="56"/>
  <c r="G73" i="56"/>
  <c r="G61" i="56"/>
  <c r="G49" i="56"/>
  <c r="G37" i="56"/>
  <c r="G25" i="56"/>
  <c r="G13" i="56"/>
  <c r="G24" i="56"/>
  <c r="G12" i="56"/>
  <c r="G274" i="56"/>
  <c r="G262" i="56"/>
  <c r="G250" i="56"/>
  <c r="G238" i="56"/>
  <c r="G226" i="56"/>
  <c r="G214" i="56"/>
  <c r="G202" i="56"/>
  <c r="G190" i="56"/>
  <c r="G178" i="56"/>
  <c r="G166" i="56"/>
  <c r="G154" i="56"/>
  <c r="G142" i="56"/>
  <c r="G130" i="56"/>
  <c r="G118" i="56"/>
  <c r="G106" i="56"/>
  <c r="G94" i="56"/>
  <c r="G82" i="56"/>
  <c r="G70" i="56"/>
  <c r="G58" i="56"/>
  <c r="G46" i="56"/>
  <c r="G34" i="56"/>
  <c r="G22" i="56"/>
  <c r="G10" i="56"/>
  <c r="G273" i="56"/>
  <c r="G261" i="56"/>
  <c r="G249" i="56"/>
  <c r="G237" i="56"/>
  <c r="G225" i="56"/>
  <c r="G213" i="56"/>
  <c r="G201" i="56"/>
  <c r="G189" i="56"/>
  <c r="G177" i="56"/>
  <c r="G165" i="56"/>
  <c r="G153" i="56"/>
  <c r="G141" i="56"/>
  <c r="G129" i="56"/>
  <c r="G117" i="56"/>
  <c r="G105" i="56"/>
  <c r="G93" i="56"/>
  <c r="G81" i="56"/>
  <c r="G69" i="56"/>
  <c r="G57" i="56"/>
  <c r="G45" i="56"/>
  <c r="G33" i="56"/>
  <c r="G21" i="56"/>
  <c r="G9" i="56"/>
  <c r="G272" i="56"/>
  <c r="G260" i="56"/>
  <c r="G248" i="56"/>
  <c r="G236" i="56"/>
  <c r="G224" i="56"/>
  <c r="G212" i="56"/>
  <c r="G200" i="56"/>
  <c r="G188" i="56"/>
  <c r="G176" i="56"/>
  <c r="G164" i="56"/>
  <c r="G152" i="56"/>
  <c r="G140" i="56"/>
  <c r="G128" i="56"/>
  <c r="G116" i="56"/>
  <c r="G104" i="56"/>
  <c r="G92" i="56"/>
  <c r="G80" i="56"/>
  <c r="G68" i="56"/>
  <c r="G56" i="56"/>
  <c r="G44" i="56"/>
  <c r="G32" i="56"/>
  <c r="G20" i="56"/>
  <c r="G8" i="56"/>
  <c r="G283" i="56"/>
  <c r="G271" i="56"/>
  <c r="G259" i="56"/>
  <c r="G247" i="56"/>
  <c r="G235" i="56"/>
  <c r="G223" i="56"/>
  <c r="G211" i="56"/>
  <c r="G199" i="56"/>
  <c r="G187" i="56"/>
  <c r="G175" i="56"/>
  <c r="G163" i="56"/>
  <c r="G151" i="56"/>
  <c r="G139" i="56"/>
  <c r="G127" i="56"/>
  <c r="G115" i="56"/>
  <c r="G103" i="56"/>
  <c r="G91" i="56"/>
  <c r="G79" i="56"/>
  <c r="G67" i="56"/>
  <c r="G55" i="56"/>
  <c r="G43" i="56"/>
  <c r="G31" i="56"/>
  <c r="G19" i="56"/>
  <c r="G7" i="56"/>
  <c r="G282" i="56"/>
  <c r="G270" i="56"/>
  <c r="G258" i="56"/>
  <c r="G246" i="56"/>
  <c r="G234" i="56"/>
  <c r="G222" i="56"/>
  <c r="G210" i="56"/>
  <c r="G198" i="56"/>
  <c r="G186" i="56"/>
  <c r="G174" i="56"/>
  <c r="G162" i="56"/>
  <c r="G150" i="56"/>
  <c r="G138" i="56"/>
  <c r="G126" i="56"/>
  <c r="G114" i="56"/>
  <c r="G102" i="56"/>
  <c r="G90" i="56"/>
  <c r="G78" i="56"/>
  <c r="G66" i="56"/>
  <c r="G54" i="56"/>
  <c r="G42" i="56"/>
  <c r="G30" i="56"/>
  <c r="G18" i="56"/>
  <c r="G6" i="56"/>
  <c r="G281" i="56"/>
  <c r="G269" i="56"/>
  <c r="G257" i="56"/>
  <c r="G245" i="56"/>
  <c r="G233" i="56"/>
  <c r="G221" i="56"/>
  <c r="G209" i="56"/>
  <c r="G197" i="56"/>
  <c r="G185" i="56"/>
  <c r="G173" i="56"/>
  <c r="G161" i="56"/>
  <c r="G149" i="56"/>
  <c r="G137" i="56"/>
  <c r="G125" i="56"/>
  <c r="G113" i="56"/>
  <c r="G101" i="56"/>
  <c r="G89" i="56"/>
  <c r="G77" i="56"/>
  <c r="G65" i="56"/>
  <c r="G53" i="56"/>
  <c r="G41" i="56"/>
  <c r="G29" i="56"/>
  <c r="G17" i="56"/>
  <c r="G5" i="56"/>
  <c r="G280" i="56"/>
  <c r="G268" i="56"/>
  <c r="G256" i="56"/>
  <c r="G244" i="56"/>
  <c r="G232" i="56"/>
  <c r="G220" i="56"/>
  <c r="G208" i="56"/>
  <c r="G196" i="56"/>
  <c r="G184" i="56"/>
  <c r="G172" i="56"/>
  <c r="G160" i="56"/>
  <c r="G148" i="56"/>
  <c r="G136" i="56"/>
  <c r="G124" i="56"/>
  <c r="G112" i="56"/>
  <c r="G100" i="56"/>
  <c r="G88" i="56"/>
  <c r="G76" i="56"/>
  <c r="G64" i="56"/>
  <c r="G52" i="56"/>
  <c r="G40" i="56"/>
  <c r="G28" i="56"/>
  <c r="G16" i="56"/>
  <c r="G4" i="56"/>
  <c r="D18" i="54"/>
  <c r="U35" i="56"/>
  <c r="D34" i="50" s="1"/>
  <c r="U31" i="56"/>
  <c r="W31" i="56" s="1"/>
  <c r="E37" i="54" s="1"/>
  <c r="B38" i="50" s="1"/>
  <c r="P84" i="13"/>
  <c r="P110" i="13"/>
  <c r="P135" i="13"/>
  <c r="P158" i="13"/>
  <c r="P30" i="13"/>
  <c r="AL19" i="56"/>
  <c r="AP19" i="56" s="1"/>
  <c r="AL16" i="56"/>
  <c r="P186" i="13"/>
  <c r="P124" i="13"/>
  <c r="P143" i="13"/>
  <c r="P48" i="13"/>
  <c r="P68" i="13"/>
  <c r="U34" i="56"/>
  <c r="D40" i="54" s="1"/>
  <c r="D33" i="50" s="1"/>
  <c r="C33" i="50" s="1"/>
  <c r="P162" i="13"/>
  <c r="Q6" i="51"/>
  <c r="R6" i="51" s="1"/>
  <c r="S6" i="51" s="1"/>
  <c r="AL6" i="56"/>
  <c r="AN6" i="56" s="1"/>
  <c r="E35" i="50"/>
  <c r="AL9" i="56"/>
  <c r="P163" i="13"/>
  <c r="P176" i="13"/>
  <c r="C40" i="54"/>
  <c r="P29" i="13"/>
  <c r="P72" i="13"/>
  <c r="P111" i="13"/>
  <c r="P43" i="13"/>
  <c r="P114" i="13"/>
  <c r="P159" i="13"/>
  <c r="P121" i="13"/>
  <c r="P160" i="13"/>
  <c r="P46" i="13"/>
  <c r="P22" i="13"/>
  <c r="P28" i="13"/>
  <c r="P65" i="13"/>
  <c r="P133" i="13"/>
  <c r="P177" i="13"/>
  <c r="P189" i="13"/>
  <c r="O7" i="52"/>
  <c r="F30" i="50" s="1"/>
  <c r="O9" i="52"/>
  <c r="F32" i="50" s="1"/>
  <c r="C36" i="54"/>
  <c r="P99" i="13"/>
  <c r="P142" i="13"/>
  <c r="P185" i="13"/>
  <c r="P127" i="13"/>
  <c r="E37" i="50"/>
  <c r="E38" i="50"/>
  <c r="E32" i="50"/>
  <c r="C37" i="54"/>
  <c r="C34" i="54"/>
  <c r="P33" i="13"/>
  <c r="D34" i="54"/>
  <c r="P27" i="13"/>
  <c r="P57" i="13"/>
  <c r="P113" i="13"/>
  <c r="P138" i="13"/>
  <c r="P150" i="13"/>
  <c r="Z15" i="56"/>
  <c r="AH15" i="56"/>
  <c r="AI15" i="56" s="1"/>
  <c r="AI24" i="56"/>
  <c r="AB7" i="1"/>
  <c r="O11" i="52"/>
  <c r="F34" i="50" s="1"/>
  <c r="B32" i="50"/>
  <c r="AL21" i="56"/>
  <c r="AN21" i="56" s="1"/>
  <c r="AO21" i="56" s="1"/>
  <c r="P106" i="13"/>
  <c r="E7" i="52"/>
  <c r="AL5" i="56"/>
  <c r="AN5" i="56" s="1"/>
  <c r="P178" i="13"/>
  <c r="O12" i="52"/>
  <c r="F35" i="50" s="1"/>
  <c r="P77" i="13"/>
  <c r="P60" i="13"/>
  <c r="P71" i="13"/>
  <c r="P153" i="13"/>
  <c r="P165" i="13"/>
  <c r="P87" i="13"/>
  <c r="P134" i="13"/>
  <c r="P23" i="13"/>
  <c r="AB3" i="1"/>
  <c r="P62" i="13"/>
  <c r="P92" i="13"/>
  <c r="P140" i="13"/>
  <c r="C38" i="54"/>
  <c r="P56" i="13"/>
  <c r="P24" i="13"/>
  <c r="P45" i="13"/>
  <c r="P51" i="13"/>
  <c r="P83" i="13"/>
  <c r="P93" i="13"/>
  <c r="P104" i="13"/>
  <c r="P136" i="13"/>
  <c r="P151" i="13"/>
  <c r="AA38" i="1"/>
  <c r="AM30" i="56"/>
  <c r="D169" i="29"/>
  <c r="E34" i="50"/>
  <c r="E39" i="50"/>
  <c r="AL13" i="56"/>
  <c r="P85" i="13"/>
  <c r="E3" i="52"/>
  <c r="P96" i="13"/>
  <c r="D21" i="54"/>
  <c r="P25" i="13"/>
  <c r="P89" i="13"/>
  <c r="P167" i="13"/>
  <c r="P184" i="13"/>
  <c r="U36" i="56"/>
  <c r="P67" i="13"/>
  <c r="P118" i="13"/>
  <c r="P32" i="13"/>
  <c r="P190" i="13"/>
  <c r="P76" i="13"/>
  <c r="P42" i="13"/>
  <c r="AB34" i="1"/>
  <c r="D176" i="29"/>
  <c r="A3" i="50"/>
  <c r="P88" i="13"/>
  <c r="AM5" i="56"/>
  <c r="E197" i="13"/>
  <c r="P38" i="1"/>
  <c r="P75" i="13"/>
  <c r="P117" i="13"/>
  <c r="P164" i="13"/>
  <c r="AB2" i="1"/>
  <c r="M38" i="1"/>
  <c r="Z14" i="56"/>
  <c r="C11" i="13"/>
  <c r="AM14" i="56"/>
  <c r="AL14" i="56"/>
  <c r="AI21" i="56"/>
  <c r="F21" i="54"/>
  <c r="AM33" i="56"/>
  <c r="O13" i="52"/>
  <c r="F36" i="50" s="1"/>
  <c r="B36" i="50"/>
  <c r="AH7" i="56"/>
  <c r="Z7" i="56"/>
  <c r="P105" i="13"/>
  <c r="P129" i="13"/>
  <c r="O6" i="52"/>
  <c r="F29" i="50" s="1"/>
  <c r="B29" i="50"/>
  <c r="T29" i="56"/>
  <c r="E36" i="50"/>
  <c r="T33" i="56"/>
  <c r="E40" i="50"/>
  <c r="AM10" i="56"/>
  <c r="O17" i="52"/>
  <c r="F40" i="50" s="1"/>
  <c r="B40" i="50"/>
  <c r="AM21" i="56"/>
  <c r="D175" i="29"/>
  <c r="P100" i="13"/>
  <c r="P146" i="13"/>
  <c r="B33" i="50"/>
  <c r="O10" i="52"/>
  <c r="F33" i="50" s="1"/>
  <c r="Y6" i="56"/>
  <c r="P180" i="13"/>
  <c r="Y5" i="56"/>
  <c r="AH5" i="56" s="1"/>
  <c r="AI5" i="56" s="1"/>
  <c r="AL12" i="56"/>
  <c r="P145" i="13"/>
  <c r="P172" i="13"/>
  <c r="P120" i="13"/>
  <c r="P137" i="13"/>
  <c r="E29" i="1"/>
  <c r="G29" i="1" s="1"/>
  <c r="E13" i="1"/>
  <c r="G13" i="1" s="1"/>
  <c r="AM31" i="56"/>
  <c r="Q5" i="51"/>
  <c r="R5" i="51" s="1"/>
  <c r="S5" i="51" s="1"/>
  <c r="O8" i="52"/>
  <c r="F31" i="50" s="1"/>
  <c r="AM28" i="56"/>
  <c r="P79" i="13"/>
  <c r="P91" i="13"/>
  <c r="P95" i="13"/>
  <c r="P109" i="13"/>
  <c r="P112" i="13"/>
  <c r="P128" i="13"/>
  <c r="P141" i="13"/>
  <c r="P149" i="13"/>
  <c r="AB6" i="1"/>
  <c r="AM17" i="56"/>
  <c r="AM8" i="56"/>
  <c r="AM15" i="56"/>
  <c r="AM20" i="56"/>
  <c r="P49" i="13"/>
  <c r="P53" i="13"/>
  <c r="P58" i="13"/>
  <c r="P125" i="13"/>
  <c r="P147" i="13"/>
  <c r="P168" i="13"/>
  <c r="P173" i="13"/>
  <c r="D174" i="29"/>
  <c r="AL20" i="56"/>
  <c r="AP20" i="56" s="1"/>
  <c r="E24" i="1"/>
  <c r="G24" i="1" s="1"/>
  <c r="L197" i="13"/>
  <c r="P44" i="13"/>
  <c r="P73" i="13"/>
  <c r="P155" i="13"/>
  <c r="P169" i="13"/>
  <c r="P81" i="13"/>
  <c r="AB33" i="1"/>
  <c r="F22" i="50"/>
  <c r="AM7" i="56"/>
  <c r="Z24" i="56"/>
  <c r="AM32" i="56"/>
  <c r="B194" i="13"/>
  <c r="P50" i="13"/>
  <c r="P126" i="13"/>
  <c r="P3" i="52"/>
  <c r="O5" i="52"/>
  <c r="F28" i="50" s="1"/>
  <c r="U30" i="56"/>
  <c r="U32" i="56"/>
  <c r="AL7" i="56"/>
  <c r="AN7" i="56" s="1"/>
  <c r="AM11" i="56"/>
  <c r="AM29" i="56"/>
  <c r="AM19" i="56"/>
  <c r="P59" i="13"/>
  <c r="P63" i="13"/>
  <c r="P107" i="13"/>
  <c r="P131" i="13"/>
  <c r="P139" i="13"/>
  <c r="P156" i="13"/>
  <c r="P170" i="13"/>
  <c r="P174" i="13"/>
  <c r="P183" i="13"/>
  <c r="P187" i="13"/>
  <c r="E33" i="50"/>
  <c r="L196" i="13"/>
  <c r="Y38" i="1"/>
  <c r="P55" i="13"/>
  <c r="P74" i="13"/>
  <c r="P78" i="13"/>
  <c r="P86" i="13"/>
  <c r="P90" i="13"/>
  <c r="P103" i="13"/>
  <c r="P115" i="13"/>
  <c r="P148" i="13"/>
  <c r="P152" i="13"/>
  <c r="P188" i="13"/>
  <c r="D168" i="29"/>
  <c r="O2" i="52"/>
  <c r="F25" i="50" s="1"/>
  <c r="E13" i="52"/>
  <c r="AM35" i="56"/>
  <c r="O18" i="13"/>
  <c r="E196" i="13" s="1"/>
  <c r="AM4" i="56"/>
  <c r="C41" i="54"/>
  <c r="I194" i="13"/>
  <c r="P20" i="13"/>
  <c r="P108" i="13"/>
  <c r="P119" i="13"/>
  <c r="P132" i="13"/>
  <c r="P157" i="13"/>
  <c r="P175" i="13"/>
  <c r="B30" i="50"/>
  <c r="O4" i="52"/>
  <c r="F27" i="50" s="1"/>
  <c r="AM12" i="56"/>
  <c r="AM18" i="56"/>
  <c r="AL34" i="56"/>
  <c r="AP34" i="56" s="1"/>
  <c r="J195" i="13"/>
  <c r="P66" i="13"/>
  <c r="P21" i="13"/>
  <c r="P31" i="13"/>
  <c r="P82" i="13"/>
  <c r="K199" i="13"/>
  <c r="P179" i="13"/>
  <c r="P52" i="13"/>
  <c r="I199" i="13"/>
  <c r="B5" i="52"/>
  <c r="P5" i="52"/>
  <c r="E16" i="1"/>
  <c r="G16" i="1" s="1"/>
  <c r="K196" i="13"/>
  <c r="P161" i="13"/>
  <c r="B198" i="13"/>
  <c r="J64" i="13"/>
  <c r="E9" i="13" s="1"/>
  <c r="P101" i="13"/>
  <c r="P116" i="13"/>
  <c r="P181" i="13"/>
  <c r="J199" i="13"/>
  <c r="AB5" i="1"/>
  <c r="AB36" i="1"/>
  <c r="G4" i="13"/>
  <c r="E30" i="1"/>
  <c r="G30" i="1" s="1"/>
  <c r="E20" i="1"/>
  <c r="G20" i="1" s="1"/>
  <c r="E14" i="1"/>
  <c r="G14" i="1" s="1"/>
  <c r="E31" i="1"/>
  <c r="G31" i="1" s="1"/>
  <c r="E21" i="1"/>
  <c r="G21" i="1" s="1"/>
  <c r="E15" i="1"/>
  <c r="G15" i="1" s="1"/>
  <c r="E26" i="1"/>
  <c r="G26" i="1" s="1"/>
  <c r="E22" i="1"/>
  <c r="G22" i="1" s="1"/>
  <c r="E17" i="1"/>
  <c r="G17" i="1" s="1"/>
  <c r="E10" i="1"/>
  <c r="E27" i="1"/>
  <c r="G27" i="1" s="1"/>
  <c r="E19" i="1"/>
  <c r="G19" i="1" s="1"/>
  <c r="E12" i="1"/>
  <c r="G12" i="1" s="1"/>
  <c r="P130" i="13"/>
  <c r="I197" i="13"/>
  <c r="J19" i="13"/>
  <c r="J194" i="13" s="1"/>
  <c r="B197" i="13"/>
  <c r="I198" i="13"/>
  <c r="J40" i="13"/>
  <c r="L61" i="13"/>
  <c r="P61" i="13" s="1"/>
  <c r="L69" i="13"/>
  <c r="P80" i="13"/>
  <c r="P123" i="13"/>
  <c r="P154" i="13"/>
  <c r="P97" i="13"/>
  <c r="P102" i="13"/>
  <c r="P166" i="13"/>
  <c r="L182" i="13"/>
  <c r="E11" i="13"/>
  <c r="F12" i="13"/>
  <c r="S38" i="1"/>
  <c r="D172" i="29"/>
  <c r="L194" i="13"/>
  <c r="H4" i="13"/>
  <c r="O16" i="13"/>
  <c r="P41" i="13"/>
  <c r="P54" i="13"/>
  <c r="P94" i="13"/>
  <c r="P98" i="13"/>
  <c r="P144" i="13"/>
  <c r="C9" i="13"/>
  <c r="D171" i="29"/>
  <c r="D173" i="29"/>
  <c r="B195" i="13"/>
  <c r="D4" i="13"/>
  <c r="J17" i="13"/>
  <c r="O26" i="13"/>
  <c r="P26" i="13" s="1"/>
  <c r="P171" i="13"/>
  <c r="I195" i="13"/>
  <c r="V38" i="1"/>
  <c r="E10" i="13"/>
  <c r="P47" i="13"/>
  <c r="B178" i="29"/>
  <c r="D177" i="29"/>
  <c r="E12" i="52"/>
  <c r="L195" i="13"/>
  <c r="D22" i="50"/>
  <c r="C196" i="13"/>
  <c r="AB9" i="1"/>
  <c r="B6" i="52"/>
  <c r="L198" i="13"/>
  <c r="J38" i="1"/>
  <c r="E14" i="52"/>
  <c r="AB4" i="1"/>
  <c r="AB35" i="1"/>
  <c r="L199" i="13"/>
  <c r="AB8" i="1"/>
  <c r="P4" i="52"/>
  <c r="B196" i="13"/>
  <c r="O70" i="13"/>
  <c r="P70" i="13" s="1"/>
  <c r="J196" i="13"/>
  <c r="D170" i="29"/>
  <c r="B22" i="50"/>
  <c r="B26" i="50"/>
  <c r="O3" i="52"/>
  <c r="F26" i="50" s="1"/>
  <c r="H8" i="52"/>
  <c r="D6" i="50" s="1"/>
  <c r="C22" i="50"/>
  <c r="P2" i="52"/>
  <c r="C178" i="29"/>
  <c r="H24" i="52"/>
  <c r="E23" i="1"/>
  <c r="G23" i="1" s="1"/>
  <c r="E25" i="1"/>
  <c r="G25" i="1" s="1"/>
  <c r="E11" i="1"/>
  <c r="G11" i="1" s="1"/>
  <c r="E28" i="1"/>
  <c r="G28" i="1" s="1"/>
  <c r="E32" i="1"/>
  <c r="G32" i="1" s="1"/>
  <c r="E18" i="1"/>
  <c r="G18" i="1" s="1"/>
  <c r="B2" i="52"/>
  <c r="P122" i="13"/>
  <c r="E22" i="50"/>
  <c r="E35" i="52"/>
  <c r="E33" i="52"/>
  <c r="E31" i="52"/>
  <c r="E29" i="52"/>
  <c r="E27" i="52"/>
  <c r="E25" i="52"/>
  <c r="E23" i="52"/>
  <c r="E21" i="52"/>
  <c r="E19" i="52"/>
  <c r="E16" i="52"/>
  <c r="E17" i="52"/>
  <c r="E10" i="52"/>
  <c r="E4" i="52"/>
  <c r="E34" i="52"/>
  <c r="E32" i="52"/>
  <c r="E30" i="52"/>
  <c r="E28" i="52"/>
  <c r="E26" i="52"/>
  <c r="E24" i="52"/>
  <c r="E22" i="52"/>
  <c r="E20" i="52"/>
  <c r="E18" i="52"/>
  <c r="E36" i="52"/>
  <c r="E11" i="52"/>
  <c r="AH9" i="56"/>
  <c r="Z9" i="56"/>
  <c r="AH16" i="56"/>
  <c r="Z16" i="56"/>
  <c r="I196" i="13"/>
  <c r="E6" i="52"/>
  <c r="AH4" i="56"/>
  <c r="Z4" i="56"/>
  <c r="AH19" i="56"/>
  <c r="AI19" i="56" s="1"/>
  <c r="Z19" i="56"/>
  <c r="E5" i="52"/>
  <c r="E9" i="52"/>
  <c r="AH18" i="56"/>
  <c r="AI18" i="56" s="1"/>
  <c r="Z18" i="56"/>
  <c r="E15" i="52"/>
  <c r="E8" i="52"/>
  <c r="AH17" i="56"/>
  <c r="AI17" i="56" s="1"/>
  <c r="Z17" i="56"/>
  <c r="AL10" i="56"/>
  <c r="AL17" i="56"/>
  <c r="AL24" i="56"/>
  <c r="AL25" i="56"/>
  <c r="AL26" i="56"/>
  <c r="AL27" i="56"/>
  <c r="AM34" i="56"/>
  <c r="AM24" i="56"/>
  <c r="AM25" i="56"/>
  <c r="AM26" i="56"/>
  <c r="AM27" i="56"/>
  <c r="AL31" i="56"/>
  <c r="O15" i="52"/>
  <c r="F38" i="50" s="1"/>
  <c r="AL8" i="56"/>
  <c r="AL15" i="56"/>
  <c r="AL22" i="56"/>
  <c r="AM22" i="56"/>
  <c r="Z23" i="56"/>
  <c r="AL28" i="56"/>
  <c r="AL35" i="56"/>
  <c r="AM6" i="56"/>
  <c r="AM13" i="56"/>
  <c r="Z21" i="56"/>
  <c r="AL32" i="56"/>
  <c r="AL4" i="56"/>
  <c r="AL11" i="56"/>
  <c r="AL18" i="56"/>
  <c r="AL29" i="56"/>
  <c r="AL36" i="56"/>
  <c r="AL37" i="56"/>
  <c r="AL38" i="56"/>
  <c r="AL23" i="56"/>
  <c r="AM36" i="56"/>
  <c r="AM37" i="56"/>
  <c r="AM38" i="56"/>
  <c r="AM9" i="56"/>
  <c r="AM16" i="56"/>
  <c r="AM23" i="56"/>
  <c r="AL33" i="56"/>
  <c r="Z22" i="56"/>
  <c r="AL30" i="56"/>
  <c r="AP16" i="56" l="1"/>
  <c r="AP13" i="56"/>
  <c r="J29" i="54"/>
  <c r="J28" i="54"/>
  <c r="J27" i="54"/>
  <c r="J26" i="54"/>
  <c r="J25" i="54"/>
  <c r="J24" i="54"/>
  <c r="AP9" i="56"/>
  <c r="D37" i="54"/>
  <c r="D41" i="54"/>
  <c r="AN9" i="56"/>
  <c r="AO9" i="56" s="1"/>
  <c r="W35" i="56"/>
  <c r="W12" i="56"/>
  <c r="D15" i="54" s="1"/>
  <c r="W11" i="56"/>
  <c r="Y11" i="56" s="1"/>
  <c r="AN19" i="56"/>
  <c r="AO19" i="56" s="1"/>
  <c r="AP6" i="56"/>
  <c r="W34" i="56"/>
  <c r="E40" i="54" s="1"/>
  <c r="E195" i="13"/>
  <c r="H22" i="52"/>
  <c r="I3" i="50" s="1"/>
  <c r="AN16" i="56"/>
  <c r="AO16" i="56" s="1"/>
  <c r="AN20" i="56"/>
  <c r="AO20" i="56" s="1"/>
  <c r="M196" i="13"/>
  <c r="AN13" i="56"/>
  <c r="AO13" i="56" s="1"/>
  <c r="AP21" i="56"/>
  <c r="AP5" i="56"/>
  <c r="C194" i="13"/>
  <c r="W36" i="56"/>
  <c r="E42" i="54" s="1"/>
  <c r="D42" i="54"/>
  <c r="Z5" i="56"/>
  <c r="AO7" i="56"/>
  <c r="AN14" i="56"/>
  <c r="AO14" i="56" s="1"/>
  <c r="AP14" i="56"/>
  <c r="AH6" i="56"/>
  <c r="Z6" i="56"/>
  <c r="U29" i="56"/>
  <c r="C35" i="54"/>
  <c r="W32" i="56"/>
  <c r="E38" i="54" s="1"/>
  <c r="D38" i="54"/>
  <c r="AP12" i="56"/>
  <c r="AN12" i="56"/>
  <c r="AO12" i="56" s="1"/>
  <c r="U33" i="56"/>
  <c r="C39" i="54"/>
  <c r="AN34" i="56"/>
  <c r="AO34" i="56" s="1"/>
  <c r="P18" i="13"/>
  <c r="AI7" i="56"/>
  <c r="D178" i="29"/>
  <c r="H14" i="52" s="1"/>
  <c r="H31" i="52" s="1"/>
  <c r="W30" i="56"/>
  <c r="E36" i="54" s="1"/>
  <c r="D36" i="54"/>
  <c r="AP7" i="56"/>
  <c r="AO5" i="56"/>
  <c r="AP35" i="56"/>
  <c r="AN35" i="56"/>
  <c r="AO35" i="56" s="1"/>
  <c r="H9" i="52"/>
  <c r="G6" i="50" s="1"/>
  <c r="G10" i="1"/>
  <c r="G38" i="1" s="1"/>
  <c r="E38" i="1"/>
  <c r="H34" i="52" s="1"/>
  <c r="M199" i="13"/>
  <c r="AP28" i="56"/>
  <c r="AN28" i="56"/>
  <c r="AO28" i="56" s="1"/>
  <c r="AP17" i="56"/>
  <c r="AN17" i="56"/>
  <c r="AO17" i="56" s="1"/>
  <c r="AI16" i="56"/>
  <c r="AP11" i="56"/>
  <c r="AN11" i="56"/>
  <c r="AO11" i="56" s="1"/>
  <c r="AP10" i="56"/>
  <c r="AN10" i="56"/>
  <c r="AO10" i="56" s="1"/>
  <c r="AP31" i="56"/>
  <c r="AN31" i="56"/>
  <c r="AO31" i="56" s="1"/>
  <c r="AI9" i="56"/>
  <c r="D9" i="52"/>
  <c r="D3" i="52"/>
  <c r="D4" i="52"/>
  <c r="D6" i="52"/>
  <c r="D7" i="52"/>
  <c r="D5" i="52"/>
  <c r="D8" i="52"/>
  <c r="D2" i="52"/>
  <c r="B10" i="13"/>
  <c r="P69" i="13"/>
  <c r="D196" i="13"/>
  <c r="F196" i="13" s="1"/>
  <c r="AN30" i="56"/>
  <c r="AO30" i="56" s="1"/>
  <c r="AP30" i="56"/>
  <c r="C8" i="13"/>
  <c r="AO6" i="56"/>
  <c r="AP4" i="56"/>
  <c r="AN4" i="56"/>
  <c r="AO4" i="56" s="1"/>
  <c r="AP22" i="56"/>
  <c r="AN22" i="56"/>
  <c r="AO22" i="56" s="1"/>
  <c r="AP33" i="56"/>
  <c r="AN33" i="56"/>
  <c r="AO33" i="56" s="1"/>
  <c r="C195" i="13"/>
  <c r="E7" i="13"/>
  <c r="F4" i="13"/>
  <c r="L17" i="13"/>
  <c r="E4" i="13"/>
  <c r="J197" i="13"/>
  <c r="J198" i="13"/>
  <c r="L40" i="13"/>
  <c r="C197" i="13"/>
  <c r="AP38" i="56"/>
  <c r="AN38" i="56"/>
  <c r="AO38" i="56" s="1"/>
  <c r="AP15" i="56"/>
  <c r="AN15" i="56"/>
  <c r="AO15" i="56" s="1"/>
  <c r="L64" i="13"/>
  <c r="C198" i="13"/>
  <c r="AP37" i="56"/>
  <c r="AN37" i="56"/>
  <c r="AO37" i="56" s="1"/>
  <c r="AP8" i="56"/>
  <c r="AN8" i="56"/>
  <c r="AO8" i="56" s="1"/>
  <c r="AI4" i="56"/>
  <c r="AP18" i="56"/>
  <c r="AN18" i="56"/>
  <c r="AO18" i="56" s="1"/>
  <c r="AP36" i="56"/>
  <c r="AN36" i="56"/>
  <c r="AO36" i="56" s="1"/>
  <c r="B11" i="13"/>
  <c r="D11" i="13" s="1"/>
  <c r="P182" i="13"/>
  <c r="E8" i="13"/>
  <c r="L19" i="13"/>
  <c r="AP29" i="56"/>
  <c r="AN29" i="56"/>
  <c r="AO29" i="56" s="1"/>
  <c r="AP25" i="56"/>
  <c r="AN25" i="56"/>
  <c r="AO25" i="56" s="1"/>
  <c r="B21" i="1"/>
  <c r="B23" i="1"/>
  <c r="H13" i="52"/>
  <c r="B26" i="1"/>
  <c r="B30" i="1"/>
  <c r="B16" i="1"/>
  <c r="B13" i="1"/>
  <c r="B25" i="1"/>
  <c r="B20" i="1"/>
  <c r="B14" i="1"/>
  <c r="B31" i="1"/>
  <c r="B15" i="1"/>
  <c r="B32" i="1"/>
  <c r="B22" i="1"/>
  <c r="B17" i="1"/>
  <c r="B10" i="1"/>
  <c r="B27" i="1"/>
  <c r="B28" i="1"/>
  <c r="B18" i="1"/>
  <c r="B11" i="1"/>
  <c r="B29" i="1"/>
  <c r="B19" i="1"/>
  <c r="B12" i="1"/>
  <c r="B24" i="1"/>
  <c r="K195" i="13"/>
  <c r="M195" i="13" s="1"/>
  <c r="AP27" i="56"/>
  <c r="AN27" i="56"/>
  <c r="AO27" i="56" s="1"/>
  <c r="AP26" i="56"/>
  <c r="AN26" i="56"/>
  <c r="AO26" i="56" s="1"/>
  <c r="AP23" i="56"/>
  <c r="AN23" i="56"/>
  <c r="AO23" i="56" s="1"/>
  <c r="AP32" i="56"/>
  <c r="AN32" i="56"/>
  <c r="AO32" i="56" s="1"/>
  <c r="AP24" i="56"/>
  <c r="AN24" i="56"/>
  <c r="AO24" i="56" s="1"/>
  <c r="C7" i="13"/>
  <c r="E194" i="13"/>
  <c r="P16" i="13"/>
  <c r="B4" i="13"/>
  <c r="C10" i="13"/>
  <c r="E198" i="13"/>
  <c r="J6" i="54" l="1"/>
  <c r="Y12" i="56"/>
  <c r="AH12" i="56" s="1"/>
  <c r="D20" i="54"/>
  <c r="W20" i="56"/>
  <c r="Y20" i="56" s="1"/>
  <c r="Z20" i="56" s="1"/>
  <c r="C12" i="13"/>
  <c r="D10" i="13"/>
  <c r="W29" i="56"/>
  <c r="D35" i="54"/>
  <c r="AI6" i="56"/>
  <c r="F12" i="54"/>
  <c r="AL40" i="56"/>
  <c r="H16" i="52" s="1"/>
  <c r="D11" i="50" s="1"/>
  <c r="W33" i="56"/>
  <c r="E39" i="54" s="1"/>
  <c r="D39" i="54"/>
  <c r="D197" i="13"/>
  <c r="F197" i="13" s="1"/>
  <c r="P40" i="13"/>
  <c r="K198" i="13"/>
  <c r="M198" i="13" s="1"/>
  <c r="W10" i="56"/>
  <c r="Y10" i="56" s="1"/>
  <c r="D32" i="1"/>
  <c r="Z32" i="1"/>
  <c r="D22" i="1"/>
  <c r="Z22" i="1"/>
  <c r="D14" i="1"/>
  <c r="Z14" i="1"/>
  <c r="P14" i="52" s="1"/>
  <c r="D194" i="13"/>
  <c r="F194" i="13" s="1"/>
  <c r="P19" i="13"/>
  <c r="B8" i="13"/>
  <c r="D8" i="13" s="1"/>
  <c r="K194" i="13"/>
  <c r="M194" i="13" s="1"/>
  <c r="D195" i="13"/>
  <c r="F195" i="13" s="1"/>
  <c r="B7" i="13"/>
  <c r="P17" i="13"/>
  <c r="K197" i="13"/>
  <c r="M197" i="13" s="1"/>
  <c r="A4" i="13"/>
  <c r="D20" i="1"/>
  <c r="Z20" i="1"/>
  <c r="Z19" i="1"/>
  <c r="D19" i="1"/>
  <c r="Z12" i="1"/>
  <c r="P12" i="52" s="1"/>
  <c r="D12" i="1"/>
  <c r="D13" i="1"/>
  <c r="Z13" i="1"/>
  <c r="P13" i="52" s="1"/>
  <c r="E12" i="13"/>
  <c r="AH11" i="56"/>
  <c r="Z11" i="56"/>
  <c r="Z31" i="1"/>
  <c r="D31" i="1"/>
  <c r="Z29" i="1"/>
  <c r="D29" i="1"/>
  <c r="D24" i="1"/>
  <c r="Z24" i="1"/>
  <c r="Z18" i="1"/>
  <c r="D18" i="1"/>
  <c r="D30" i="1"/>
  <c r="Z30" i="1"/>
  <c r="P64" i="13"/>
  <c r="D198" i="13"/>
  <c r="F198" i="13" s="1"/>
  <c r="B9" i="13"/>
  <c r="D9" i="13" s="1"/>
  <c r="A11" i="50"/>
  <c r="K17" i="50"/>
  <c r="D15" i="1"/>
  <c r="Z15" i="1"/>
  <c r="P15" i="52" s="1"/>
  <c r="Z11" i="1"/>
  <c r="P11" i="52" s="1"/>
  <c r="D11" i="1"/>
  <c r="D16" i="1"/>
  <c r="Z16" i="1"/>
  <c r="P16" i="52" s="1"/>
  <c r="D27" i="1"/>
  <c r="Z27" i="1"/>
  <c r="D10" i="1"/>
  <c r="B38" i="1"/>
  <c r="H33" i="52" s="1"/>
  <c r="Z10" i="1"/>
  <c r="P10" i="52" s="1"/>
  <c r="Z23" i="1"/>
  <c r="D23" i="1"/>
  <c r="D25" i="1"/>
  <c r="Z25" i="1"/>
  <c r="Z28" i="1"/>
  <c r="D28" i="1"/>
  <c r="Z26" i="1"/>
  <c r="D26" i="1"/>
  <c r="Z17" i="1"/>
  <c r="D17" i="1"/>
  <c r="D21" i="1"/>
  <c r="Z21" i="1"/>
  <c r="H17" i="52" l="1"/>
  <c r="Z12" i="56"/>
  <c r="AH20" i="56"/>
  <c r="AI20" i="56" s="1"/>
  <c r="H18" i="52"/>
  <c r="K20" i="50" s="1"/>
  <c r="W13" i="56"/>
  <c r="Y13" i="56" s="1"/>
  <c r="E35" i="54"/>
  <c r="C4" i="13"/>
  <c r="B28" i="52"/>
  <c r="AB28" i="1"/>
  <c r="B15" i="52"/>
  <c r="AB15" i="1"/>
  <c r="B19" i="52"/>
  <c r="AB19" i="1"/>
  <c r="B11" i="52"/>
  <c r="AB11" i="1"/>
  <c r="B25" i="52"/>
  <c r="AB25" i="1"/>
  <c r="B22" i="52"/>
  <c r="AB22" i="1"/>
  <c r="B20" i="52"/>
  <c r="AB20" i="1"/>
  <c r="B24" i="52"/>
  <c r="AB24" i="1"/>
  <c r="B29" i="52"/>
  <c r="AB29" i="1"/>
  <c r="B26" i="52"/>
  <c r="AB26" i="1"/>
  <c r="B14" i="52"/>
  <c r="AB14" i="1"/>
  <c r="B31" i="52"/>
  <c r="AB31" i="1"/>
  <c r="B32" i="52"/>
  <c r="AB32" i="1"/>
  <c r="B23" i="52"/>
  <c r="AB23" i="1"/>
  <c r="AH10" i="56"/>
  <c r="AI10" i="56" s="1"/>
  <c r="Z10" i="56"/>
  <c r="AI11" i="56"/>
  <c r="F20" i="54"/>
  <c r="G6" i="54" s="1"/>
  <c r="D38" i="1"/>
  <c r="D7" i="13"/>
  <c r="D12" i="13" s="1"/>
  <c r="B12" i="13"/>
  <c r="B10" i="52"/>
  <c r="AB10" i="1"/>
  <c r="Z38" i="1"/>
  <c r="H15" i="52" s="1"/>
  <c r="B12" i="52"/>
  <c r="AB12" i="1"/>
  <c r="B21" i="52"/>
  <c r="AB21" i="1"/>
  <c r="AI12" i="56"/>
  <c r="F15" i="54"/>
  <c r="D6" i="54" s="1"/>
  <c r="B27" i="52"/>
  <c r="AB27" i="1"/>
  <c r="B30" i="52"/>
  <c r="AB30" i="1"/>
  <c r="B17" i="52"/>
  <c r="AB17" i="1"/>
  <c r="B16" i="52"/>
  <c r="AB16" i="1"/>
  <c r="B13" i="52"/>
  <c r="AB13" i="1"/>
  <c r="B18" i="52"/>
  <c r="AB18" i="1"/>
  <c r="AB38" i="1" l="1"/>
  <c r="A6" i="54"/>
  <c r="H19" i="52"/>
  <c r="K21" i="50" s="1"/>
  <c r="Z13" i="56"/>
  <c r="AH13" i="56"/>
  <c r="AI13" i="56" s="1"/>
  <c r="D33" i="52"/>
  <c r="D30" i="52"/>
  <c r="D29" i="52"/>
  <c r="D24" i="52"/>
  <c r="D31" i="52"/>
  <c r="D28" i="52"/>
  <c r="D26" i="52"/>
  <c r="D22" i="52"/>
  <c r="D27" i="52"/>
  <c r="D25" i="52"/>
  <c r="D16" i="52"/>
  <c r="D23" i="52"/>
  <c r="D20" i="52"/>
  <c r="D21" i="52"/>
  <c r="D18" i="52"/>
  <c r="D36" i="52"/>
  <c r="D19" i="52"/>
  <c r="D11" i="52"/>
  <c r="D35" i="52"/>
  <c r="D17" i="52"/>
  <c r="D15" i="52"/>
  <c r="D14" i="52"/>
  <c r="D13" i="52"/>
  <c r="D10" i="52"/>
  <c r="D12" i="52"/>
  <c r="D34" i="52"/>
  <c r="D32" i="52"/>
  <c r="K18" i="50"/>
  <c r="H32" i="52"/>
  <c r="W8" i="56" l="1"/>
  <c r="Y8" i="56" s="1"/>
  <c r="K19" i="50"/>
  <c r="AH8" i="56" l="1"/>
  <c r="Z8" i="56"/>
  <c r="AI8" i="56" l="1"/>
  <c r="H49" i="52"/>
  <c r="A43" i="54" s="1"/>
  <c r="H42" i="52"/>
  <c r="H45" i="52"/>
  <c r="H44" i="52"/>
  <c r="G3" i="54" s="1"/>
  <c r="H43" i="52"/>
  <c r="J11" i="50" s="1"/>
  <c r="H20" i="52" l="1"/>
  <c r="F3" i="5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489CC2-BCE4-45DC-A6C6-7589CF145DA3}" keepAlive="1" name="Connection1" type="5" refreshedVersion="8" saveData="1">
    <dbPr connection="Provider=Microsoft.Mashup.OleDb.1;Data Source=$Workbook$;Location=K2_PlantVariance;Extended Properties=&quot;&quot;" command="SELECT * FROM [K2_PlantVariance]"/>
  </connection>
  <connection id="2" xr16:uid="{00000000-0015-0000-FFFF-FFFF00000000}" keepAlive="1" name="Query - Gas Monitors Onhire" description="Connection to the 'Gas Monitors Onhire' query in the workbook." type="5" refreshedVersion="8" saveData="1">
    <dbPr connection="Provider=Microsoft.Mashup.OleDb.1;Data Source=$Workbook$;Location=&quot;Gas Monitors Onhire&quot;;Extended Properties=&quot;&quot;" command="SELECT * FROM [Gas Monitors Onhire]"/>
  </connection>
  <connection id="3" xr16:uid="{B2F9B643-73A2-442B-B7F3-97F5BBEC5DCF}" keepAlive="1" name="Query - K2_CompanySpend" description="Connection to the 'K2_CompanySpend' query in the workbook." type="5" refreshedVersion="8" saveData="1">
    <dbPr connection="Provider=Microsoft.Mashup.OleDb.1;Data Source=$Workbook$;Location=K2_CompanySpend;Extended Properties=&quot;&quot;" command="SELECT * FROM [K2_CompanySpend]"/>
  </connection>
  <connection id="4" xr16:uid="{45E56834-BCBF-4DC0-A875-121B8B747CC5}" keepAlive="1" name="Query - K2_ConsumablesMovement" description="Connection to the 'K2_ConsumablesMovement' query in the workbook." type="5" refreshedVersion="8" saveData="1">
    <dbPr connection="Provider=Microsoft.Mashup.OleDb.1;Data Source=$Workbook$;Location=K2_ConsumablesMovement;Extended Properties=&quot;&quot;" command="SELECT * FROM [K2_ConsumablesMovement]"/>
  </connection>
  <connection id="5" xr16:uid="{A4AFF6E5-CB21-4BFE-8C49-5B0712F0E4CC}" keepAlive="1" name="Query - K2_ConsumablesStock" description="Connection to the 'K2_ConsumablesStock' query in the workbook." type="5" refreshedVersion="8" saveData="1">
    <dbPr connection="Provider=Microsoft.Mashup.OleDb.1;Data Source=$Workbook$;Location=K2_ConsumablesStock;Extended Properties=&quot;&quot;" command="SELECT * FROM [K2_ConsumablesStock]"/>
  </connection>
  <connection id="6" xr16:uid="{4269965B-535C-4DD5-A51E-A031596EC338}" keepAlive="1" name="Query - K2_ConsumablesUtilisation" description="Connection to the 'K2_ConsumablesUtilisation' query in the workbook." type="5" refreshedVersion="8" saveData="1">
    <dbPr connection="Provider=Microsoft.Mashup.OleDb.1;Data Source=$Workbook$;Location=K2_ConsumablesUtilisation;Extended Properties=&quot;&quot;" command="SELECT * FROM [K2_ConsumablesUtilisation]"/>
  </connection>
  <connection id="7" xr16:uid="{B753B44F-8B99-4D4E-898E-CE83B5BB2A78}" keepAlive="1" name="Query - K2_StocktakeCoverage" description="Connection to the 'K2_StocktakeCoverage' query in the workbook." type="5" refreshedVersion="8" saveData="1">
    <dbPr connection="Provider=Microsoft.Mashup.OleDb.1;Data Source=$Workbook$;Location=K2_StocktakeCoverage;Extended Properties=&quot;&quot;" command="SELECT * FROM [K2_StocktakeCoverage]"/>
  </connection>
  <connection id="8" xr16:uid="{C1BF7BF6-34DB-4D63-9595-57A49D05459D}" keepAlive="1" name="Query - K2_StocktakeLog" type="5" refreshedVersion="8" saveData="1">
    <dbPr connection="Provider=Microsoft.Mashup.OleDb.1;Data Source=$Workbook$;Location=K2_StocktakeLog;Extended Properties=&quot;&quot;" command="SELECT * FROM [K2_StocktakeLog]"/>
  </connection>
  <connection id="9" xr16:uid="{00000000-0015-0000-FFFF-FFFF01000000}" keepAlive="1" name="Query - Radios Onhire" description="Connection to the 'Radios Onhire' query in the workbook." type="5" refreshedVersion="8" saveData="1">
    <dbPr connection="Provider=Microsoft.Mashup.OleDb.1;Data Source=$Workbook$;Location=&quot;Radios Onhire&quot;;Extended Properties=&quot;&quot;" command="SELECT * FROM [Radios Onhire]"/>
  </connection>
  <connection id="10" xr16:uid="{00000000-0015-0000-FFFF-FFFF02000000}" keepAlive="1" name="Query - RENTAL_STOCK" description="Connection to the 'RENTAL_STOCK' query in the workbook." type="5" refreshedVersion="8" saveData="1">
    <dbPr connection="Provider=Microsoft.Mashup.OleDb.1;Data Source=$Workbook$;Location=RENTAL_STOCK;Extended Properties=&quot;&quot;" command="SELECT * FROM [RENTAL_STOCK]"/>
  </connection>
  <connection id="11" xr16:uid="{00000000-0015-0000-FFFF-FFFF03000000}" keepAlive="1" name="Query - RENTAL_STOCK (2)" description="Connection to the 'RENTAL_STOCK (2)' query in the workbook." type="5" refreshedVersion="8" saveData="1">
    <dbPr connection="Provider=Microsoft.Mashup.OleDb.1;Data Source=$Workbook$;Location=&quot;RENTAL_STOCK (2)&quot;;Extended Properties=&quot;&quot;" command="SELECT * FROM [RENTAL_STOCK (2)]"/>
  </connection>
  <connection id="12" xr16:uid="{00000000-0015-0000-FFFF-FFFF04000000}" keepAlive="1" name="Query - RENTAL_STOCK (3)" description="Connection to the 'RENTAL_STOCK (3)' query in the workbook." type="5" refreshedVersion="8" saveData="1">
    <dbPr connection="Provider=Microsoft.Mashup.OleDb.1;Data Source=$Workbook$;Location=&quot;RENTAL_STOCK (3)&quot;;Extended Properties=&quot;&quot;" command="SELECT * FROM [RENTAL_STOCK (3)]"/>
  </connection>
  <connection id="13" xr16:uid="{00000000-0015-0000-FFFF-FFFF05000000}" keepAlive="1" name="Query - Tooling Onhire (2)" description="Connection to the 'Tooling Onhire (2)' query in the workbook." type="5" refreshedVersion="8" saveData="1">
    <dbPr connection="Provider=Microsoft.Mashup.OleDb.1;Data Source=$Workbook$;Location=&quot;Tooling Onhire (2)&quot;;Extended Properties=&quot;&quot;" command="SELECT * FROM [Tooling Onhire (2)]"/>
  </connection>
  <connection id="14" xr16:uid="{00000000-0015-0000-FFFF-FFFF06000000}" keepAlive="1" name="Query - Tooling Onhire (3)" description="Connection to the 'Tooling Onhire (3)' query in the workbook." type="5" refreshedVersion="8" saveData="1">
    <dbPr connection="Provider=Microsoft.Mashup.OleDb.1;Data Source=$Workbook$;Location=&quot;Tooling Onhire (3)&quot;;Extended Properties=&quot;&quot;" command="SELECT * FROM [Tooling Onhire (3)]"/>
  </connection>
  <connection id="15" xr16:uid="{00000000-0015-0000-FFFF-FFFF07000000}" keepAlive="1" name="Query - Tooling Onhire (4)" description="Connection to the 'Tooling Onhire (4)' query in the workbook." type="5" refreshedVersion="8" saveData="1">
    <dbPr connection="Provider=Microsoft.Mashup.OleDb.1;Data Source=$Workbook$;Location=&quot;Tooling Onhire (4)&quot;;Extended Properties=&quot;&quot;" command="SELECT * FROM [Tooling Onhire (4)]"/>
  </connection>
</connections>
</file>

<file path=xl/sharedStrings.xml><?xml version="1.0" encoding="utf-8"?>
<sst xmlns="http://schemas.openxmlformats.org/spreadsheetml/2006/main" count="16180" uniqueCount="4038">
  <si>
    <t>Company</t>
  </si>
  <si>
    <t>Hirer</t>
  </si>
  <si>
    <t>Company + Hirer Key</t>
  </si>
  <si>
    <t>Barcode</t>
  </si>
  <si>
    <t>Original Description</t>
  </si>
  <si>
    <t>On Hire Date</t>
  </si>
  <si>
    <t>On Hire Time</t>
  </si>
  <si>
    <t>Days On Hire</t>
  </si>
  <si>
    <t>Replacement Fee</t>
  </si>
  <si>
    <t>Age Bucket</t>
  </si>
  <si>
    <t>Daily Return Target</t>
  </si>
  <si>
    <t>High Risk Solutions</t>
  </si>
  <si>
    <t>Item Status</t>
  </si>
  <si>
    <t>Replacement Cost</t>
  </si>
  <si>
    <t>Cement Australia Holdings Pty Ltd</t>
  </si>
  <si>
    <t>On Hire</t>
  </si>
  <si>
    <t>Item Description</t>
  </si>
  <si>
    <t>Daily Client Cost</t>
  </si>
  <si>
    <t>Weekly Client Cost</t>
  </si>
  <si>
    <t>Current On-Hire Cost To Date</t>
  </si>
  <si>
    <t>Extension Lead 10A 20m</t>
  </si>
  <si>
    <t>Chain Block - Manual - 3.0t/6M Drop</t>
  </si>
  <si>
    <t>Socket - Impact - Long 30mm 1/2in Drive</t>
  </si>
  <si>
    <t>Safety Step</t>
  </si>
  <si>
    <t>Plasma Cutter 40mm cutting capacity, 415V x 32amp plug</t>
  </si>
  <si>
    <t>Welding Earth Clamp</t>
  </si>
  <si>
    <t>Welding - Lead Hand Piece</t>
  </si>
  <si>
    <t>Tool Lanyard Swl 7Kg Technique</t>
  </si>
  <si>
    <t>Socket - Impact - Long 24mm 1/2in Drive</t>
  </si>
  <si>
    <t>Spanner - Shifter - 300mm (12in)</t>
  </si>
  <si>
    <t>Hydraulic Cylinder - Low Height Cylinder 30t / 62mm Stroke</t>
  </si>
  <si>
    <t>Hydraulic Cylinder - Low Height Cylinder 20t/45mm Stroke</t>
  </si>
  <si>
    <t>Hydraulic Hoses</t>
  </si>
  <si>
    <t>Distribution Board Lifeguard 4 15A</t>
  </si>
  <si>
    <t>Extension Lead - 240V 15A</t>
  </si>
  <si>
    <t>Ladder - Platform Step Fibreglass 1.2M</t>
  </si>
  <si>
    <t>Extension Lead - 240V 10A</t>
  </si>
  <si>
    <t>Ducting - 300mm Reinforced (Per Metre)</t>
  </si>
  <si>
    <t>Socket - Impact - Long 32mm 1/2in Drive</t>
  </si>
  <si>
    <t>Grinder - Die (240V)</t>
  </si>
  <si>
    <t>Hydraulic Cylinder Pump - Hand Pump 2 Speed - P80</t>
  </si>
  <si>
    <t>Socket - Impact - Long 27mm 1/2in Drive</t>
  </si>
  <si>
    <t>Grinder Angle 125mm  Battery</t>
  </si>
  <si>
    <t>Chain Block - Manual - 2.0t/6M Drop</t>
  </si>
  <si>
    <t>Impact Wrench 12.7mm  Battery</t>
  </si>
  <si>
    <t>Socket -   1/2inch Drive - Metric - 24mm</t>
  </si>
  <si>
    <t>Chain Block - Manual - 1.0t/6M Drop</t>
  </si>
  <si>
    <t>Spanner - Combo 24mm</t>
  </si>
  <si>
    <t>Spanner - Combo (32mm)</t>
  </si>
  <si>
    <t>Cumalong - 0.80T x 1.5M</t>
  </si>
  <si>
    <t>Socket Adaptor 1/2in To 3/4in Drive</t>
  </si>
  <si>
    <t>Socket Adaptor 3/4in To 1/2in Drive</t>
  </si>
  <si>
    <t>Earth Leakage Power Pack Device - 10A</t>
  </si>
  <si>
    <t>Hydraulic Cylinder - General Purpose Cylinder 25t/102mm Stroke</t>
  </si>
  <si>
    <t>Socket - Impact - Long 30mm 3/4in Dr</t>
  </si>
  <si>
    <t>Hammer - Rubber</t>
  </si>
  <si>
    <t>Socket - Impact - Long 27mm 3/4in Drive</t>
  </si>
  <si>
    <t>Exhaust Fan - Electric 300mm</t>
  </si>
  <si>
    <t>Chain Block - Manual - 5.0t/6M Drop</t>
  </si>
  <si>
    <t>Hose - Air - Type A - 19mm - 3/4inch</t>
  </si>
  <si>
    <t>Tape Measure - 30M</t>
  </si>
  <si>
    <t>Steel Rule - 300mm</t>
  </si>
  <si>
    <t>Oxy/Acetylene Welding Kit</t>
  </si>
  <si>
    <t>Hose - Air - Type A - 13mm - 1/2inch</t>
  </si>
  <si>
    <t>Air Hose Adaptor - Minsup A To Nitto</t>
  </si>
  <si>
    <t>Welding Hand Piece - Mig Wire Feeder</t>
  </si>
  <si>
    <t>Spanner - Combo (41mm)</t>
  </si>
  <si>
    <t>Safety Harness Confined Space</t>
  </si>
  <si>
    <t>Socket Universal Joint 1/2in Drive</t>
  </si>
  <si>
    <t>Socket - Impact - 13mm 1/2in Drive</t>
  </si>
  <si>
    <t>Oxy Extension Hose</t>
  </si>
  <si>
    <t>Vacuum Cleaner 30L Electric</t>
  </si>
  <si>
    <t>Socket - Impact -Extension - 1/2in - Drive - 250mm</t>
  </si>
  <si>
    <t>Socket - Impact - Long 16mm 1/2in Drive</t>
  </si>
  <si>
    <t>Socket - Impact - Extension - 1/2inch Drive - 150mm</t>
  </si>
  <si>
    <t>Socket Extension 1/2in Drive 75mm</t>
  </si>
  <si>
    <t>Hammer - Sledge 14Lb</t>
  </si>
  <si>
    <t>Hammer - Sledge 10lb</t>
  </si>
  <si>
    <t>G Clamp - 150mm</t>
  </si>
  <si>
    <t>Cumalong - 1.5t</t>
  </si>
  <si>
    <t>Welder Electric 140A (240V)</t>
  </si>
  <si>
    <t>Welding Earth Clamp - Caddy</t>
  </si>
  <si>
    <t>Welding Hand Piece - Caddy</t>
  </si>
  <si>
    <t>Hammer - Sledge 4Lb</t>
  </si>
  <si>
    <t>Wheel Barrow - Heavy Duty</t>
  </si>
  <si>
    <t>Earth Leakage Power Pack Device - 15A</t>
  </si>
  <si>
    <t>Manifold - Air - 19mm</t>
  </si>
  <si>
    <t>Hammer - Sledge 8Lb</t>
  </si>
  <si>
    <t>Air Arc Gouging Torch</t>
  </si>
  <si>
    <t>Welding Lead Extension 50mm2</t>
  </si>
  <si>
    <t>Welding Lead Extension 70mm2</t>
  </si>
  <si>
    <t>Crow Bar - Large</t>
  </si>
  <si>
    <t>Crow Bar - Small</t>
  </si>
  <si>
    <t>Distribution Board Lifeguard 4 10A</t>
  </si>
  <si>
    <t>Quickclamp - 300mm</t>
  </si>
  <si>
    <t>Lanyard - Retractable</t>
  </si>
  <si>
    <t>Hydraulic Cylinder - General Purpose Cylinder 10t</t>
  </si>
  <si>
    <t>Chain Block - Manual - 1.0t/3M Drop</t>
  </si>
  <si>
    <t>COA~265519</t>
  </si>
  <si>
    <t>Lanyard - Twin - Retractable 2m</t>
  </si>
  <si>
    <t>Chain Block - Air Operated - 2t/10M Drop</t>
  </si>
  <si>
    <t>Safety Anchor Strap</t>
  </si>
  <si>
    <t>Hydraulic Cylinder - 10t</t>
  </si>
  <si>
    <t>Allen Key Set -  Metric</t>
  </si>
  <si>
    <t>Chain Block - Air Operated - 6T/15M Drop</t>
  </si>
  <si>
    <t>Socket - Ratchet Bar - 1/2inch Drive</t>
  </si>
  <si>
    <t>Chain Block - Manual - 3.0t/3M Drop</t>
  </si>
  <si>
    <t>Spanner - Combo (30mm)</t>
  </si>
  <si>
    <t>Spanner - Combo 18mm</t>
  </si>
  <si>
    <t>Wire Feeder LN25</t>
  </si>
  <si>
    <t>Socket - Impact - Long 36mm 3/4in Dr</t>
  </si>
  <si>
    <t>Socket - Impact - 30mm 3/4in Drive</t>
  </si>
  <si>
    <t>Socket - Impact - 32mm 3/4in Drive</t>
  </si>
  <si>
    <t>Impact Wrench 1in (25mm)  Battery</t>
  </si>
  <si>
    <t>Argon Flow Gauge</t>
  </si>
  <si>
    <t>Cost Priority</t>
  </si>
  <si>
    <t>Idle Status</t>
  </si>
  <si>
    <t>Usage Status</t>
  </si>
  <si>
    <t>Recommendation</t>
  </si>
  <si>
    <t>Current Charge Status</t>
  </si>
  <si>
    <t>Plant Equipment Group</t>
  </si>
  <si>
    <t>Product Variant ID</t>
  </si>
  <si>
    <t>Product</t>
  </si>
  <si>
    <t>Product Family</t>
  </si>
  <si>
    <t>Site Plant Equipment Date</t>
  </si>
  <si>
    <t>Site Plant Equipment Time</t>
  </si>
  <si>
    <t>Days On Site Plant Equipment</t>
  </si>
  <si>
    <t>Tool Store</t>
  </si>
  <si>
    <t>Storage Unit</t>
  </si>
  <si>
    <t>Owner</t>
  </si>
  <si>
    <t>Monthly Client Cost</t>
  </si>
  <si>
    <t>Cost While On Site Plant Equipment</t>
  </si>
  <si>
    <t>Idle Cost Exposure Since Last Use</t>
  </si>
  <si>
    <t>Has Been Used</t>
  </si>
  <si>
    <t>Total Transactions</t>
  </si>
  <si>
    <t>Unique Hirers</t>
  </si>
  <si>
    <t>First Hire Start Date</t>
  </si>
  <si>
    <t>Last Hire Start Date</t>
  </si>
  <si>
    <t>Last Hire End Date</t>
  </si>
  <si>
    <t>Last Used Date</t>
  </si>
  <si>
    <t>Days Since Last Use</t>
  </si>
  <si>
    <t>Report Start Date</t>
  </si>
  <si>
    <t>Report End Date</t>
  </si>
  <si>
    <t>Current Allocation Cost To Date</t>
  </si>
  <si>
    <t>Extension Lead - 415V 5 Pin 32A 25M</t>
  </si>
  <si>
    <t>Barrier - Crowd Control</t>
  </si>
  <si>
    <t>Welder - Motorised - Diesel - 600A Air Vantage</t>
  </si>
  <si>
    <t>Welder Diesel 500A</t>
  </si>
  <si>
    <t>Distribution Board Lifeguard 17</t>
  </si>
  <si>
    <t>Extension Lead - 415V 63A</t>
  </si>
  <si>
    <t>Rubbish Chute Frame</t>
  </si>
  <si>
    <t>Rubbish Chute 1M</t>
  </si>
  <si>
    <t>Rubbish Chute Top Hopper</t>
  </si>
  <si>
    <t>Lighting Tower LED Cube Diesel</t>
  </si>
  <si>
    <t>Lighting Tower LED 170-240k Lumens Mine Spec</t>
  </si>
  <si>
    <t>Lighting Tower LED Metro</t>
  </si>
  <si>
    <t>Mini Excavator Trailer &lt; 4.5T</t>
  </si>
  <si>
    <t>Compressor 185CFM (Diesel)</t>
  </si>
  <si>
    <t>Distribution Board</t>
  </si>
  <si>
    <t>Welder - Motorised - Diesel - 500A Air Vantage</t>
  </si>
  <si>
    <t>Milwaukee Group</t>
  </si>
  <si>
    <t>Wrench - Impact Cordless 19mm (18V)</t>
  </si>
  <si>
    <t>Battery - Cordless - Milwaukee 18V 6Ah</t>
  </si>
  <si>
    <t>Drill Hammer SDS Plus Battery</t>
  </si>
  <si>
    <t>Battery - Cordless - Milwaukee 18V 5Ah</t>
  </si>
  <si>
    <t>Light LED 500lm Battery</t>
  </si>
  <si>
    <t>Drill Hammer 13mm Battery</t>
  </si>
  <si>
    <t>Light LED 4400lm: Battery</t>
  </si>
  <si>
    <t>Days In Report Period</t>
  </si>
  <si>
    <t>Equipment Group</t>
  </si>
  <si>
    <t>Total Qty</t>
  </si>
  <si>
    <t>Qty On Hire</t>
  </si>
  <si>
    <t>Qty Available</t>
  </si>
  <si>
    <t>Live Utilisation %</t>
  </si>
  <si>
    <t>Unique Assets Used</t>
  </si>
  <si>
    <t>Period Utilisation %</t>
  </si>
  <si>
    <t>Low Usage - Review Need</t>
  </si>
  <si>
    <t>High Priority - No Available Stock</t>
  </si>
  <si>
    <t>Air Hose Adaptor - Minsup A to Nitto</t>
  </si>
  <si>
    <t>Air Nozzle - Small</t>
  </si>
  <si>
    <t>Air Spray Gun 2.0mm 1L Suction Feed Star</t>
  </si>
  <si>
    <t>Allen Key Set - Imperial</t>
  </si>
  <si>
    <t>Argon Flow Meter</t>
  </si>
  <si>
    <t>Barrier - Crash Rated Water Filled - Armorzone</t>
  </si>
  <si>
    <t>Battery Angle Drill 10mm Bare 20Nm</t>
  </si>
  <si>
    <t>Battery Light 12V LED (Intrinsically Safe) - Greener Choice</t>
  </si>
  <si>
    <t>Bolt Cutters - 600mm - 24Inch</t>
  </si>
  <si>
    <t>Breaker - Air - Light</t>
  </si>
  <si>
    <t>Breaker - Electric – Small - 0 to 7.9Kg</t>
  </si>
  <si>
    <t>Breaker Bar 1/2In Drive</t>
  </si>
  <si>
    <t>Breaker Drill - Electric - Small - 0 to 5.5Kg</t>
  </si>
  <si>
    <t>Bull Hose Std - 50mm (2In) - 7.5Mtr</t>
  </si>
  <si>
    <t>Centre Punch Set</t>
  </si>
  <si>
    <t>Chain Block - Air Operated - 1T/10M Drop</t>
  </si>
  <si>
    <t>Chain Block - Air Operated - 2T/10M Drop</t>
  </si>
  <si>
    <t>Chain Block - Manual - 1.0T/3M Drop</t>
  </si>
  <si>
    <t>Chain Block - Manual - 1.0T/6M Drop</t>
  </si>
  <si>
    <t>Chain Block - Manual - 10.0T/6M Drop</t>
  </si>
  <si>
    <t>Chain Block - Manual - 2.0T/6M Drop</t>
  </si>
  <si>
    <t>Chain Block - Manual - 3.0T/3M Drop</t>
  </si>
  <si>
    <t>Chain Block - Manual - 3.0T/6M Drop</t>
  </si>
  <si>
    <t>Chain Block - Manual - 5.0T/3M Drop</t>
  </si>
  <si>
    <t>Chain Block - Manual - 5.0T/6M Drop</t>
  </si>
  <si>
    <t>Chipper/Drill Hammer - Air</t>
  </si>
  <si>
    <t>Chipping Hammer - Air</t>
  </si>
  <si>
    <t>Cold Chisel Set</t>
  </si>
  <si>
    <t>Combination Set with Rule</t>
  </si>
  <si>
    <t>Combination Square</t>
  </si>
  <si>
    <t>Compressor 185Cfm (Diesel)</t>
  </si>
  <si>
    <t>Crane Brick/Block Cage 1240mm - 1290mm</t>
  </si>
  <si>
    <t>Cumalong - 0.5T</t>
  </si>
  <si>
    <t>Cumalong - 0.75T</t>
  </si>
  <si>
    <t>Cumalong - 0.80T X 1.5M</t>
  </si>
  <si>
    <t>Cumalong - 1.6T X 1.5M</t>
  </si>
  <si>
    <t>Cumalong - 3T X 1.5M</t>
  </si>
  <si>
    <t>Cumalong 6.3T (1.5M)</t>
  </si>
  <si>
    <t>Dial Indicator (0-100-0)</t>
  </si>
  <si>
    <t>Dial Indicator (0-25-0)</t>
  </si>
  <si>
    <t>Distribution Board Lifeguard 16 (1X32A 8X15A)</t>
  </si>
  <si>
    <t>Distribution Board Lifeguard 6 10A</t>
  </si>
  <si>
    <t>Distribution Board Lifeguard 6 15A</t>
  </si>
  <si>
    <t>Drill Bit Set - High Speed</t>
  </si>
  <si>
    <t>Drill Hammer Sds Plus Battery</t>
  </si>
  <si>
    <t>Drill Magnetic Base 38mm  Battery</t>
  </si>
  <si>
    <t>Drill Magnetic Base Low Profile 36mm Electric</t>
  </si>
  <si>
    <t>Exhaust Fan - Electric 610mm</t>
  </si>
  <si>
    <t>Extension Lead - 415V 5 Pin 32A 20M - Braided</t>
  </si>
  <si>
    <t>Extension Lead Stand Water Filled</t>
  </si>
  <si>
    <t>Feeler Gauge - Metric - 100mm</t>
  </si>
  <si>
    <t>Feeler Gauge 400mm</t>
  </si>
  <si>
    <t>Fluorescent Lead Light 240V</t>
  </si>
  <si>
    <t>Fluoro Light 32V Electrical 900mm</t>
  </si>
  <si>
    <t>Forklift - Reach - Walk Behind 1.5T Electric - Greener Choice</t>
  </si>
  <si>
    <t>Framing Square - Aluminium - 400mm X 600mm</t>
  </si>
  <si>
    <t>G Clamp - 250mm</t>
  </si>
  <si>
    <t>G Clamp - 300mm</t>
  </si>
  <si>
    <t>Gas Monitor</t>
  </si>
  <si>
    <t>Gauge Dial Indicator 0.01-10mm</t>
  </si>
  <si>
    <t>Generator - 100Kva (Diesel)</t>
  </si>
  <si>
    <t>Generator - 160Kva (Diesel)</t>
  </si>
  <si>
    <t>Generator - 20Kva (Diesel)</t>
  </si>
  <si>
    <t>Generator - 60Kva (Diesel)</t>
  </si>
  <si>
    <t>Girder Clamp - 2T</t>
  </si>
  <si>
    <t>Girder Trolley - 3T</t>
  </si>
  <si>
    <t>Grinder - Angle 125mm/5Inch (240V)</t>
  </si>
  <si>
    <t>Grinder - Angle 175mm (240V)</t>
  </si>
  <si>
    <t>Grinder Die  Battery 18V</t>
  </si>
  <si>
    <t>Grout Kibble 1M3</t>
  </si>
  <si>
    <t>Hacksaw - Hand 300mm</t>
  </si>
  <si>
    <t>Hammer - Ball Pein - 16 Oz</t>
  </si>
  <si>
    <t>Hammer - Chipping</t>
  </si>
  <si>
    <t>Hammer - Claw</t>
  </si>
  <si>
    <t>Hammer - Dead Blow - Large</t>
  </si>
  <si>
    <t>Hammer - Dead Blow - Small</t>
  </si>
  <si>
    <t>Hammer - Sledge 10Lb</t>
  </si>
  <si>
    <t>Hand Held Rivetgun</t>
  </si>
  <si>
    <t>Hose - Air - Type A - 13mm - 1/2Inch</t>
  </si>
  <si>
    <t>Hose - Air - Type A - 19mm - 3/4Inch</t>
  </si>
  <si>
    <t>Hose - Air - Type A - 25mm - 20M</t>
  </si>
  <si>
    <t>Hose - Oxy/Lpg - 15M</t>
  </si>
  <si>
    <t>Hose Whip - Air</t>
  </si>
  <si>
    <t>Hydraulic Cylinder - 10T</t>
  </si>
  <si>
    <t>Hydraulic Cylinder - 20T</t>
  </si>
  <si>
    <t>Hydraulic Cylinder - Flat Jack Cylinder 30T/13mm Stroke</t>
  </si>
  <si>
    <t>Hydraulic Cylinder - General Purpose Cylinder 10T</t>
  </si>
  <si>
    <t>Hydraulic Cylinder - General Purpose Cylinder 10T/105mm Stroke</t>
  </si>
  <si>
    <t>Hydraulic Cylinder - General Purpose Cylinder 10T/203mm Stroke</t>
  </si>
  <si>
    <t>Hydraulic Cylinder - General Purpose Cylinder 10T/257mm Stroke</t>
  </si>
  <si>
    <t>Hydraulic Cylinder - General Purpose Cylinder 25T/102mm Stroke</t>
  </si>
  <si>
    <t>Hydraulic Cylinder - Low Height Cylinder 20T/45mm Stroke</t>
  </si>
  <si>
    <t>Hydraulic Cylinder - Low Height Cylinder 30T / 62mm Stroke</t>
  </si>
  <si>
    <t>Hydraulic Cylinder - Low Height Cylinder 45T / 60mm Stroke</t>
  </si>
  <si>
    <t>Hydraulic Cylinder - Pancake Cylinder 100T/50mm Stroke</t>
  </si>
  <si>
    <t>Hydraulic Cylinder Pump Single Acting Electric</t>
  </si>
  <si>
    <t>Hydraulic Torque Hose Set - 6M X 10000 Psi</t>
  </si>
  <si>
    <t>Hydraulic Torque Pump - Electric 240V - Tq700E</t>
  </si>
  <si>
    <t>Hydraulic Torque Wrench - Actuator - 2000Ftlb</t>
  </si>
  <si>
    <t>Hydraulic Torque Wrench - Cassette - 55 - 56mm - 2000Ftlb</t>
  </si>
  <si>
    <t>Impact Wrench 1In (25mm)  Battery</t>
  </si>
  <si>
    <t>Jig Saw  Battery</t>
  </si>
  <si>
    <t>Knuckle Boom 130Ft (39.5M) - Diesel</t>
  </si>
  <si>
    <t>Lanyard - Twin - Retractable 2M</t>
  </si>
  <si>
    <t>Lead Stand - Magnetic</t>
  </si>
  <si>
    <t>Level - Electronic - 600mm</t>
  </si>
  <si>
    <t>Lifting Bag 45Kg</t>
  </si>
  <si>
    <t>Light Baton LED 1800Lm (860mm) Electric 32V</t>
  </si>
  <si>
    <t>Light LED 4400Lm: Battery</t>
  </si>
  <si>
    <t>Light LED 4400Lm: Battery - Greener Choice</t>
  </si>
  <si>
    <t>Light LED 500Lm Battery</t>
  </si>
  <si>
    <t>Light Magnetic LED 1500Lm:  Battery - Greener Choice</t>
  </si>
  <si>
    <t>Light Telescopic LED 5400Lm (1.65M) Battery - Greener Choice</t>
  </si>
  <si>
    <t>Light Telescopic Led 2500Lm (2.10M) Battery</t>
  </si>
  <si>
    <t>Lighting Tower LED 170-240K Lumens Mine Spec</t>
  </si>
  <si>
    <t>Lighting Tower Pod Metro</t>
  </si>
  <si>
    <t>Lpg Gauge</t>
  </si>
  <si>
    <t>Motorola Radio</t>
  </si>
  <si>
    <t>Needle Scaler Straight Grip Pneumatic</t>
  </si>
  <si>
    <t>Needlegun – Air</t>
  </si>
  <si>
    <t>Orange Mallets 5Lb</t>
  </si>
  <si>
    <t>Orange Mallets 8Lb</t>
  </si>
  <si>
    <t>Pallet Truck 1.8T Electric</t>
  </si>
  <si>
    <t>Pin Punch Set - Long</t>
  </si>
  <si>
    <t>Plasma Cutter 40mm Cutting Capacity, 415V X 32Amp Plug</t>
  </si>
  <si>
    <t>Plasma Handpiece</t>
  </si>
  <si>
    <t>Pliers - Combination 200mm</t>
  </si>
  <si>
    <t>Pliers - Side Cutting 150mm</t>
  </si>
  <si>
    <t>Pliers - Vice Grip</t>
  </si>
  <si>
    <t>Plumb Bob</t>
  </si>
  <si>
    <t>Pop Riveter - Battery - Greener Choice</t>
  </si>
  <si>
    <t>Propane Torch</t>
  </si>
  <si>
    <t>Punch - Pin Set</t>
  </si>
  <si>
    <t>Purge Monitor</t>
  </si>
  <si>
    <t>Quickclamp - 600mm</t>
  </si>
  <si>
    <t>Ridgid Pipe Cutter 6-66mm</t>
  </si>
  <si>
    <t>Rope Lanyard - Single Tail</t>
  </si>
  <si>
    <t>Safety Holder - Flogger</t>
  </si>
  <si>
    <t>Safety Lanyard - Twin</t>
  </si>
  <si>
    <t>Saw - Reciprocating Cordless 18V - Greener Choice</t>
  </si>
  <si>
    <t>Saw Circular 184mm Battery</t>
  </si>
  <si>
    <t>Scabbler - Air - 3 Head</t>
  </si>
  <si>
    <t>Scissor Lift with Operator Protection 19Ft (5.7M)  Electric - Greener Choice</t>
  </si>
  <si>
    <t>Screw Driver Set</t>
  </si>
  <si>
    <t>Screwdriver - Insulated - Flat</t>
  </si>
  <si>
    <t>Screwdriver - Insulated - Phillips</t>
  </si>
  <si>
    <t>Screwdriver - Square</t>
  </si>
  <si>
    <t>Site Storage Box - 1.2M (1200mm X 750mm X 850mm)</t>
  </si>
  <si>
    <t>Snips - Left Hand</t>
  </si>
  <si>
    <t>Socket -   3/4Inch Drive - Metric - 34mm</t>
  </si>
  <si>
    <t>Socket -   3/4Inch Drive - Metric - 38mm</t>
  </si>
  <si>
    <t>Socket -  1Inch Drive - Metric - 34mm</t>
  </si>
  <si>
    <t>Socket -  1Inch Drive - Metric - 54mm</t>
  </si>
  <si>
    <t>Socket -  1Inch Drive - Metric - 63mm</t>
  </si>
  <si>
    <t>Socket - Breaker Bar - 3/4In Drive</t>
  </si>
  <si>
    <t>Socket - Impact -   3/4Inch Drive - Imperial - 1 1/16Inch</t>
  </si>
  <si>
    <t>Socket - Impact - 1 1/16In 1/2In Drive</t>
  </si>
  <si>
    <t>Socket - Impact - 1 1/2In 3/4In Drive</t>
  </si>
  <si>
    <t>Socket - Impact - 1 1/4In 1In Drive</t>
  </si>
  <si>
    <t>Socket - Impact - 1 1/4In 3/4In Drive</t>
  </si>
  <si>
    <t>Socket - Impact - 1 1/8In 1In Drive</t>
  </si>
  <si>
    <t>Socket - Impact - 1 3/16In 1In Drive</t>
  </si>
  <si>
    <t>Socket - Impact - 1 3/8In 1In Drive</t>
  </si>
  <si>
    <t>Socket - Impact - 1 3/8In 3/4In Drive</t>
  </si>
  <si>
    <t>Socket - Impact - 1 7/16In 1In Drive</t>
  </si>
  <si>
    <t>Socket - Impact - 1 7/16In 3/4In Drive</t>
  </si>
  <si>
    <t>Socket - Impact - 1/2In Drive 13mm</t>
  </si>
  <si>
    <t>Socket - Impact - 1/2In Drive 14mm</t>
  </si>
  <si>
    <t>Socket - Impact - 1/2In Drive 15/16In</t>
  </si>
  <si>
    <t>Socket - Impact - 1/2In Drive 15mm</t>
  </si>
  <si>
    <t>Socket - Impact - 1/2In Drive 16mm</t>
  </si>
  <si>
    <t>Socket - Impact - 1/2In Drive 17mm</t>
  </si>
  <si>
    <t>Socket - Impact - 1/2In Drive 18mm</t>
  </si>
  <si>
    <t>Socket - Impact - 1/2In Drive 19mm</t>
  </si>
  <si>
    <t>Socket - Impact - 1/2In Drive 20mm</t>
  </si>
  <si>
    <t>Socket - Impact - 1/2In Drive 22mm</t>
  </si>
  <si>
    <t>Socket - Impact - 1/2In Drive 24mm</t>
  </si>
  <si>
    <t>Socket - Impact - 1/2In Drive 27mm</t>
  </si>
  <si>
    <t>Socket - Impact - 1/2In Drive 3/4In</t>
  </si>
  <si>
    <t>Socket - Impact - 1/2In Drive 30mm</t>
  </si>
  <si>
    <t>Socket - Impact - 1/2In Drive 32mm</t>
  </si>
  <si>
    <t>Socket - Impact - 1/2In Drive 36mm</t>
  </si>
  <si>
    <t>Socket - Impact - 1/2In Drive 5/8In</t>
  </si>
  <si>
    <t>Socket - Impact - 1/2In Drive 50mm</t>
  </si>
  <si>
    <t>Socket - Impact - 1/2In Drive 7/8In</t>
  </si>
  <si>
    <t>Socket - Impact - 1/2In Drive 75mm</t>
  </si>
  <si>
    <t>Socket - Impact - 1In 1In Drive</t>
  </si>
  <si>
    <t>Socket - Impact - 1In Drive 1-1/4In</t>
  </si>
  <si>
    <t>Socket - Impact - 1In Drive 1/2In</t>
  </si>
  <si>
    <t>Socket - Impact - 1In Drive 11/16In</t>
  </si>
  <si>
    <t>Socket - Impact - 1In Drive 13/16In</t>
  </si>
  <si>
    <t>Socket - Impact - 1In Drive 15/16In</t>
  </si>
  <si>
    <t>Socket - Impact - 1In Drive 19mm</t>
  </si>
  <si>
    <t>Socket - Impact - 1In Drive 2-7/16In</t>
  </si>
  <si>
    <t>Socket - Impact - 1In Drive 27mm</t>
  </si>
  <si>
    <t>Socket - Impact - 1In Drive 3/4In</t>
  </si>
  <si>
    <t>Socket - Impact - 1In Drive 32mm</t>
  </si>
  <si>
    <t>Socket - Impact - 1In Drive 36mm</t>
  </si>
  <si>
    <t>Socket - Impact - 1In Drive 46mm</t>
  </si>
  <si>
    <t>Socket - Impact - 1In Drive 5/8In</t>
  </si>
  <si>
    <t>Socket - Impact - 1In Drive 50mm</t>
  </si>
  <si>
    <t>Socket - Impact - 1In Drive 55mm</t>
  </si>
  <si>
    <t>Socket - Impact - 1In Drive 60mm</t>
  </si>
  <si>
    <t>Socket - Impact - 1In Drive 65mm</t>
  </si>
  <si>
    <t>Socket - Impact - 1In Drive 7/8In</t>
  </si>
  <si>
    <t>Socket - Impact - 1In Drive 70mm</t>
  </si>
  <si>
    <t>Socket - Impact - 1In Drive 75mm</t>
  </si>
  <si>
    <t>Socket - Impact - 23/16In 3/4In Drive</t>
  </si>
  <si>
    <t>Socket - Impact - 23/4In 3/4In Drive</t>
  </si>
  <si>
    <t>Socket - Impact - 25mm 1In Drive</t>
  </si>
  <si>
    <t>Socket - Impact - 27/16In 1In Drive</t>
  </si>
  <si>
    <t>Socket - Impact - 2In 3/4In Drive</t>
  </si>
  <si>
    <t>Socket - Impact - 3/4In Drive 1-1/16In</t>
  </si>
  <si>
    <t>Socket - Impact - 3/4In Drive 1-1/4In</t>
  </si>
  <si>
    <t>Socket - Impact - 3/4In Drive 1-7/16In</t>
  </si>
  <si>
    <t>Socket - Impact - 3/4In Drive 11/16In</t>
  </si>
  <si>
    <t>Socket - Impact - 3/4In Drive 13/16In</t>
  </si>
  <si>
    <t>Socket - Impact - 3/4In Drive 15/16In</t>
  </si>
  <si>
    <t>Socket - Impact - 3/4In Drive 24mm</t>
  </si>
  <si>
    <t>Socket - Impact - 3/4In Drive 27mm</t>
  </si>
  <si>
    <t>Socket - Impact - 3/4In Drive 30mm</t>
  </si>
  <si>
    <t>Socket - Impact - 3/4In Drive 32mm</t>
  </si>
  <si>
    <t>Socket - Impact - 3/4In Drive 36mm</t>
  </si>
  <si>
    <t>Socket - Impact - 3/4In Drive 41mm</t>
  </si>
  <si>
    <t>Socket - Impact - 3/4In Drive 46mm</t>
  </si>
  <si>
    <t>Socket - Impact - 3/4In Drive 5/8In</t>
  </si>
  <si>
    <t>Socket - Impact - 3/4In Drive 50mm</t>
  </si>
  <si>
    <t>Socket - Impact - 3/4In Drive 55mm</t>
  </si>
  <si>
    <t>Socket - Impact - 3/4In Drive 60mm</t>
  </si>
  <si>
    <t>Socket - Impact - 3/4In Drive 7/8In</t>
  </si>
  <si>
    <t>Socket - Impact - 40mm 1In Drive</t>
  </si>
  <si>
    <t>Socket - Impact - Long 38mm 3/4In Drive</t>
  </si>
  <si>
    <t>Socket - Impact -Extension - 1/2In - Drive - 250mm</t>
  </si>
  <si>
    <t>Socket - Impact -Extension - 1In - Drive - 150mm</t>
  </si>
  <si>
    <t>Socket - Impact -Extension - 3/4In - Drive - 250mm</t>
  </si>
  <si>
    <t>Socket - Impact -Extension - 3/4In - Drive - 330mm</t>
  </si>
  <si>
    <t>Socket - Imperial Adaptor - 1In - 3/4In Drive</t>
  </si>
  <si>
    <t>Socket - Ratchet Bar - 1/2Inch Drive</t>
  </si>
  <si>
    <t>Socket - Ratchet Bar - 3/4Inch Drive</t>
  </si>
  <si>
    <t>Socket - Torque 11/4In 1In Drive</t>
  </si>
  <si>
    <t>Socket - Torque 2-3/16In 1In Drive</t>
  </si>
  <si>
    <t>Socket - Torque 3In 1In Drive</t>
  </si>
  <si>
    <t>Socket - Universal Joint 1In Drive</t>
  </si>
  <si>
    <t>Socket - Universal Joint 3/4In Drive</t>
  </si>
  <si>
    <t>Socket -Torque 38mm 3/4In Drive</t>
  </si>
  <si>
    <t>Socket Adaptor 1/2In to 3/4In Drive</t>
  </si>
  <si>
    <t>Socket Set - 3/4In Drive - Met</t>
  </si>
  <si>
    <t>Socket Universal Joint 1/2In Drive</t>
  </si>
  <si>
    <t>Spanner - Combo (20mm)</t>
  </si>
  <si>
    <t>Spanner - Combo (27mm)</t>
  </si>
  <si>
    <t>Spanner - Combo (29mm)</t>
  </si>
  <si>
    <t>Spanner - Combo (36mm)</t>
  </si>
  <si>
    <t>Spanner - Combo (38mm)</t>
  </si>
  <si>
    <t>Spanner - Combo (46mm)</t>
  </si>
  <si>
    <t>Spanner - Combo (48mm)</t>
  </si>
  <si>
    <t>Spanner - Combo (55mm)</t>
  </si>
  <si>
    <t>Spanner - Combo (60mm)</t>
  </si>
  <si>
    <t>Spanner - Combo (65mm)</t>
  </si>
  <si>
    <t>Spanner - Combo (70mm)</t>
  </si>
  <si>
    <t>Spanner - Combo (75mm)</t>
  </si>
  <si>
    <t>Spanner - Combo (80mm)</t>
  </si>
  <si>
    <t>Spanner - Combo - 50mm</t>
  </si>
  <si>
    <t>Spanner - Combo - Flat - 2 15/16Inch</t>
  </si>
  <si>
    <t>Spanner - Combo - Flat - 2-3/4</t>
  </si>
  <si>
    <t>Spanner - Combo 1</t>
  </si>
  <si>
    <t>Spanner - Combo 1 - 1/16</t>
  </si>
  <si>
    <t>Spanner - Combo 1 - 1/2</t>
  </si>
  <si>
    <t>Spanner - Combo 1 - 1/4</t>
  </si>
  <si>
    <t>Spanner - Combo 1 - 1/8</t>
  </si>
  <si>
    <t>Spanner - Combo 1 - 11/16</t>
  </si>
  <si>
    <t>Spanner - Combo 1 - 13/16</t>
  </si>
  <si>
    <t>Spanner - Combo 1 - 3/16</t>
  </si>
  <si>
    <t>Spanner - Combo 1 - 3/4</t>
  </si>
  <si>
    <t>Spanner - Combo 1 - 3/8</t>
  </si>
  <si>
    <t>Spanner - Combo 1 - 5/16</t>
  </si>
  <si>
    <t>Spanner - Combo 1 - 5/8</t>
  </si>
  <si>
    <t>Spanner - Combo 1 - 7/16</t>
  </si>
  <si>
    <t>Spanner - Combo 1 - 7/8</t>
  </si>
  <si>
    <t>Spanner - Combo 11/16</t>
  </si>
  <si>
    <t>Spanner - Combo 13/16</t>
  </si>
  <si>
    <t>Spanner - Combo 15/16</t>
  </si>
  <si>
    <t>Spanner - Combo 16mm</t>
  </si>
  <si>
    <t>Spanner - Combo 17mm</t>
  </si>
  <si>
    <t>Spanner - Combo 19mm</t>
  </si>
  <si>
    <t>Spanner - Combo 2</t>
  </si>
  <si>
    <t>Spanner - Combo 2 - 1/2</t>
  </si>
  <si>
    <t>Spanner - Combo 2 - 1/4</t>
  </si>
  <si>
    <t>Spanner - Combo 2 - 1/8</t>
  </si>
  <si>
    <t>Spanner - Combo 2 - 3/16</t>
  </si>
  <si>
    <t>Spanner - Combo 2 - 3/8</t>
  </si>
  <si>
    <t>Spanner - Combo 2 - 5/16</t>
  </si>
  <si>
    <t>Spanner - Combo 2 - 7/16</t>
  </si>
  <si>
    <t>Spanner - Combo 2-9/16</t>
  </si>
  <si>
    <t>Spanner - Combo 22mm</t>
  </si>
  <si>
    <t>Spanner - Combo 3/4</t>
  </si>
  <si>
    <t>Spanner - Flogging - 1 1/16Inch</t>
  </si>
  <si>
    <t>Spanner - Flogging - 1 1/2Inch</t>
  </si>
  <si>
    <t>Spanner - Flogging - 1 1/4Inch</t>
  </si>
  <si>
    <t>Spanner - Flogging - 1 13/16Inch</t>
  </si>
  <si>
    <t>Spanner - Flogging - 1 3/16Inch</t>
  </si>
  <si>
    <t>Spanner - Flogging - 1 3/4Inch</t>
  </si>
  <si>
    <t>Spanner - Flogging - 1 3/8Inch</t>
  </si>
  <si>
    <t>Spanner - Flogging - 1 5/16Inch</t>
  </si>
  <si>
    <t>Spanner - Flogging - 1 5/8Inch</t>
  </si>
  <si>
    <t>Spanner - Flogging - 1 7/16Inch</t>
  </si>
  <si>
    <t>Spanner - Flogging - 1 7/8Inch</t>
  </si>
  <si>
    <t>Spanner - Flogging - 2 3/8Inch</t>
  </si>
  <si>
    <t>Spanner - Flogging - 22mm</t>
  </si>
  <si>
    <t>Spanner - Flogging - 24mm</t>
  </si>
  <si>
    <t>Spanner - Flogging - 27mm</t>
  </si>
  <si>
    <t>Spanner - Flogging - 30mm</t>
  </si>
  <si>
    <t>Spanner - Flogging - 32mm</t>
  </si>
  <si>
    <t>Spanner - Flogging - 36mm</t>
  </si>
  <si>
    <t>Spanner - Flogging - 41mm</t>
  </si>
  <si>
    <t>Spanner - Flogging - 46mm</t>
  </si>
  <si>
    <t>Spanner - Flogging - 50mm</t>
  </si>
  <si>
    <t>Spanner - Flogging - 55mm</t>
  </si>
  <si>
    <t>Spanner - Flogging - 65mm</t>
  </si>
  <si>
    <t>Spanner - Flogging - 80mm</t>
  </si>
  <si>
    <t>Spanner - Flogging - Flat - 2 9/16Inch</t>
  </si>
  <si>
    <t>Spanner - Flogging - Flat - 75mm</t>
  </si>
  <si>
    <t>Spanner - Flogging - Offset - 1 1/8Inch</t>
  </si>
  <si>
    <t>Spanner - Flogging - Offset - 60mm</t>
  </si>
  <si>
    <t>Spanner - Flogging - Offset - 70mm</t>
  </si>
  <si>
    <t>Spanner - Flogging - Offset 1 15/16In</t>
  </si>
  <si>
    <t>Spanner - Flogging - Offset 2 15/16In</t>
  </si>
  <si>
    <t>Spanner - Flogging 1 5/16In</t>
  </si>
  <si>
    <t>Spanner - Podger - Open End - 1 7/16Inch</t>
  </si>
  <si>
    <t>Spanner - Podger - Ratchet - 24mm / 27mm</t>
  </si>
  <si>
    <t>Spanner - Podger - Ratchet - 27mm / 32mm</t>
  </si>
  <si>
    <t>Spanner - Podger - Ratchet - 32mm / 36mm</t>
  </si>
  <si>
    <t>Spanner - Podger - Ratchet - 36mm / 41mm</t>
  </si>
  <si>
    <t>Spanner - Podger Open End 2 - 15/16In</t>
  </si>
  <si>
    <t>Spanner - Ring 2 - 5/8 2-13/16In</t>
  </si>
  <si>
    <t>Spanner - Shifter - 250mm (10In)</t>
  </si>
  <si>
    <t>Spanner - Shifter - 300mm (12In)</t>
  </si>
  <si>
    <t>Spanner - Shifter - 375mm (15In )</t>
  </si>
  <si>
    <t>Spanner - Shifter - 450mm (18In)</t>
  </si>
  <si>
    <t>Spanner - Shifter - 600mm (24In)</t>
  </si>
  <si>
    <t>Spanner - Shifter 200mm</t>
  </si>
  <si>
    <t>Spanner 34mm</t>
  </si>
  <si>
    <t>Spanner Flogging 1 1/8In</t>
  </si>
  <si>
    <t>Spanner Flogging 1 9/16In</t>
  </si>
  <si>
    <t>Spanner Flogging 2 3/8In</t>
  </si>
  <si>
    <t>Spanner Flogging 2In</t>
  </si>
  <si>
    <t>Spirit Level 600mm</t>
  </si>
  <si>
    <t>Stamp Set - Letter - 10mm</t>
  </si>
  <si>
    <t>Stamp Set - Number - 10mm</t>
  </si>
  <si>
    <t>Stilsen - 600mm</t>
  </si>
  <si>
    <t>Stilsen - 900mm</t>
  </si>
  <si>
    <t>Stilsen - Aluminium - 350mm</t>
  </si>
  <si>
    <t>Straight Edge - 2M</t>
  </si>
  <si>
    <t>Tape Measure - 50M</t>
  </si>
  <si>
    <t>Torque Wrench - Manual - 19mm (3/4Inch) Drive</t>
  </si>
  <si>
    <t>Torque Wrench - Manual - 30 - 250Ftlb - 1/2Inch Drive</t>
  </si>
  <si>
    <t>Torque/Tension Wrench - 12mm  - 1/2Inch Drive</t>
  </si>
  <si>
    <t>Vernier Callipers - 300mm</t>
  </si>
  <si>
    <t>Wad Punch - 14 - 19mm</t>
  </si>
  <si>
    <t>Welding Electrode Holder</t>
  </si>
  <si>
    <t>Welding Hose - Argon</t>
  </si>
  <si>
    <t>Welding Lead Tail</t>
  </si>
  <si>
    <t>Wire Feeder Ln25</t>
  </si>
  <si>
    <t>Cement Shutdown 2026 SHUTDOWN - LABOUR COSTING MODEL</t>
  </si>
  <si>
    <t>Total Labour</t>
  </si>
  <si>
    <t>Total Accommodation</t>
  </si>
  <si>
    <t>Grand Total</t>
  </si>
  <si>
    <t>Roster Hours</t>
  </si>
  <si>
    <t>Billable Hours</t>
  </si>
  <si>
    <t>Day Billable Hours</t>
  </si>
  <si>
    <t>Night Billable Hours</t>
  </si>
  <si>
    <t>Accommodation Nights</t>
  </si>
  <si>
    <t>Category</t>
  </si>
  <si>
    <t>Labour Cost</t>
  </si>
  <si>
    <t>Accommodation</t>
  </si>
  <si>
    <t>Total Cost</t>
  </si>
  <si>
    <t>People/Rows</t>
  </si>
  <si>
    <t>Role</t>
  </si>
  <si>
    <t>Short Responsibility</t>
  </si>
  <si>
    <t>Drive</t>
  </si>
  <si>
    <t>Project Manager</t>
  </si>
  <si>
    <t>Client liaison, reporting, labour coordination, financial oversight and escalation management.</t>
  </si>
  <si>
    <t>Mobilisation</t>
  </si>
  <si>
    <t>Day Shift Tool Store Supervisor</t>
  </si>
  <si>
    <t>Responsible for the overall operation of the tool store including team leadership, inventory control, consumables management, utilisation monitoring, client engagement and ensuring service delivery requirements are achieved.</t>
  </si>
  <si>
    <t>Shutdown Day Shift</t>
  </si>
  <si>
    <t>Day Shift Tool Store Controller</t>
  </si>
  <si>
    <t>Responsible for tooling, radio and gas monitor issue and return, asset tracking, stock control, consumables distribution, equipment inspections and maintaining accurate inventory records.</t>
  </si>
  <si>
    <t>Shutdown Night Shift</t>
  </si>
  <si>
    <t>Tool Store Mechanical Coordinator</t>
  </si>
  <si>
    <t>Responsible for equipment repairs, preventative maintenance, servicing coordination, fault diagnosis, equipment inspections and maximising equipment availability throughout the shutdown.</t>
  </si>
  <si>
    <t>Demob</t>
  </si>
  <si>
    <t>Night Shift Tool Store Controller</t>
  </si>
  <si>
    <t>Responsible for tooling, radio and gas monitor issue and return, asset tracking, stock control, consumables management and equipment inspections to support 24-hour shutdown operations.</t>
  </si>
  <si>
    <t>Total</t>
  </si>
  <si>
    <t>Date</t>
  </si>
  <si>
    <t>Status</t>
  </si>
  <si>
    <t>Shift</t>
  </si>
  <si>
    <t>Name</t>
  </si>
  <si>
    <t>Start</t>
  </si>
  <si>
    <t>Finish</t>
  </si>
  <si>
    <t>Hours Override / Note</t>
  </si>
  <si>
    <t>Hourly Rate</t>
  </si>
  <si>
    <t>Accom Rate</t>
  </si>
  <si>
    <t>Accom Nights</t>
  </si>
  <si>
    <t>Accom Cost</t>
  </si>
  <si>
    <t>Day</t>
  </si>
  <si>
    <t>Andrew Fisher</t>
  </si>
  <si>
    <t>Thomas Maher</t>
  </si>
  <si>
    <t>Helen O'Grady</t>
  </si>
  <si>
    <t>Shutdown</t>
  </si>
  <si>
    <t>No Charge</t>
  </si>
  <si>
    <t>Fatigue Day</t>
  </si>
  <si>
    <t>Cody Mitchell</t>
  </si>
  <si>
    <t>Night</t>
  </si>
  <si>
    <t>Plant Equipment Hire F/C</t>
  </si>
  <si>
    <t>Plant Equipment Hire Actual</t>
  </si>
  <si>
    <t>Plant Equipment Hire Variance</t>
  </si>
  <si>
    <t>Tooling Hire F/C</t>
  </si>
  <si>
    <t>Tooling Hire Actual</t>
  </si>
  <si>
    <t>Tooling Hire Variance</t>
  </si>
  <si>
    <t>Radio Hire F/C</t>
  </si>
  <si>
    <t>Radio Hire Actual</t>
  </si>
  <si>
    <t>Radio Hire Variance</t>
  </si>
  <si>
    <t>Gas Monitor Hire F/C</t>
  </si>
  <si>
    <t>Gas Monitor Hire Actual</t>
  </si>
  <si>
    <t>Gas Monitor Hire Variance</t>
  </si>
  <si>
    <t>Accommodation F/C</t>
  </si>
  <si>
    <t>Accommodation Actual</t>
  </si>
  <si>
    <t>Accommodation Variance</t>
  </si>
  <si>
    <t>Transport F/C</t>
  </si>
  <si>
    <t>Transport Actual</t>
  </si>
  <si>
    <t>Transport Variance</t>
  </si>
  <si>
    <t>Personnel / Labour F/C</t>
  </si>
  <si>
    <t>Personnel / Labour Actual</t>
  </si>
  <si>
    <t>Personnel / Labour Variance</t>
  </si>
  <si>
    <t>Damage Recovery F/C</t>
  </si>
  <si>
    <t>Damage Recovery Actual</t>
  </si>
  <si>
    <t>Damage Recovery Variance</t>
  </si>
  <si>
    <t>Daily Forecast Total</t>
  </si>
  <si>
    <t>Daily Actual Total</t>
  </si>
  <si>
    <t>Daily Variance</t>
  </si>
  <si>
    <t>TOTAL</t>
  </si>
  <si>
    <t>William Freeman</t>
  </si>
  <si>
    <t>Expected</t>
  </si>
  <si>
    <t>Forklift 2t - 2.6t Diesel</t>
  </si>
  <si>
    <t>Light Telescopic 4 Head LED 27000lm (3m) - Hybrid</t>
  </si>
  <si>
    <t>Received By</t>
  </si>
  <si>
    <t>Returned To Branch</t>
  </si>
  <si>
    <t>Picked Up Date</t>
  </si>
  <si>
    <t>Off Hire Date</t>
  </si>
  <si>
    <t>Forecast Hire Value</t>
  </si>
  <si>
    <t>Hire Days</t>
  </si>
  <si>
    <t>Finish Hire</t>
  </si>
  <si>
    <t>Start Hire</t>
  </si>
  <si>
    <t>Date Received On Site</t>
  </si>
  <si>
    <t>Daily Rate</t>
  </si>
  <si>
    <t>Branch / Supplier</t>
  </si>
  <si>
    <t>Asset Number</t>
  </si>
  <si>
    <t>Description</t>
  </si>
  <si>
    <t>Crowd Control Barriers</t>
  </si>
  <si>
    <t>Welding</t>
  </si>
  <si>
    <t>Socket Set - 1/2in Drive - Met</t>
  </si>
  <si>
    <t>Socket - Impact - Long 41mm 3/4in Drive</t>
  </si>
  <si>
    <t>Socket - Impact - Long 38mm 3/4in Drive</t>
  </si>
  <si>
    <t>Socket - Impact - Long 24mm 3/4in Dr</t>
  </si>
  <si>
    <t>Socket - Impact -   3/4inch Drive - Metric - 46mm</t>
  </si>
  <si>
    <t>Rigging</t>
  </si>
  <si>
    <t>Hydraulic Cylinder - Low Height Cylinder 20t</t>
  </si>
  <si>
    <t>Hydraulic Torque Pump - Electric 240V</t>
  </si>
  <si>
    <t>Light Telescopic LED 5400lm (1.65m) Battery - Greener Choice</t>
  </si>
  <si>
    <t>Lighting</t>
  </si>
  <si>
    <t>Light Telescopic LED 2500lm (2.10m) Battery - Greener Choice</t>
  </si>
  <si>
    <t>Transformer 32V</t>
  </si>
  <si>
    <t>Electrical</t>
  </si>
  <si>
    <t>Est Total</t>
  </si>
  <si>
    <t>Est Utilisation</t>
  </si>
  <si>
    <t>2026 K2 Proposed Qty</t>
  </si>
  <si>
    <t>Material Description</t>
  </si>
  <si>
    <t>Product Variant</t>
  </si>
  <si>
    <t>BULLHOSESTD50MM(2IN)7.5M</t>
  </si>
  <si>
    <t>COMP185D</t>
  </si>
  <si>
    <t>LIGHTTELE4HLED27KLM3MHYB</t>
  </si>
  <si>
    <t>TRAILERMOUNTEDBOOM10MDE</t>
  </si>
  <si>
    <t>CRANEBRICKCAGE1240MM</t>
  </si>
  <si>
    <t>KNUCKLE130D</t>
  </si>
  <si>
    <t>DISTBOARDLIFEGUARD16</t>
  </si>
  <si>
    <t>DISTBOARDLIFEGUARD17</t>
  </si>
  <si>
    <t>EXHAUSTFAN240V610MM</t>
  </si>
  <si>
    <t>FORKLIFT2.5TDIESEL</t>
  </si>
  <si>
    <t>GENERATOR100KVAD</t>
  </si>
  <si>
    <t>GENERATOR60KVAD</t>
  </si>
  <si>
    <t>GENERATOR80KVAD</t>
  </si>
  <si>
    <t>GENERATOR20KVAD</t>
  </si>
  <si>
    <t>CONCRETESCARIFIER8E</t>
  </si>
  <si>
    <t>GENERATOR500KVAD</t>
  </si>
  <si>
    <t>LEADEXT415V5PIN32AMP</t>
  </si>
  <si>
    <t>LEADEXT415V63AMP</t>
  </si>
  <si>
    <t>LIGHTTLEDVRTMETRO</t>
  </si>
  <si>
    <t>LIGHTTOWERPODTRI</t>
  </si>
  <si>
    <t>PALLETTR1.8TELEC</t>
  </si>
  <si>
    <t>FORKLIFTREACHWB1.5TELEC</t>
  </si>
  <si>
    <t>SCISSOR19EOP</t>
  </si>
  <si>
    <t>WELDERAIRVANTAGE500A</t>
  </si>
  <si>
    <t>WELDERAIRVANTAGE600A</t>
  </si>
  <si>
    <t>WATERCARTTRAILER950LTR</t>
  </si>
  <si>
    <t>TOILETFWF</t>
  </si>
  <si>
    <t>TRAILERMINIEXCAVATOR&lt;4.5T</t>
  </si>
  <si>
    <t>KIBBLEGROUT1M3</t>
  </si>
  <si>
    <t>N/A</t>
  </si>
  <si>
    <t>Qty</t>
  </si>
  <si>
    <t>Booms</t>
  </si>
  <si>
    <t>Generators</t>
  </si>
  <si>
    <t>Scissor Lifts</t>
  </si>
  <si>
    <t>Welders</t>
  </si>
  <si>
    <t>Knuckle Boom 45ft (13.7M) - Diesel</t>
  </si>
  <si>
    <t>Knuckle Boom 61ft (18.6M) - Diesel</t>
  </si>
  <si>
    <t>Straight Boom Lift 32.3m (105ft) Diesel</t>
  </si>
  <si>
    <t>Trailer Mounted Boom 10.2m Diesel/Electric</t>
  </si>
  <si>
    <t>KNUCKLE45D</t>
  </si>
  <si>
    <t>KNUCKLE61D</t>
  </si>
  <si>
    <t>BOOM105D</t>
  </si>
  <si>
    <t>HVACCSCRNCFORM16MM63A25M</t>
  </si>
  <si>
    <t>HVAC Cable - Screened - 16mm2 - Ceeform - 63A - 25m</t>
  </si>
  <si>
    <t>FORKLIFT2.5TWROTD</t>
  </si>
  <si>
    <t>Forklift - With Rotator 2.5t Diesel</t>
  </si>
  <si>
    <t>GENERATOR30KVAD</t>
  </si>
  <si>
    <t>Generator - 30kVA (Diesel)</t>
  </si>
  <si>
    <t>LIGHTTOWERLED176KLMS</t>
  </si>
  <si>
    <t>RUBCHUTE1M</t>
  </si>
  <si>
    <t>ARMORZONEBARIER</t>
  </si>
  <si>
    <t>Adam Boyce</t>
  </si>
  <si>
    <t>Lucas Armstrong</t>
  </si>
  <si>
    <t>Fuel Trailer 1000L Double Bunded</t>
  </si>
  <si>
    <t>Rate Status</t>
  </si>
  <si>
    <t>Air</t>
  </si>
  <si>
    <t>CHIPPINGHAMMERAIR</t>
  </si>
  <si>
    <t>Contract Rate</t>
  </si>
  <si>
    <t>MANIFOLDAIR19MM6OUTLETS</t>
  </si>
  <si>
    <t>SCABBLERAIR3HEAD</t>
  </si>
  <si>
    <t>IMPACTWRENCHAIR25MM</t>
  </si>
  <si>
    <t>Impact Wrench - Air - 25mm</t>
  </si>
  <si>
    <t>NEEDLEGUNAIR</t>
  </si>
  <si>
    <t>BREAKERAIRLIGHT</t>
  </si>
  <si>
    <t>IMPACTWRENCHAIR19MM</t>
  </si>
  <si>
    <t>Impact Wrench - Air - 19mm</t>
  </si>
  <si>
    <t>NEEDLESCALERSGAIR</t>
  </si>
  <si>
    <t>CHIPPERDRILLHAMMERAIR</t>
  </si>
  <si>
    <t>HOSEAIRTA19MM3/4</t>
  </si>
  <si>
    <t>BREAKERDRILLSMALL240V</t>
  </si>
  <si>
    <t>Breaker Drill - Electric - Small - 0 to 5.5kg</t>
  </si>
  <si>
    <t>IMPACTWRENCHAIR12MM</t>
  </si>
  <si>
    <t>Impact Wrench - Air - 12mm</t>
  </si>
  <si>
    <t>IMPACTWRENCHAIR13MM</t>
  </si>
  <si>
    <t>Impact Wrench - Air - 13mm</t>
  </si>
  <si>
    <t>HOSEWHIPAIR</t>
  </si>
  <si>
    <t>IMPACTWRENCHAIR38MM</t>
  </si>
  <si>
    <t>Impact Wrench - Air - 38mm</t>
  </si>
  <si>
    <t>BREAKERSMALL240V</t>
  </si>
  <si>
    <t>Breaker - Electric – Small - 0 to 7.9kg</t>
  </si>
  <si>
    <t>REINFORCEDDUCTING300MM</t>
  </si>
  <si>
    <t>HOSEAIRTA13MM1/2</t>
  </si>
  <si>
    <t>LEADEXT240V15AMP</t>
  </si>
  <si>
    <t>HOSEAIRTA25MM20M</t>
  </si>
  <si>
    <t>Hose - Air - Type A - 25mm - 20m</t>
  </si>
  <si>
    <t>WATERHOSE20MMX20MM</t>
  </si>
  <si>
    <t>Water Hose 20mm x 20M</t>
  </si>
  <si>
    <t>AIRHADMINANITTO</t>
  </si>
  <si>
    <t>HOSEAIR13MM(MINSUPCPG)</t>
  </si>
  <si>
    <t>Hose - Air - Minsup Cpg 13mm</t>
  </si>
  <si>
    <t>GRINDERANGLE125MME</t>
  </si>
  <si>
    <t>Grinder - Angle 125mm (240V)</t>
  </si>
  <si>
    <t>DISTBOARDLIFEGUARD4-10A</t>
  </si>
  <si>
    <t>EXHAUSTFAN240V300MM</t>
  </si>
  <si>
    <t>IMPACTWCHCORDLESS19MM18V</t>
  </si>
  <si>
    <t>POWERSUPPLY3.6KWBAT</t>
  </si>
  <si>
    <t>Power Supply 3.6kW Battery</t>
  </si>
  <si>
    <t>GRINDERANGLEC125MMBAT</t>
  </si>
  <si>
    <t>DISTBOARDLIFEGUARD6-15A</t>
  </si>
  <si>
    <t>LEADEXT240V10AMP</t>
  </si>
  <si>
    <t>EARTHLEAKAGEBOX</t>
  </si>
  <si>
    <t>EARTHLEAKAGEBOX15AMP</t>
  </si>
  <si>
    <t>LIGHTTELELED5400LM1.65BAT</t>
  </si>
  <si>
    <t>IMPACTWRENCH25MMBAT</t>
  </si>
  <si>
    <t>BATCORDMIL18V6AH</t>
  </si>
  <si>
    <t>Battery - Cordless - Milwaukee 18V 6AH</t>
  </si>
  <si>
    <t>VACUUMCLEANER30L240V</t>
  </si>
  <si>
    <t>MAGNETICBASEDRILL38MMBAT</t>
  </si>
  <si>
    <t>LIGHTTELELED2500LMBAT</t>
  </si>
  <si>
    <t>DISTBOARDLIFEGUARD4-15A</t>
  </si>
  <si>
    <t>LIGHTLED500LBAT</t>
  </si>
  <si>
    <t>BATCORDMIL18V5AH</t>
  </si>
  <si>
    <t>Battery - Cordless - Milwaukee 18V 5AH</t>
  </si>
  <si>
    <t>LEADEXT10A20M</t>
  </si>
  <si>
    <t>LIGHTBATLED1800LM160MM32V</t>
  </si>
  <si>
    <t>Light Baton LED 1800lm (860mm) Electric 32V</t>
  </si>
  <si>
    <t>DRILLHAMMER13MMBAT</t>
  </si>
  <si>
    <t>Drill Hammer 13mm  Battery</t>
  </si>
  <si>
    <t>IMPACTWRENCH12.7MMBAT</t>
  </si>
  <si>
    <t>DRILLCORDLESS18V</t>
  </si>
  <si>
    <t>Drill - Cordless (18V) - Greener Choice</t>
  </si>
  <si>
    <t>SAWCIRC184MMBAT</t>
  </si>
  <si>
    <t>DISTBOARDLIFEGUARD6-10A</t>
  </si>
  <si>
    <t>MAGNETICBDRILLLOW36MM240V</t>
  </si>
  <si>
    <t>GRINDERDIEELECT</t>
  </si>
  <si>
    <t>GRINDERDIE18V</t>
  </si>
  <si>
    <t>Grinder Die  Battery 18v</t>
  </si>
  <si>
    <t>GRINDERANGLE175MME</t>
  </si>
  <si>
    <t>LIGHTSMITHINTSAFE</t>
  </si>
  <si>
    <t>GRINDERANGLE125MM</t>
  </si>
  <si>
    <t>Grinder - Angle 125mm/5inch (240V)</t>
  </si>
  <si>
    <t>SAWRECCORDLESS18V</t>
  </si>
  <si>
    <t>TRANSFORMER32V</t>
  </si>
  <si>
    <t>DRILLCORDLESSHAMMER12MM</t>
  </si>
  <si>
    <t>Drill Hammer 12mm Cordless</t>
  </si>
  <si>
    <t>FAN150MMBAT</t>
  </si>
  <si>
    <t>Fan - 150mm  Battery - Greener Choice</t>
  </si>
  <si>
    <t>JIGSAWBAT</t>
  </si>
  <si>
    <t>LIGHTMAGNETICLED1500LMBAT</t>
  </si>
  <si>
    <t>Light Magnetic LED 1500lm:  Battery</t>
  </si>
  <si>
    <t>LIGHTTELELED3000LMBAT</t>
  </si>
  <si>
    <t>Light Telescopic LED 3000lm (2.10m): Battery - Greener Choice</t>
  </si>
  <si>
    <t>SCREWGUNCORDLESS</t>
  </si>
  <si>
    <t>Screw Driver Cordless - Greener Choice</t>
  </si>
  <si>
    <t>BREAKERDRILLMEDIUM240V</t>
  </si>
  <si>
    <t>Breaker Drill - Electric – Medium - 5.6kg to 7.5kg</t>
  </si>
  <si>
    <t>SAWMETCUT355MM240V</t>
  </si>
  <si>
    <t>Saw Metal Cut Off 355mm Electric</t>
  </si>
  <si>
    <t>IMPACTWRENCHCORDLESS12MM</t>
  </si>
  <si>
    <t>Impact Wrench - Cordless - Greener Choice</t>
  </si>
  <si>
    <t>DRILLHAMMERSDSPLUSBAT</t>
  </si>
  <si>
    <t>GRINDERCORDLESS18V</t>
  </si>
  <si>
    <t>Grinder - Cordless 18V</t>
  </si>
  <si>
    <t>LIGHTLED4400LMBAT</t>
  </si>
  <si>
    <t>NIBBLER2MMBAT</t>
  </si>
  <si>
    <t>Nibbler 2mm Battery</t>
  </si>
  <si>
    <t>POPRIVETERBAT</t>
  </si>
  <si>
    <t>LIGHTFLUOROLEAD240V</t>
  </si>
  <si>
    <t>LIGHTFLUORO32V700MMELECT</t>
  </si>
  <si>
    <t>Fluoro Light 32V Electrical 700mm</t>
  </si>
  <si>
    <t>SAWCIRCULAR240V185MM</t>
  </si>
  <si>
    <t>Saw - Circular- 185mm - 240V</t>
  </si>
  <si>
    <t>SAWCIRCULAR240V235MM</t>
  </si>
  <si>
    <t>Saw - Circular- 235mm - 240V</t>
  </si>
  <si>
    <t>BATCORDMIL18V8AH</t>
  </si>
  <si>
    <t>Battery - Cordless - Milwaukee 18V 8AH</t>
  </si>
  <si>
    <t>DRILL13MMBAT</t>
  </si>
  <si>
    <t>Drill 13mm Battery</t>
  </si>
  <si>
    <t>LEADSTANDW/FILL</t>
  </si>
  <si>
    <t>IMPACTDRIVE6.35MMBAT</t>
  </si>
  <si>
    <t>Impact Driver 1/4in (6.35mm) Battery</t>
  </si>
  <si>
    <t>SAWSABRE240V</t>
  </si>
  <si>
    <t>Saw - Sabre (240V)</t>
  </si>
  <si>
    <t>SAWCIRC165MMBAT</t>
  </si>
  <si>
    <t>Saw Circular 165mm  Battery</t>
  </si>
  <si>
    <t>SHEARSCORDLESS</t>
  </si>
  <si>
    <t>Shears Metal – Cordless (18V) - Greener Choice</t>
  </si>
  <si>
    <t>BATCORDMIL18V12AH</t>
  </si>
  <si>
    <t>Battery - Cordless - Milwaukee 18V 12AH</t>
  </si>
  <si>
    <t>BATTPWERTOOL18V</t>
  </si>
  <si>
    <t>Battery - Power Tool 18V</t>
  </si>
  <si>
    <t>BATCHGEMILMXFUELSING</t>
  </si>
  <si>
    <t>Battery Charger - Milwaukee MX Fuel Single</t>
  </si>
  <si>
    <t>LEADEXT240V10AMPNEOPRENE</t>
  </si>
  <si>
    <t>Extension Lead -Neoprene 240V 10A</t>
  </si>
  <si>
    <t>Hydraulics- Hi Torque</t>
  </si>
  <si>
    <t>HYDCYL100TPC50MM</t>
  </si>
  <si>
    <t>Hydraulic Cylinder - Pancake Cylinder 100t/50mm Stroke</t>
  </si>
  <si>
    <t>HYDTORQUEWRACT2000</t>
  </si>
  <si>
    <t>Hydraulic Torque Wrench - Actuator - 2000ftlb</t>
  </si>
  <si>
    <t>HYDTORQUEWRACT4000</t>
  </si>
  <si>
    <t>Hydraulic Torque Wrench - Actuator - 4000ftlb</t>
  </si>
  <si>
    <t>HYDCYLPUMPSA240V</t>
  </si>
  <si>
    <t>HYDCYL45TLH60MM</t>
  </si>
  <si>
    <t>Hydraulic Cylinder - Low Height Cylinder 45t / 60mm Stroke</t>
  </si>
  <si>
    <t>HYDCYL90TFJ16MM</t>
  </si>
  <si>
    <t>Hydraulic Cylinder - Flat Jack Cylinder 90t/16mm Stroke</t>
  </si>
  <si>
    <t>HYDCYL90TLH57MM</t>
  </si>
  <si>
    <t>Hydraulic Cylinder - Low Height Cylinder 90t/57mm Stroke</t>
  </si>
  <si>
    <t>HYDCYLPUMPMANP80</t>
  </si>
  <si>
    <t>HYDCYLPUMPELECZU4408JE</t>
  </si>
  <si>
    <t>Hydraulic Cylinder Pump - Electric 240V - Zu4408je</t>
  </si>
  <si>
    <t>HYDTORQUEPUMPELEC</t>
  </si>
  <si>
    <t>HYDTORQPUMPELECTQ700E</t>
  </si>
  <si>
    <t>Hydraulic Torque Pump - Electric 240v - TQ700E</t>
  </si>
  <si>
    <t>HYDCYL30TFJ13MM</t>
  </si>
  <si>
    <t>Hydraulic Cylinder - Flat Jack Cylinder 30t/13mm Stroke</t>
  </si>
  <si>
    <t>HYDTORQUEWRCAS55MM2000</t>
  </si>
  <si>
    <t>Hydraulic Torque Wrench - Cassette - 55 - 56mm - 2000ftlb</t>
  </si>
  <si>
    <t>HYDTORQUEWRCAS70MM4000</t>
  </si>
  <si>
    <t>Hydraulic Torque Wrench - Cassette - 70mm - 4000ftlb</t>
  </si>
  <si>
    <t>HYDCYL25TGP</t>
  </si>
  <si>
    <t>Hydraulic Cylinder - General Purpose Cylinder 25t</t>
  </si>
  <si>
    <t>HYDCYL20TGP102MM</t>
  </si>
  <si>
    <t>HYDCYL20TLH45MM</t>
  </si>
  <si>
    <t>HYDTORQUEWRCAS46MM2000</t>
  </si>
  <si>
    <t>Hydraulic Torque Wrench - Cassette - 46mm - 2000ftlb</t>
  </si>
  <si>
    <t>HYDTORQUEWRCAS50MM2000</t>
  </si>
  <si>
    <t>Hydraulic Torque Wrench - Cassette - 50 - 51mm - 2000ftlb</t>
  </si>
  <si>
    <t>HYDTORQUEWRCAS32MM2000</t>
  </si>
  <si>
    <t>Hydraulic Torque Wrench - Cassette - 32mm - 2000ftlb</t>
  </si>
  <si>
    <t>HYDTORQUEWRCAS36MM2000</t>
  </si>
  <si>
    <t>Hydraulic Torque Wrench - Cassette - 36 - 37mm - 2000ftlb</t>
  </si>
  <si>
    <t>HYDTORQUEWRCAS41MM2000</t>
  </si>
  <si>
    <t>Hydraulic Torque Wrench - Cassette - 41mm - 2000ftlb</t>
  </si>
  <si>
    <t>HYDCYL10TGP105MM</t>
  </si>
  <si>
    <t>Hydraulic Cylinder - General Purpose Cylinder 10t/105mm Stroke</t>
  </si>
  <si>
    <t>TORQUEWRMAN3/4DR</t>
  </si>
  <si>
    <t>Torque Wrench - Manual - 19mm (3/4inch) Drive</t>
  </si>
  <si>
    <t>HYDCYL30TLH62MM</t>
  </si>
  <si>
    <t>TORQUEWRMAN250FTLB1/2DR</t>
  </si>
  <si>
    <t>Torque Wrench - Manual - 30 - 250ftlb - 1/2inch Drive</t>
  </si>
  <si>
    <t>TORQUE/TENSIONWRENCH12MM</t>
  </si>
  <si>
    <t>Torque/Tension Wrench - 12mm  - 1/2inch Drive</t>
  </si>
  <si>
    <t>HYDTORQUEWR1-1/2D6010</t>
  </si>
  <si>
    <t>Hydraulic Torque Wrench -  1 1/2" Square Drive - 6,010 ftlbs</t>
  </si>
  <si>
    <t>HYDTORQUEWR1D3300</t>
  </si>
  <si>
    <t>Hydraulic Torque Wrench - 1inch Square Drive - 3300ftlb</t>
  </si>
  <si>
    <t>HYDCYL10T</t>
  </si>
  <si>
    <t>HYDCYL10TGP</t>
  </si>
  <si>
    <t>HYDCYL10TGP203MM</t>
  </si>
  <si>
    <t>Hydraulic Cylinder - General Purpose Cylinder 10t/203mm Stroke</t>
  </si>
  <si>
    <t>HYDCYL10TGP257MM</t>
  </si>
  <si>
    <t>Hydraulic Cylinder - General Purpose Cylinder 10t/257mm Stroke</t>
  </si>
  <si>
    <t>HYDCYL10TLH38MM</t>
  </si>
  <si>
    <t>Hydraulic Cylinder - Low Height Cylinder 10t/38mm Stroke</t>
  </si>
  <si>
    <t>HYDCYL20T</t>
  </si>
  <si>
    <t>Hydraulic Cylinder - 20t</t>
  </si>
  <si>
    <t>HYDCYL20TLH</t>
  </si>
  <si>
    <t>HYDWEDGE0.75T</t>
  </si>
  <si>
    <t>Hydraulic Wedge Cylinder 0.75t</t>
  </si>
  <si>
    <t>TORQUEWRMAN3/4-1DR</t>
  </si>
  <si>
    <t>Torque Wrench - Manual - 500 - 1000ftlb - 1inch Drive</t>
  </si>
  <si>
    <t>HOSESHYDRAULIC</t>
  </si>
  <si>
    <t>HYDTORQUEHOSE</t>
  </si>
  <si>
    <t>Hydraulic Torque Hose Set - 6M x 10000 PSI</t>
  </si>
  <si>
    <t>VALVEV66</t>
  </si>
  <si>
    <t>Load Holding Valve – V66</t>
  </si>
  <si>
    <t>Laydown</t>
  </si>
  <si>
    <t>SAFETYSTEP</t>
  </si>
  <si>
    <t>LADDERPLATFORMGLASS0.86M</t>
  </si>
  <si>
    <t>Ladder - Platform Step Fibreglass 0.86M</t>
  </si>
  <si>
    <t>WHEELBARROWHD</t>
  </si>
  <si>
    <t>SITESTORAGEBOX1.2M</t>
  </si>
  <si>
    <t>Site Storage Box - 1.2M (1200mm x 750mm x 850mm)</t>
  </si>
  <si>
    <t>LADDERPLATFORMGLASS1.2M</t>
  </si>
  <si>
    <t>LADDERSTEPFGLASS1.8M(6)</t>
  </si>
  <si>
    <t>Ladder - Step Fibreglass 1.8M</t>
  </si>
  <si>
    <t>LEADSTANDMAG</t>
  </si>
  <si>
    <t>RADIOCOVER</t>
  </si>
  <si>
    <t>Radio Cover</t>
  </si>
  <si>
    <t>CABLEHOOKPMAG</t>
  </si>
  <si>
    <t>Cable Hook - Plastic - Magnetic</t>
  </si>
  <si>
    <t>CUMALONG6.3T</t>
  </si>
  <si>
    <t>Cumalong 6.3t (1.5m)</t>
  </si>
  <si>
    <t>CUMALONG1.6TX1.5M</t>
  </si>
  <si>
    <t>Cumalong - 1.6T x 1.5M</t>
  </si>
  <si>
    <t>CUMALONG0.80TX1.5M</t>
  </si>
  <si>
    <t>CUMALONG3T</t>
  </si>
  <si>
    <t>Cumalong - 3.0t</t>
  </si>
  <si>
    <t>CHAINBLOCKMAN1T6M</t>
  </si>
  <si>
    <t>CHAINBLOCKAIR6T15M</t>
  </si>
  <si>
    <t>CHAINBLOCKMAN1T3M</t>
  </si>
  <si>
    <t>LANYARDTWINRETRACT2M</t>
  </si>
  <si>
    <t>CUMALONG1.5T</t>
  </si>
  <si>
    <t>SAFETYLANYARDTWIN</t>
  </si>
  <si>
    <t>SAFEHARNESSCS</t>
  </si>
  <si>
    <t>CUMALONG3TX1.5M</t>
  </si>
  <si>
    <t>Cumalong - 3t x 1.5M</t>
  </si>
  <si>
    <t>CHAINBLOCKMAN2T6M</t>
  </si>
  <si>
    <t>CHAINBLOCKAIR1T10M</t>
  </si>
  <si>
    <t>Chain Block - Air Operated - 2t</t>
  </si>
  <si>
    <t>CHAINBLOCKMAN10T6M</t>
  </si>
  <si>
    <t>Chain Block - Manual - 10.0t/6M Drop</t>
  </si>
  <si>
    <t>CUMALONG0.75T</t>
  </si>
  <si>
    <t>Cumalong - 0.75t</t>
  </si>
  <si>
    <t>CUMALONG3.2TX1.5M</t>
  </si>
  <si>
    <t>Cumalong - 3.2t x 1.5M</t>
  </si>
  <si>
    <t>CHAINBLOCKMAN5T6M</t>
  </si>
  <si>
    <t>CHAINBLOCKMAN3T3M</t>
  </si>
  <si>
    <t>CUMALONG6T</t>
  </si>
  <si>
    <t>Cumalong - 6.0t</t>
  </si>
  <si>
    <t>TIRFORWINCH3.2T</t>
  </si>
  <si>
    <t>Tirfor Winch - 3.2t</t>
  </si>
  <si>
    <t>GIRDERCLAMP1T</t>
  </si>
  <si>
    <t>Girder Clamp - 1t</t>
  </si>
  <si>
    <t>ROPELANSINGTAIL</t>
  </si>
  <si>
    <t>CHAINBLOCKAIR2T10M</t>
  </si>
  <si>
    <t>CHAINBLOCKMAN5T3M</t>
  </si>
  <si>
    <t>Chain Block - Manual - 5.0t/3M Drop</t>
  </si>
  <si>
    <t>GIRDERTROLLEY3T</t>
  </si>
  <si>
    <t>Girder Trolley - 3t</t>
  </si>
  <si>
    <t>SAFETYANCHORSTRAP</t>
  </si>
  <si>
    <t>LANYARDRETRACTABLE</t>
  </si>
  <si>
    <t>GIRDERTROLLEY1T</t>
  </si>
  <si>
    <t>Girder Trolley - 1t</t>
  </si>
  <si>
    <t>CUMALONG0.5T</t>
  </si>
  <si>
    <t>Cumalong - 0.5t</t>
  </si>
  <si>
    <t>CHAINBLOCKMAN3T6M</t>
  </si>
  <si>
    <t>LIFTBAG45KG</t>
  </si>
  <si>
    <t>GIRDERCLAMP1T75-220MM</t>
  </si>
  <si>
    <t>Girder Clamp - 1t - 75 - 220mm</t>
  </si>
  <si>
    <t>GIRDERTROLLEY2T</t>
  </si>
  <si>
    <t>SAFETYLANYARD2M</t>
  </si>
  <si>
    <t>Safety Lanyard - 2m</t>
  </si>
  <si>
    <t>BULLBAGGRIPPS113KG</t>
  </si>
  <si>
    <t>Bull Bag - Gripps - 113kg</t>
  </si>
  <si>
    <t>BOWSHACKLEALLOY1T</t>
  </si>
  <si>
    <t>Bow - Shackle - Alloy - 1t</t>
  </si>
  <si>
    <t>BOWSHACKLEALLOY2T</t>
  </si>
  <si>
    <t>Bow - Shackle - Alloy - 2t</t>
  </si>
  <si>
    <t>SLINGROUND1T1M</t>
  </si>
  <si>
    <t>Sling Round - 1t - 1M</t>
  </si>
  <si>
    <t>SLINGROUND2T1M</t>
  </si>
  <si>
    <t>Sling Round - 2t - 1M</t>
  </si>
  <si>
    <t>SLINGROUND2T(0.5M)</t>
  </si>
  <si>
    <t>Sling-Round 2t (0.5m)</t>
  </si>
  <si>
    <t>BOWSHACKAL3.25T</t>
  </si>
  <si>
    <t>Bow Shackle - Alloy 3.25t</t>
  </si>
  <si>
    <t>SLINGROUND1T1.5M</t>
  </si>
  <si>
    <t>Sling Round - 1t - 1.5M</t>
  </si>
  <si>
    <t>SLINGROUND1T2M</t>
  </si>
  <si>
    <t>Sling Round - 1t - 2M</t>
  </si>
  <si>
    <t>BOWSHACKLEALLOY4T</t>
  </si>
  <si>
    <t>Bow - Shackle - Alloy - 4t</t>
  </si>
  <si>
    <t>Tooling</t>
  </si>
  <si>
    <t>TOOLLANYSWL7KGTEC</t>
  </si>
  <si>
    <t>PIPECLAMP254TO915MMSS</t>
  </si>
  <si>
    <t>Pipe Clamp Stainless - 254mm - 915mm - Dearmon</t>
  </si>
  <si>
    <t>TOOLLANYBUNSWL2.5KGTEC</t>
  </si>
  <si>
    <t>Tool Lanyard Bungee Swl2.5Kg Technique</t>
  </si>
  <si>
    <t>DRILLBITSETHP</t>
  </si>
  <si>
    <t>SPIRITLEVEL600MM(ELEC)</t>
  </si>
  <si>
    <t>SCREWDRIVERSQUARE</t>
  </si>
  <si>
    <t>SPANNERCOM1</t>
  </si>
  <si>
    <t>SPANNERCOM1/2</t>
  </si>
  <si>
    <t>Spanner - Combo 1/2</t>
  </si>
  <si>
    <t>SCREWDRIVERPHILIPSHEAD</t>
  </si>
  <si>
    <t>Screwdriver - Phillips Head</t>
  </si>
  <si>
    <t>SPANNERCOM3/8</t>
  </si>
  <si>
    <t>Spanner - Combo 3/8</t>
  </si>
  <si>
    <t>SPANNERCOM7/16</t>
  </si>
  <si>
    <t>Spanner - Combo 7/16</t>
  </si>
  <si>
    <t>SPANNERCOM9/16</t>
  </si>
  <si>
    <t>Spanner - Combo 9/16</t>
  </si>
  <si>
    <t>SAFETYHOOKFLOGG</t>
  </si>
  <si>
    <t>SPANNERCOM15/16</t>
  </si>
  <si>
    <t>TAPEMEASURE8M</t>
  </si>
  <si>
    <t>Tape Measure - 8M</t>
  </si>
  <si>
    <t>SPANNERCOM11/16</t>
  </si>
  <si>
    <t>SPANNERCOM13/16</t>
  </si>
  <si>
    <t>SPANNERCOM3/4</t>
  </si>
  <si>
    <t>SPANNERCOMBO-22MM</t>
  </si>
  <si>
    <t>SPANNERCOM5/8</t>
  </si>
  <si>
    <t>Spanner - Combo - Flat - 5/8</t>
  </si>
  <si>
    <t>DRILLSETCOBALT</t>
  </si>
  <si>
    <t>Drill Set - Cobalt</t>
  </si>
  <si>
    <t>HAMMERCHIPPINGSOLIDSTEEL</t>
  </si>
  <si>
    <t>SPANNERCOMBO-27MM</t>
  </si>
  <si>
    <t>SPANNERCOMBO-32MM</t>
  </si>
  <si>
    <t>SPANNERCOM1-1/4</t>
  </si>
  <si>
    <t>SPANNERSHIFTER150MM6IN</t>
  </si>
  <si>
    <t>Spanner - Shifter - 150mm (6in)</t>
  </si>
  <si>
    <t>DRIFTPINBARREL22MM</t>
  </si>
  <si>
    <t>Drift Pin - Barrel - 22mm</t>
  </si>
  <si>
    <t>PLIERSLONGNOSE</t>
  </si>
  <si>
    <t>Pliers - Long Nose</t>
  </si>
  <si>
    <t>SOCKET1/2INDR20MM</t>
  </si>
  <si>
    <t>Socket - Impact - 1/2in Drive 20mm</t>
  </si>
  <si>
    <t>SPANNERCOM1-1/8</t>
  </si>
  <si>
    <t>SPANNERCOM2</t>
  </si>
  <si>
    <t>SPANNERSHIFTER200MM8IN</t>
  </si>
  <si>
    <t>ALLENKEYSETMET</t>
  </si>
  <si>
    <t>FEELERGUAGEMET100MM</t>
  </si>
  <si>
    <t>HAMMERSSLEDGE10LB</t>
  </si>
  <si>
    <t>PLIERSCOMBINATION200</t>
  </si>
  <si>
    <t>PLIERSMULTIGRIP</t>
  </si>
  <si>
    <t>Pliers - Multi Grip</t>
  </si>
  <si>
    <t>PLIERSVICEGRIP</t>
  </si>
  <si>
    <t>SOCKET1/2DR24MM</t>
  </si>
  <si>
    <t>SOCKET1/2DR26MM</t>
  </si>
  <si>
    <t>Socket -   1/2inch Drive - Metric - 26mm</t>
  </si>
  <si>
    <t>SOCKETIMP1/2-DR1--3/16</t>
  </si>
  <si>
    <t>Socket - Impact - 1 3/16in 1/2in Drive</t>
  </si>
  <si>
    <t>SOCKETIMP3/4DR32MMD</t>
  </si>
  <si>
    <t>SOCKETIMPL-1/2-DR32MM</t>
  </si>
  <si>
    <t>SOCKETRATCHETBAR1/2DR</t>
  </si>
  <si>
    <t>SOCKETIMPADAPT1/2-3/4DR</t>
  </si>
  <si>
    <t>SPANNERCOMBO30MM</t>
  </si>
  <si>
    <t>SPANNERCOM1-1/16</t>
  </si>
  <si>
    <t>SPANNERCOM1-1/2</t>
  </si>
  <si>
    <t>STEELRULE300MM</t>
  </si>
  <si>
    <t>DRIFTPINBARREL19MM</t>
  </si>
  <si>
    <t>Drift Pin - Barrel - 19mm</t>
  </si>
  <si>
    <t>HAMMERBALLPEIN320Z</t>
  </si>
  <si>
    <t>Hammer - Ball Pein - 32 Oz</t>
  </si>
  <si>
    <t>MIRRORINSPECTION</t>
  </si>
  <si>
    <t>Mirror - Inspection</t>
  </si>
  <si>
    <t>SOCKET1/2DR19MM</t>
  </si>
  <si>
    <t>Socket -   1/2inch Drive - Metric - 19mm</t>
  </si>
  <si>
    <t>SOCKET1/2DR22MM</t>
  </si>
  <si>
    <t>Socket -   1/2inch Drive - Metric - 22mm</t>
  </si>
  <si>
    <t>SOCKETIMP1/2-DR1--5/16</t>
  </si>
  <si>
    <t>Socket - Impact - 1 5/16in 1/2in Drive</t>
  </si>
  <si>
    <t>SOCKETIMP3/4DR1D</t>
  </si>
  <si>
    <t>Socket - Impact - 1in 3/4in Drive</t>
  </si>
  <si>
    <t>SOCKET1/2DR25MM</t>
  </si>
  <si>
    <t>Socket - Impact - 25mm 1/2in Drive</t>
  </si>
  <si>
    <t>SOCKETIMP3/4DR36MMD</t>
  </si>
  <si>
    <t>Socket - Impact - 36mm 3/4in Drive</t>
  </si>
  <si>
    <t>SOCKETIMPLONG24MM3/4INDR</t>
  </si>
  <si>
    <t>SOCKETIMPLONG30MM3/4INDR</t>
  </si>
  <si>
    <t>SOCKETIMPADAPT3/4-1DR</t>
  </si>
  <si>
    <t>Socket - Imperial Adaptor - 3/4inch - 1inch Drive</t>
  </si>
  <si>
    <t>SOCKETUNIJOINTS3/4INDR</t>
  </si>
  <si>
    <t>Socket - Universal Joint 3/4in Drive</t>
  </si>
  <si>
    <t>SOCKETTORQUE26MM3/4DR</t>
  </si>
  <si>
    <t>Socket -Torque 26mm 3/4in Drive</t>
  </si>
  <si>
    <t>SOCKETUNIJOINTS1/2INDR</t>
  </si>
  <si>
    <t>SPANNERCOMBO-36MM</t>
  </si>
  <si>
    <t>SPANNERCOMBO-41MM</t>
  </si>
  <si>
    <t>SPANNERCOM1-13/16</t>
  </si>
  <si>
    <t>SPANNERCOM1-7/16</t>
  </si>
  <si>
    <t>SPANNERCOMBO-16MM</t>
  </si>
  <si>
    <t>SPANNERCOMBO-21MM</t>
  </si>
  <si>
    <t>Spanner - Combo 21mm</t>
  </si>
  <si>
    <t>SPANNERSHIFTER450MM18IN</t>
  </si>
  <si>
    <t>Spanner - Shifter - 450mm (18in)</t>
  </si>
  <si>
    <t>COLDCHISEL</t>
  </si>
  <si>
    <t>Cold Chisel</t>
  </si>
  <si>
    <t>DRIFTBOILMAKE16/153MM</t>
  </si>
  <si>
    <t>Drift Pin - Barrel - 16mm</t>
  </si>
  <si>
    <t>HACKSAW300MM</t>
  </si>
  <si>
    <t>SOCKETIMP3/4DR1-1/2D</t>
  </si>
  <si>
    <t>Socket - Impact - 1 1/2in 3/4in Drive</t>
  </si>
  <si>
    <t>SOCKETIMP3/4DR1-3/8D</t>
  </si>
  <si>
    <t>Socket - Impact - 1 3/8in 3/4in Drive</t>
  </si>
  <si>
    <t>SOCKETIMP3/4DR1-5/16D</t>
  </si>
  <si>
    <t>Socket - Impact - 1 5/16in 3/4in Drive</t>
  </si>
  <si>
    <t>SOCKETIMP3/4DR27MMD</t>
  </si>
  <si>
    <t>Socket - Impact - 27mm 3/4in Drive</t>
  </si>
  <si>
    <t>SOCKETIMP3/4INDR24MM</t>
  </si>
  <si>
    <t>Socket - Impact - 3/4in Drive 24mm</t>
  </si>
  <si>
    <t>SOCKETIMPL-1/2-DR27MM</t>
  </si>
  <si>
    <t>SOCKETIMPL-3/4-DR32MM</t>
  </si>
  <si>
    <t>Socket - Impact - Long 32mm 3/4in Drive</t>
  </si>
  <si>
    <t>SOCKETINHEXT22MM1/2</t>
  </si>
  <si>
    <t>Socket - Inhex - 17mm - 1/2inch Drive</t>
  </si>
  <si>
    <t>SOCKETTORQUE3/4D15/8</t>
  </si>
  <si>
    <t>Socket - Torque 15/8in 3/4in Drive</t>
  </si>
  <si>
    <t>SOCKSET1/2DMET</t>
  </si>
  <si>
    <t>SPANNERCOM1-11/16</t>
  </si>
  <si>
    <t>SPANNERCOM1-3/16</t>
  </si>
  <si>
    <t>SPANNERCOM1-3/4</t>
  </si>
  <si>
    <t>SPANNERCOM1-5/8</t>
  </si>
  <si>
    <t>SPANNERCOMBO-12MM</t>
  </si>
  <si>
    <t>Spanner - Combo 12mm</t>
  </si>
  <si>
    <t>SPANNERCOM2-1/4</t>
  </si>
  <si>
    <t>SPANNERCOMBO-24MM</t>
  </si>
  <si>
    <t>SPANNERCOM7/8</t>
  </si>
  <si>
    <t>Spanner - Combo 7/8</t>
  </si>
  <si>
    <t>SPANNERCOMBO-8MM</t>
  </si>
  <si>
    <t>Spanner - Combo 8mm</t>
  </si>
  <si>
    <t>SPANNERPODGERRAT27MM32MM</t>
  </si>
  <si>
    <t>SPANNERPODGERRAT32MM36MM</t>
  </si>
  <si>
    <t>SPANNERSHIFTER300MM12IN</t>
  </si>
  <si>
    <t>PLIERSCIRCLIPINT</t>
  </si>
  <si>
    <t>Pliers - Circlip internal</t>
  </si>
  <si>
    <t>QUICKCLAMP600MM</t>
  </si>
  <si>
    <t>SCREWDRIVERSET</t>
  </si>
  <si>
    <t>SNIPSMETALLEFTHAND</t>
  </si>
  <si>
    <t>SOCKET1/2DR21MM</t>
  </si>
  <si>
    <t>Socket -   1/2inch Drive - Metric - 21mm</t>
  </si>
  <si>
    <t>SOCKET3/4DR46MM</t>
  </si>
  <si>
    <t>Socket - 3/4in Drive - Imperial - 1 13/16in</t>
  </si>
  <si>
    <t>SOCKETIMP3/4DR1-1/8D</t>
  </si>
  <si>
    <t>Socket - Impact - 1 1/8in 3/4in Drive</t>
  </si>
  <si>
    <t>SOCKETIMP3/4DR1-7/16D</t>
  </si>
  <si>
    <t>Socket - Impact - 1 7/16in 3/4in Drive</t>
  </si>
  <si>
    <t>SOCKET1/2INDR30MM</t>
  </si>
  <si>
    <t>Socket - Impact - 1/2in Drive 30mm</t>
  </si>
  <si>
    <t>SOCKETIMPL-1/2-DR13MM</t>
  </si>
  <si>
    <t>Socket - Impact - Long 13mm 1/2in Drive</t>
  </si>
  <si>
    <t>SOCKETIMPADAPT3/4-1/2DR</t>
  </si>
  <si>
    <t>SOCKEXTN3/4D150MM</t>
  </si>
  <si>
    <t>Socket Extension - 3/4in Drive - 150mm</t>
  </si>
  <si>
    <t>SOCKETTBARHANDLE3/4DR</t>
  </si>
  <si>
    <t>Socket T Bar Handle - 3/4in Drive</t>
  </si>
  <si>
    <t>SPANNERCOMBO10MM</t>
  </si>
  <si>
    <t>Spanner - Combo (10mm)</t>
  </si>
  <si>
    <t>SPANNERCOMBO-25MM</t>
  </si>
  <si>
    <t>Spanner - Combo (25mm)</t>
  </si>
  <si>
    <t>SPANNERCOMBO-38MM</t>
  </si>
  <si>
    <t>SPANNERCOMBO-46MM</t>
  </si>
  <si>
    <t>SPANNERCOM1-3/8</t>
  </si>
  <si>
    <t>SPANNERCOM1-5/16</t>
  </si>
  <si>
    <t>SPANNERCOMBO-17MM</t>
  </si>
  <si>
    <t>SPANNERCOMBO-18MM</t>
  </si>
  <si>
    <t>SPANNERCOMBO-19MM</t>
  </si>
  <si>
    <t>SPANNERFLOG46MM</t>
  </si>
  <si>
    <t>BREAKERBAR1/2D</t>
  </si>
  <si>
    <t>Breaker Bar 1/2in Drive</t>
  </si>
  <si>
    <t>COMBINATIONSQUARE</t>
  </si>
  <si>
    <t>CROWBARSM</t>
  </si>
  <si>
    <t>FRAMESQUAREALUM400X600</t>
  </si>
  <si>
    <t>Framing Square - Aluminium - 400mm x 600mm</t>
  </si>
  <si>
    <t>HAMMERDEADBLOWLARGE</t>
  </si>
  <si>
    <t>HAMMERSLEDGE14LB</t>
  </si>
  <si>
    <t>HAMMERSLEDGE8LB</t>
  </si>
  <si>
    <t>PINCHBAR</t>
  </si>
  <si>
    <t>Pinch Bar</t>
  </si>
  <si>
    <t>PLIERSCIRCLIPEXT</t>
  </si>
  <si>
    <t>Pliers - Circlip - External</t>
  </si>
  <si>
    <t>PLIERSCRIMPING</t>
  </si>
  <si>
    <t>Pliers - Crimping</t>
  </si>
  <si>
    <t>PLIERSLOCKWIRETWIST230MM</t>
  </si>
  <si>
    <t>Pliers - Lockwire Twisting - 230mm</t>
  </si>
  <si>
    <t>PLIERSSIDECUTTING200MM</t>
  </si>
  <si>
    <t>Pliers - Side Cutting 200mm</t>
  </si>
  <si>
    <t>SPANNERPODGERBAR16M450MM</t>
  </si>
  <si>
    <t>Podge Bar - 16mm (450mm)</t>
  </si>
  <si>
    <t>QUICKCLAMP500MM</t>
  </si>
  <si>
    <t>Quickclamp - 500mm</t>
  </si>
  <si>
    <t>SCREWDRIVERINSULFLAT</t>
  </si>
  <si>
    <t>Screwdriver - insulated - Flat</t>
  </si>
  <si>
    <t>SOCKET1/2DR11MM</t>
  </si>
  <si>
    <t>Socket -   1/2inch Drive - Metric - 11mm</t>
  </si>
  <si>
    <t>SOCKET1/2DR12MM</t>
  </si>
  <si>
    <t>Socket -   1/2inch Drive - Metric - 12mm</t>
  </si>
  <si>
    <t>SOCKET1/2DR14MM</t>
  </si>
  <si>
    <t>Socket -   1/2inch Drive - Metric - 14mm</t>
  </si>
  <si>
    <t>SOCKET1/2DR15MM</t>
  </si>
  <si>
    <t>Socket -   1/2inch Drive - Metric - 15mm</t>
  </si>
  <si>
    <t>SOCKET1/2DR16MM</t>
  </si>
  <si>
    <t>Socket -   1/2inch Drive - Metric - 16mm</t>
  </si>
  <si>
    <t>SOCKET1/2DR17MM</t>
  </si>
  <si>
    <t>Socket -   1/2inch Drive - Metric - 17mm</t>
  </si>
  <si>
    <t>SOCKET1/2DR23MM</t>
  </si>
  <si>
    <t>Socket -   1/2inch Drive - Metric - 23mm</t>
  </si>
  <si>
    <t>SOCKET1/2DR31MM</t>
  </si>
  <si>
    <t>Socket -   1/2inch Drive - Metric - 31mm</t>
  </si>
  <si>
    <t>SOCKET1/2DR33MM</t>
  </si>
  <si>
    <t>Socket -   1/2inch Drive - Metric - 33mm</t>
  </si>
  <si>
    <t>SOCKET1/2DR34MM</t>
  </si>
  <si>
    <t>Socket -   1/2inch Drive - Metric - 34mm</t>
  </si>
  <si>
    <t>SOCKET3/4DR26MM</t>
  </si>
  <si>
    <t>Socket -   3/4inch Drive - Metric - 26mm</t>
  </si>
  <si>
    <t>SOCKETIMP3/4DR1-1/16</t>
  </si>
  <si>
    <t>Socket - Impact -   3/4inch Drive - Imperial - 1 1/16inch</t>
  </si>
  <si>
    <t>SOCKETIMP1/2-DR1--1/16</t>
  </si>
  <si>
    <t>Socket - Impact - 1 1/16in 1/2in Drive</t>
  </si>
  <si>
    <t>SOCKETIMP3/4DR1-1/4</t>
  </si>
  <si>
    <t>Socket - Impact - 1 1/4in 3/4in Drive</t>
  </si>
  <si>
    <t>SOCKETIMP1/2-DR1--1/8</t>
  </si>
  <si>
    <t>Socket - Impact - 1 1/8in 1/2in Drive</t>
  </si>
  <si>
    <t>SOCKETIMP1DR1-3/16</t>
  </si>
  <si>
    <t>Socket - Impact - 1 3/16in 1in Drive</t>
  </si>
  <si>
    <t>SOCKETIMP1/2-DR1--3/8</t>
  </si>
  <si>
    <t>Socket - Impact - 1 3/8in 1/2in Drive</t>
  </si>
  <si>
    <t>SOCKETIMP1/2-DR1-7/16</t>
  </si>
  <si>
    <t>Socket - Impact - 1-7/16in 1/2in Drive</t>
  </si>
  <si>
    <t>SOCKET1/2INDR10MM</t>
  </si>
  <si>
    <t>Socket - Impact - 1/2in Drive 10mm</t>
  </si>
  <si>
    <t>SOCKETIMP1/2-DR11/16</t>
  </si>
  <si>
    <t>Socket - Impact - 11/16in 1/2in Drive</t>
  </si>
  <si>
    <t>SOCKETIMP1/2-DR13/16</t>
  </si>
  <si>
    <t>Socket - Impact - 13/16in 1/2in Drive</t>
  </si>
  <si>
    <t>SOCKETIMP3/4-DR13/16</t>
  </si>
  <si>
    <t>Socket - Impact - 13/16in 3/4in Drive</t>
  </si>
  <si>
    <t>SOCKETIMP1/2DR1</t>
  </si>
  <si>
    <t>Socket - Impact - 1in 1/2in Drive</t>
  </si>
  <si>
    <t>SOCKETIMP3/4-DR21/8</t>
  </si>
  <si>
    <t>Socket - Impact - 21/8in 3/4in Drive</t>
  </si>
  <si>
    <t>SOCKETIMP3/4DR2</t>
  </si>
  <si>
    <t>Socket - Impact - 2in 3/4in Drive</t>
  </si>
  <si>
    <t>SOCKETIMP1/2-DR3/4</t>
  </si>
  <si>
    <t>Socket - Impact - 3/4in 1/2in Drive</t>
  </si>
  <si>
    <t>SOCKETIMP1/2-DR5/8</t>
  </si>
  <si>
    <t>Socket - Impact - 5/8in 1/2in Drive</t>
  </si>
  <si>
    <t>SOCKETIMP1/2-DR7/8</t>
  </si>
  <si>
    <t>Socket - Impact - 7/8in 1/2in Drive</t>
  </si>
  <si>
    <t>SOCKETIMPEXT1/2DR150</t>
  </si>
  <si>
    <t>SOCKETIMPLG-3/4-DR1-1/16</t>
  </si>
  <si>
    <t>Socket - Impact - Long 1-1/16-3/4in Drive</t>
  </si>
  <si>
    <t>SOCKETIMPLG-1/2-DR1-1/4</t>
  </si>
  <si>
    <t>Socket - Impact - Long 1-1/4-1/2in Drive</t>
  </si>
  <si>
    <t>SOCKETIMPLG1-1/4IN3/4IND</t>
  </si>
  <si>
    <t>Socket - Impact - Long 1-1/4in 3/4in Drive</t>
  </si>
  <si>
    <t>SOCKETIMPL-3/4-DR38MM</t>
  </si>
  <si>
    <t>SOCKETIMPL-3/4-DR41MM</t>
  </si>
  <si>
    <t>SOCKETIMPL-3/4-DR46MM</t>
  </si>
  <si>
    <t>Socket - Impact - Long 46mm 3/4in Drive</t>
  </si>
  <si>
    <t>SOCKETIMPEXT3/4DR330MM</t>
  </si>
  <si>
    <t>Socket - Impact -Extension - 3/4in - Drive - 330mm</t>
  </si>
  <si>
    <t>SOCKETIMPADAPT1-3/4DR</t>
  </si>
  <si>
    <t>Socket - Imperial Adaptor - 1in - 3/4in Drive</t>
  </si>
  <si>
    <t>SOCKETTORQUE25MM3/4DR</t>
  </si>
  <si>
    <t>Socket -Torque 25mm 3/4in Drive</t>
  </si>
  <si>
    <t>SPANNERCOMBO20MM</t>
  </si>
  <si>
    <t>SPANNERCOMBO60MM</t>
  </si>
  <si>
    <t>SPANNERCOM1-7/8</t>
  </si>
  <si>
    <t>SPANNERCOM2-13/16</t>
  </si>
  <si>
    <t>SPANNERCOMBO-28MM</t>
  </si>
  <si>
    <t>Spanner - Combo 28mm</t>
  </si>
  <si>
    <t>SPANNERFLOG1-3/16</t>
  </si>
  <si>
    <t>Spanner - Flogging - 1 3/16inch</t>
  </si>
  <si>
    <t>SPANNERFLOG1-5/8</t>
  </si>
  <si>
    <t>Spanner - Flogging - 1 5/8inch</t>
  </si>
  <si>
    <t>SPANNERFLOG1-7/8</t>
  </si>
  <si>
    <t>Spanner - Flogging - 1 7/8inch</t>
  </si>
  <si>
    <t>SPANNERFLOG32MM</t>
  </si>
  <si>
    <t>SPANNERFLOG41MM</t>
  </si>
  <si>
    <t>SPANNERFLOG1-3/8</t>
  </si>
  <si>
    <t>Spanner - Flogging - Offset 1 3/8in</t>
  </si>
  <si>
    <t>SPANNERFLOG1-9/16</t>
  </si>
  <si>
    <t>Spanner Flogging 1 9/16in</t>
  </si>
  <si>
    <t>SPANNERFLOG2</t>
  </si>
  <si>
    <t>Spanner Flogging 2in</t>
  </si>
  <si>
    <t>SPIRITLEVEL200MM</t>
  </si>
  <si>
    <t>Spirit Level 200mm</t>
  </si>
  <si>
    <t>SPIRITLEVEL900MM</t>
  </si>
  <si>
    <t>Spirit Level 900mm</t>
  </si>
  <si>
    <t>STILSEN900MM</t>
  </si>
  <si>
    <t>WADPUNCHSET14-19MM</t>
  </si>
  <si>
    <t>CENTREPUNCHSET</t>
  </si>
  <si>
    <t>DIALINDICATOR-(0-25-0)</t>
  </si>
  <si>
    <t>Dial indicator (0-25-0)</t>
  </si>
  <si>
    <t>DRIFTPINBARREL1</t>
  </si>
  <si>
    <t>Drift Pin - Barrel - 1in</t>
  </si>
  <si>
    <t>DRIFTPINBARREL33MM</t>
  </si>
  <si>
    <t>Drift Pin - Barrel - 33mm</t>
  </si>
  <si>
    <t>GCLAMP150MM</t>
  </si>
  <si>
    <t>GCLAMP300MM</t>
  </si>
  <si>
    <t>HAMMERCLAW20OZ</t>
  </si>
  <si>
    <t>HAMMERDEADBLOWSMALL</t>
  </si>
  <si>
    <t>PLIERSWIRESTRIPPING</t>
  </si>
  <si>
    <t>Pliers - Wire Strippers</t>
  </si>
  <si>
    <t>QUICKCLAMP300MM</t>
  </si>
  <si>
    <t>SASHCLAMP400MM</t>
  </si>
  <si>
    <t>Sash Clamp 400mm</t>
  </si>
  <si>
    <t>SNIPSMETALRIGHTHAND</t>
  </si>
  <si>
    <t>Snips - Right Hand</t>
  </si>
  <si>
    <t>SOCKET1/2DR18MM</t>
  </si>
  <si>
    <t>Socket -   1/2inch Drive - Metric - 18mm</t>
  </si>
  <si>
    <t>SOCKET1/2DR29MM</t>
  </si>
  <si>
    <t>Socket -   1/2inch Drive - Metric - 29mm</t>
  </si>
  <si>
    <t>SOCKET3/4DR34MM</t>
  </si>
  <si>
    <t>Socket -   3/4inch Drive - Metric - 34mm</t>
  </si>
  <si>
    <t>SOCKET3/4DR44MM</t>
  </si>
  <si>
    <t>Socket -   3/4inch Drive - Metric - 44mm</t>
  </si>
  <si>
    <t>SOCKET3/4DR55MM</t>
  </si>
  <si>
    <t>Socket -   3/4inch Drive - Metric - 55mm</t>
  </si>
  <si>
    <t>SOCKET1DR65MM</t>
  </si>
  <si>
    <t>Socket -  1inch Drive - Metric - 65mm</t>
  </si>
  <si>
    <t>SOCKETIMP3/4DR46MMD</t>
  </si>
  <si>
    <t>SOCKETIMP1DR1-1/8D</t>
  </si>
  <si>
    <t>Socket - Impact - 1 1/8in 1in Drive</t>
  </si>
  <si>
    <t>SOCKETIMP3/4DR1-3/16D</t>
  </si>
  <si>
    <t>Socket - Impact - 1 3/16in 3/4in Drive</t>
  </si>
  <si>
    <t>SOCKETIMP1DR1-3/8</t>
  </si>
  <si>
    <t>Socket - Impact - 1 3/8in 1in Drive</t>
  </si>
  <si>
    <t>SOCKETIMP1DR1-7/16</t>
  </si>
  <si>
    <t>Socket - Impact - 1 7/16in 1in Drive</t>
  </si>
  <si>
    <t>SOCKETIMP1/2-DR15/16</t>
  </si>
  <si>
    <t>Socket - Impact - 15/16in 1/2in Drive</t>
  </si>
  <si>
    <t>SOCKETIMP3/4-DR15/16</t>
  </si>
  <si>
    <t>Socket - Impact - 15/16in 3/4in Drive</t>
  </si>
  <si>
    <t>SOCKET3/4INDR20MM</t>
  </si>
  <si>
    <t>Socket - Impact - 20mm 3/4in Drive</t>
  </si>
  <si>
    <t>SOCKETIMP3/4DR21MMD</t>
  </si>
  <si>
    <t>Socket - Impact - 21mm 3/4in Drive</t>
  </si>
  <si>
    <t>SOCKETIMP3/4-DR23/16</t>
  </si>
  <si>
    <t>Socket - Impact - 23/16in 3/4in Drive</t>
  </si>
  <si>
    <t>SOCKETIMP3/4INDR22MM</t>
  </si>
  <si>
    <t>Socket - Impact - 3/4in Drive 22mm</t>
  </si>
  <si>
    <t>SOCKETIMP3/4INDR50MM</t>
  </si>
  <si>
    <t>Socket - Impact - 3/4in Drive 50mm</t>
  </si>
  <si>
    <t>SOCKET3/4INDR30MM</t>
  </si>
  <si>
    <t>SOCKET1DR46MM</t>
  </si>
  <si>
    <t>Socket - Impact - 46mm 1in Drive</t>
  </si>
  <si>
    <t>SOCKETIMP3/4-DR7/8</t>
  </si>
  <si>
    <t>Socket - Impact - 7/8in 3/4in Drive</t>
  </si>
  <si>
    <t>SOCKET1DR75MM</t>
  </si>
  <si>
    <t>Socket - Impact - 75mm 1in Drive</t>
  </si>
  <si>
    <t>SOCKETIMPLG1-7/16IN3/4IND</t>
  </si>
  <si>
    <t>Socket - Impact - Long 1-7/16in 3/4in Drive</t>
  </si>
  <si>
    <t>SOCKETIMPL-3/4-DR26MM</t>
  </si>
  <si>
    <t>Socket - Impact - Long 26mm 3/4in Drive</t>
  </si>
  <si>
    <t>SOCKETIMPL-3/4-DR27MM</t>
  </si>
  <si>
    <t>SOCKETIMPLONG36MM3/4INDR</t>
  </si>
  <si>
    <t>SOCKETRATCHETBAR3/4DR</t>
  </si>
  <si>
    <t>Socket - Ratchet Bar - 3/4inch Drive</t>
  </si>
  <si>
    <t>SOCKETTORQUE3/4D17/8</t>
  </si>
  <si>
    <t>Socket - Torque 17/8in 3/4in Drive</t>
  </si>
  <si>
    <t>SOCKETTORQUE28MM3/4DR</t>
  </si>
  <si>
    <t>Socket -Torque 28mm 3/4in Drive</t>
  </si>
  <si>
    <t>SOCKSET1/4DAFMET</t>
  </si>
  <si>
    <t>Socket Set - 1/4in Drive - Af/Met</t>
  </si>
  <si>
    <t>SPANNERCOMBO-13MM</t>
  </si>
  <si>
    <t>Spanner - Combo (13mm)</t>
  </si>
  <si>
    <t>SPANNERCOMBO-55MM</t>
  </si>
  <si>
    <t>SPANNERCOMBO-65MM</t>
  </si>
  <si>
    <t>SPANNERCOMBO-6MM</t>
  </si>
  <si>
    <t>Spanner - Combo (6mm)</t>
  </si>
  <si>
    <t>SPANNERCOMBO-7MM</t>
  </si>
  <si>
    <t>Spanner - Combo (7mm)</t>
  </si>
  <si>
    <t>SPANNERCOMBO-9MM</t>
  </si>
  <si>
    <t>Spanner - Combo (9mm)</t>
  </si>
  <si>
    <t>SPANNERCOMBO11MM</t>
  </si>
  <si>
    <t>Spanner - Combo 11mm</t>
  </si>
  <si>
    <t>SPANNERCOMBO-14MM</t>
  </si>
  <si>
    <t>Spanner - Combo 14mm</t>
  </si>
  <si>
    <t>SPANNERCOMBO-15MM</t>
  </si>
  <si>
    <t>Spanner - Combo 15mm</t>
  </si>
  <si>
    <t>SPANNERCOM2-1/16</t>
  </si>
  <si>
    <t>Spanner - Combo 2 - 1/16</t>
  </si>
  <si>
    <t>SPANNERCOM2-1/2</t>
  </si>
  <si>
    <t>SPANNERCOM2-1/8</t>
  </si>
  <si>
    <t>SPANNERCOM2-3/8</t>
  </si>
  <si>
    <t>SPANNERCOM2-7/16</t>
  </si>
  <si>
    <t>SPANNERCOMBO-26MM</t>
  </si>
  <si>
    <t>Spanner - Combo 26mm</t>
  </si>
  <si>
    <t>SPANNERFLOG1-1/2</t>
  </si>
  <si>
    <t>Spanner - Flogging - 1 1/2inch</t>
  </si>
  <si>
    <t>SPANNERFLOG1-3/4</t>
  </si>
  <si>
    <t>Spanner - Flogging - 1 3/4inch</t>
  </si>
  <si>
    <t>SPANNERFLOG1-5/16</t>
  </si>
  <si>
    <t>Spanner - Flogging - 1 5/16inch</t>
  </si>
  <si>
    <t>SPANNERFLOG2-3/16</t>
  </si>
  <si>
    <t>Spanner - Flogging - 2 3/16inch</t>
  </si>
  <si>
    <t>SPANNERFLOG22MM</t>
  </si>
  <si>
    <t>SPANNERFLOG24MM</t>
  </si>
  <si>
    <t>SPANNERFLOG27MM</t>
  </si>
  <si>
    <t>SPANNERFLOG30MM</t>
  </si>
  <si>
    <t>SPANNERFLOG36MM</t>
  </si>
  <si>
    <t>SPANNERO/E70MM</t>
  </si>
  <si>
    <t>Spanner - Open Ended - 70mm</t>
  </si>
  <si>
    <t>SPANNERPODGERRAT24MM27MM</t>
  </si>
  <si>
    <t>SPANNERSHIFTER250MM10IN</t>
  </si>
  <si>
    <t>Spanner - Shifter - 250mm (10in)</t>
  </si>
  <si>
    <t>STAMPNUMBER8MM</t>
  </si>
  <si>
    <t>Stamp - Number - 8mm</t>
  </si>
  <si>
    <t>STILSEN600MM</t>
  </si>
  <si>
    <t>TAPEMEASURE30M</t>
  </si>
  <si>
    <t>SOCKETIMP1DR1-1/4</t>
  </si>
  <si>
    <t>**OBSOLETE**Socket - Impact - 1 1/4in 1in Drive</t>
  </si>
  <si>
    <t>SPANNERFLOGOF1-15/16</t>
  </si>
  <si>
    <t>**OBSOLETE**Spanner - Flogging - Offset 1 15/16in</t>
  </si>
  <si>
    <t>AIRNOZZLESMALL</t>
  </si>
  <si>
    <t>ALLENKEYMET14MM</t>
  </si>
  <si>
    <t>Allen Key Metric - 14mm</t>
  </si>
  <si>
    <t>ALLENKEYMET17MM</t>
  </si>
  <si>
    <t>Allen Key Metric - 17mm</t>
  </si>
  <si>
    <t>ALLENKEYMET24MM</t>
  </si>
  <si>
    <t>Allen Key Metric - 24mm</t>
  </si>
  <si>
    <t>ALLENKEYSETIMP</t>
  </si>
  <si>
    <t>BOLTCUT600M</t>
  </si>
  <si>
    <t>Bolt Cutters - 600mm - 24inch</t>
  </si>
  <si>
    <t>BROOM</t>
  </si>
  <si>
    <t>Broom</t>
  </si>
  <si>
    <t>COMBINATIONSETRULE</t>
  </si>
  <si>
    <t>Combination Set With Rule</t>
  </si>
  <si>
    <t>CROWBARLGE</t>
  </si>
  <si>
    <t>DIVIDER150MM</t>
  </si>
  <si>
    <t>Divider - 150mm</t>
  </si>
  <si>
    <t>FINGERSAVERLGE</t>
  </si>
  <si>
    <t>Finger Saver - Large</t>
  </si>
  <si>
    <t>GCLAMP250MM</t>
  </si>
  <si>
    <t>HAMMERBALLPEIN16OZ</t>
  </si>
  <si>
    <t>HAMMERRUBBER</t>
  </si>
  <si>
    <t>HAMMERSLEDGE4LB</t>
  </si>
  <si>
    <t>PLUMBBOB</t>
  </si>
  <si>
    <t>SPANNERPODGERBAR20M600MM</t>
  </si>
  <si>
    <t>Podge Bar - 20mm (600mm)</t>
  </si>
  <si>
    <t>PUNCHPINSET</t>
  </si>
  <si>
    <t>SCEWDRIVE1KV100</t>
  </si>
  <si>
    <t>Screw Driver - 1000v - 100mm</t>
  </si>
  <si>
    <t>SCREWDRIVERINSULPHILLIPS</t>
  </si>
  <si>
    <t>Screwdriver - insulated - Phillips</t>
  </si>
  <si>
    <t>SHOVELLHSQMTH</t>
  </si>
  <si>
    <t>Shovel - Long Handle - Square Mouth</t>
  </si>
  <si>
    <t>SOCKET1/2DR35MM</t>
  </si>
  <si>
    <t>Socket -   1/2inch Drive - Metric - 35mm</t>
  </si>
  <si>
    <t>SOCKET3/4DR31MM</t>
  </si>
  <si>
    <t>Socket -   3/4inch Drive - Metric - 31mm</t>
  </si>
  <si>
    <t>SOCKET3/4DR38MM</t>
  </si>
  <si>
    <t>Socket -   3/4inch Drive - Metric - 38mm</t>
  </si>
  <si>
    <t>SOCKET1DR31MM</t>
  </si>
  <si>
    <t>Socket -  1inch Drive - Metric - 31mm</t>
  </si>
  <si>
    <t>SOCKET1DR38MM</t>
  </si>
  <si>
    <t>Socket -  1inch Drive - Metric - 38mm</t>
  </si>
  <si>
    <t>SOCKET1DR54MM</t>
  </si>
  <si>
    <t>Socket -  1inch Drive - Metric - 54mm</t>
  </si>
  <si>
    <t>SOCKET1DR55MM</t>
  </si>
  <si>
    <t>Socket -  1inch Drive - Metric - 55mm</t>
  </si>
  <si>
    <t>SOCKET1DR63MM</t>
  </si>
  <si>
    <t>Socket -  1inch Drive - Metric - 63mm</t>
  </si>
  <si>
    <t>SOCKETIMP1DR2-1/4</t>
  </si>
  <si>
    <t>Socket - Impact -  1inch Drive - Imperial - 2 1/4inch</t>
  </si>
  <si>
    <t>SOCKETIMP1DR1-1/16</t>
  </si>
  <si>
    <t>Socket - Impact - 1 1/16in 1in Drive</t>
  </si>
  <si>
    <t>SOCKETIMP1-DR1--1/2</t>
  </si>
  <si>
    <t>Socket - Impact - 1 1/2in 1in Drive</t>
  </si>
  <si>
    <t>SOCKETIMP1DR1-11/16</t>
  </si>
  <si>
    <t>Socket - Impact - 1 11/16in 1in Drive</t>
  </si>
  <si>
    <t>SOCKETIMP1DR1-5/8</t>
  </si>
  <si>
    <t>Socket - Impact - 1 5/8in 1in Drive</t>
  </si>
  <si>
    <t>SOCKETIMP3/4-DR1--5/8</t>
  </si>
  <si>
    <t>Socket - Impact - 1 5/8in 3/4in Drive</t>
  </si>
  <si>
    <t>SOCKETIMP1/2-DR1/2</t>
  </si>
  <si>
    <t>Socket - Impact - 1/2in 1/2in Drive</t>
  </si>
  <si>
    <t>SOCKET1/2DR13MM</t>
  </si>
  <si>
    <t>SOCKETIMP1-DR1</t>
  </si>
  <si>
    <t>Socket - Impact - 1in 1in Drive</t>
  </si>
  <si>
    <t>SOCKETIMP1INDR36MM</t>
  </si>
  <si>
    <t>Socket - Impact - 1in Drive 36mm</t>
  </si>
  <si>
    <t>SOCKET1INDR70MM</t>
  </si>
  <si>
    <t>Socket - Impact - 1in Drive 70mm</t>
  </si>
  <si>
    <t>SOCKETIMP1DR2-11/16</t>
  </si>
  <si>
    <t>Socket - Impact - 2 -11/16in 1in Drive</t>
  </si>
  <si>
    <t>SOCKETIMP1DR2-1/16</t>
  </si>
  <si>
    <t>Socket - Impact - 21/16in 1in Drive</t>
  </si>
  <si>
    <t>SOCKETIMP3/4-DR21/16</t>
  </si>
  <si>
    <t>Socket - Impact - 21/16in 3/4in Drive</t>
  </si>
  <si>
    <t>SOCKETIMP1DR2-1/2</t>
  </si>
  <si>
    <t>Socket - Impact - 21/2in 1in Drive</t>
  </si>
  <si>
    <t>SOCKETIMP3/4-DR21/2</t>
  </si>
  <si>
    <t>Socket - Impact - 21/2in 3/4in Drive</t>
  </si>
  <si>
    <t>SOCKETIMP1DR2-5/16</t>
  </si>
  <si>
    <t>Socket - Impact - 215/16in 1in Drive</t>
  </si>
  <si>
    <t>SOCKETIMP1DR2-3/4</t>
  </si>
  <si>
    <t>Socket - Impact - 23/4in 1in Drive</t>
  </si>
  <si>
    <t>SOCKETIMP3/4-DR23/4</t>
  </si>
  <si>
    <t>Socket - Impact - 23/4in 3/4in Drive</t>
  </si>
  <si>
    <t>SOCKETIMP1DR2-3/8</t>
  </si>
  <si>
    <t>Socket - Impact - 23/8in 1in Drive</t>
  </si>
  <si>
    <t>SOCKETIMP3/4DR2-3/8</t>
  </si>
  <si>
    <t>Socket - Impact - 23/8in 3/4in Drive</t>
  </si>
  <si>
    <t>SOCKETIMP1DR2-15/16</t>
  </si>
  <si>
    <t>Socket - Impact - 25/16in 1in Drive</t>
  </si>
  <si>
    <t>SOCKETIMP3/4DR2-5/16</t>
  </si>
  <si>
    <t>Socket - Impact - 25/16in 3/4in Drive</t>
  </si>
  <si>
    <t>SOCKETIMP1DR2-5/8</t>
  </si>
  <si>
    <t>Socket - Impact - 25/8in 1in Drive</t>
  </si>
  <si>
    <t>SOCKETIMP3/4DR25MMD</t>
  </si>
  <si>
    <t>Socket - Impact - 25mm 3/4in Drive</t>
  </si>
  <si>
    <t>SOCKET1/2DR27MM</t>
  </si>
  <si>
    <t>Socket - Impact - 27mm 1/2in Drive</t>
  </si>
  <si>
    <t>SOCKETIMP1DR2</t>
  </si>
  <si>
    <t>Socket - Impact - 2in 1in Drive</t>
  </si>
  <si>
    <t>SOCKET1INDR30MM</t>
  </si>
  <si>
    <t>Socket - Impact - 30mm 1in Drive</t>
  </si>
  <si>
    <t>SOCKET1/2DR36MM</t>
  </si>
  <si>
    <t>Socket - Impact - 36mm 1/2in Drive</t>
  </si>
  <si>
    <t>SOCKET1INDR40MM</t>
  </si>
  <si>
    <t>Socket - Impact - 40mm 1in Drive</t>
  </si>
  <si>
    <t>SOCKET3/4INDR40MM</t>
  </si>
  <si>
    <t>Socket - Impact - 40mm 3/4in Drive</t>
  </si>
  <si>
    <t>SOCKET3/4INDR60MM</t>
  </si>
  <si>
    <t>Socket - Impact - 60mm3/4in Drive</t>
  </si>
  <si>
    <t>SOCKETIMPEXT1DR300</t>
  </si>
  <si>
    <t>Socket - Impact - Extension - 1in Drive - 300mm</t>
  </si>
  <si>
    <t>SOCKETIMPL-1/2-DR15MM</t>
  </si>
  <si>
    <t>Socket - Impact - Long 15mm 1/2in Drive</t>
  </si>
  <si>
    <t>SOCKETIMPL-3/4-DR19MM</t>
  </si>
  <si>
    <t>Socket - Impact - Long 19mm 3/4in Drive</t>
  </si>
  <si>
    <t>SOCKETIMPL-3/4-DR21MM</t>
  </si>
  <si>
    <t>Socket - Impact - Long 21mm 3/4in Drive</t>
  </si>
  <si>
    <t>SOCKETIMPL-1/2-DR22MM</t>
  </si>
  <si>
    <t>Socket - Impact - Long 22mm 1/2in Drive</t>
  </si>
  <si>
    <t>SOCKETIMPL-3/4-DR29MM</t>
  </si>
  <si>
    <t>Socket - Impact - Long 29mm 3/4in Drive</t>
  </si>
  <si>
    <t>SOCKETIMPL1/2INDR30MM</t>
  </si>
  <si>
    <t>SOCKETIMPL-3/4-DR35MM</t>
  </si>
  <si>
    <t>Socket - Impact - Long 35mm 3/4in Drive</t>
  </si>
  <si>
    <t>SOCKETIMPLG-1/2-DR9/16</t>
  </si>
  <si>
    <t>Socket - Impact - Long 9/16-1/2in Drive</t>
  </si>
  <si>
    <t>SOCKETIMPEXT1/2DR250MM</t>
  </si>
  <si>
    <t>SOCKETIMPADAPT1-1/2-1DR</t>
  </si>
  <si>
    <t>Socket - Imperial Adaptor - 1 1/2inch - 1inch Drive</t>
  </si>
  <si>
    <t>SOCKETINHEX5/8-1/2</t>
  </si>
  <si>
    <t>Socket - Inhex - 5/8in -1/2in Drive</t>
  </si>
  <si>
    <t>SOCKETTORQUE1D113/16</t>
  </si>
  <si>
    <t>Socket - Torque 113/16in 1in Drive</t>
  </si>
  <si>
    <t>SOCKETTORQUE1D2-3/16</t>
  </si>
  <si>
    <t>Socket - Torque 2-3/16in 1in Drive</t>
  </si>
  <si>
    <t>SOCKETUNIJOINTS1INDR</t>
  </si>
  <si>
    <t>Socket - Universal Joint 1in Drive</t>
  </si>
  <si>
    <t>SOCKETTORQUE32MM1DR</t>
  </si>
  <si>
    <t>Socket -Torque 32mm 1in Drive</t>
  </si>
  <si>
    <t>SOCKETTORQUE38MM3/4DR</t>
  </si>
  <si>
    <t>Socket -Torque 38mm 3/4in Drive</t>
  </si>
  <si>
    <t>SOCKETTORQUE41MM1DR</t>
  </si>
  <si>
    <t>Socket -Torque 41mm 1in Drive</t>
  </si>
  <si>
    <t>SPANNERCOMBO-29MM</t>
  </si>
  <si>
    <t>SPANNERCOMBO-48MM</t>
  </si>
  <si>
    <t>SPANNERCOMBO70MM</t>
  </si>
  <si>
    <t>SPANNERCOMBO-75MM</t>
  </si>
  <si>
    <t>SPANNERCOMBO80MM</t>
  </si>
  <si>
    <t>SPANNERCOMBO50MM</t>
  </si>
  <si>
    <t>SPANNERCOM2-3/4</t>
  </si>
  <si>
    <t>SPANNERCOM2-5/16</t>
  </si>
  <si>
    <t>SPANNERCOM2-9/16</t>
  </si>
  <si>
    <t>SPANNERCOMBO-23MM</t>
  </si>
  <si>
    <t>Spanner - Combo 23mm</t>
  </si>
  <si>
    <t>SPANNERCOMBO-33MM</t>
  </si>
  <si>
    <t>Spanner - Combo 33mm</t>
  </si>
  <si>
    <t>SPANNERFLOG1-1/16</t>
  </si>
  <si>
    <t>Spanner - Flogging - 1 1/16inch</t>
  </si>
  <si>
    <t>SPANNERFLOG1-1/4</t>
  </si>
  <si>
    <t>Spanner - Flogging - 1 1/4inch</t>
  </si>
  <si>
    <t>SPANNERFLOG1-11/16</t>
  </si>
  <si>
    <t>Spanner - Flogging - 1 11/16inch</t>
  </si>
  <si>
    <t>SPANNERFLOG1-13/16</t>
  </si>
  <si>
    <t>Spanner - Flogging - 1 13/16inch</t>
  </si>
  <si>
    <t>SPANNERFLOG1-7/16</t>
  </si>
  <si>
    <t>Spanner - Flogging - 1 7/16inch</t>
  </si>
  <si>
    <t>SPANNERFLOG2-1/16</t>
  </si>
  <si>
    <t>Spanner - Flogging - 2 1/16inch</t>
  </si>
  <si>
    <t>SPANNERFLOF48MM</t>
  </si>
  <si>
    <t>Spanner - Flogging - 48mm</t>
  </si>
  <si>
    <t>SPANNERFLOG50MM</t>
  </si>
  <si>
    <t>SPANNERFLOG80MM</t>
  </si>
  <si>
    <t>SPANNERFLOGFL2-9/16</t>
  </si>
  <si>
    <t>Spanner - Flogging - Flat - 2 9/16inch</t>
  </si>
  <si>
    <t>SPANNERFLOGFL75MM</t>
  </si>
  <si>
    <t>SPANNERFLOGOF60MM</t>
  </si>
  <si>
    <t>SPANNERFLOGOF70MM</t>
  </si>
  <si>
    <t>SPANNERFLOGOF1-9/16</t>
  </si>
  <si>
    <t>Spanner - Flogging - Offset 1 9/16in</t>
  </si>
  <si>
    <t>SPANNERFLOG1-15/16</t>
  </si>
  <si>
    <t>Spanner - Flogging 1 5/16in</t>
  </si>
  <si>
    <t>SPANNERFLOG3/4</t>
  </si>
  <si>
    <t>Spanner - Flogging 3/4in</t>
  </si>
  <si>
    <t>SPANNERFLOG7/8</t>
  </si>
  <si>
    <t>Spanner - Flogging 7/8in</t>
  </si>
  <si>
    <t>SPANNEROPENEND75MM</t>
  </si>
  <si>
    <t>Spanner - Open - End 75mm</t>
  </si>
  <si>
    <t>SPANNERPODGERO/E1-7/16</t>
  </si>
  <si>
    <t>Spanner - Podger - Open End - 1 7/16inch</t>
  </si>
  <si>
    <t>SPANNERSHIFTER600MM24IN</t>
  </si>
  <si>
    <t>Spanner - Shifter - 600mm (24in)</t>
  </si>
  <si>
    <t>SPANNERFLOG1-1/8</t>
  </si>
  <si>
    <t>Spanner Flogging 1 1/8in</t>
  </si>
  <si>
    <t>SPANNERFLOG1</t>
  </si>
  <si>
    <t>Spanner Flogging 1in</t>
  </si>
  <si>
    <t>SPANNERFLOG2-1/8</t>
  </si>
  <si>
    <t>Spanner Flogging 2 1/18in</t>
  </si>
  <si>
    <t>SPANNERFLOG2-3/8</t>
  </si>
  <si>
    <t>Spanner Flogging 2 3/8in</t>
  </si>
  <si>
    <t>SPIRITLEVEL600MM</t>
  </si>
  <si>
    <t>SQUARE200MM</t>
  </si>
  <si>
    <t>Square - 200mm</t>
  </si>
  <si>
    <t>STAMPSETLET10MM</t>
  </si>
  <si>
    <t>STILSENALUMINIUM350MM</t>
  </si>
  <si>
    <t>STRAIGHTEDGE1M</t>
  </si>
  <si>
    <t>Straight Edge - 1M</t>
  </si>
  <si>
    <t>TAPEMEASURE50M</t>
  </si>
  <si>
    <t>WRENCHSTRAP600MM</t>
  </si>
  <si>
    <t>Wrench - Strap 600mm</t>
  </si>
  <si>
    <t>SOCKETIMP1DR1-15/16</t>
  </si>
  <si>
    <t>**OBSOLETE**Socket - Impact - 1 15/16in 1in Drive</t>
  </si>
  <si>
    <t>ALLENKEYMET12MM</t>
  </si>
  <si>
    <t>Allen Key Metric - 12mm</t>
  </si>
  <si>
    <t>ALLENKEYMET19MM</t>
  </si>
  <si>
    <t>Allen Key Metric - 19mm</t>
  </si>
  <si>
    <t>COLDCHISELSET</t>
  </si>
  <si>
    <t>DIALINDICATOR(0-100-0)</t>
  </si>
  <si>
    <t>Dial indicator (0-100-0)</t>
  </si>
  <si>
    <t>DIENUTSETUNC</t>
  </si>
  <si>
    <t>Die Nut Set - Unc</t>
  </si>
  <si>
    <t>DIVIDER100MM</t>
  </si>
  <si>
    <t>Divider - 100mm</t>
  </si>
  <si>
    <t>FEELERGUAGEMET400MM</t>
  </si>
  <si>
    <t>GCLAMP100MM</t>
  </si>
  <si>
    <t>G Clamp - 100mm</t>
  </si>
  <si>
    <t>GCLAMP50MM</t>
  </si>
  <si>
    <t>G Clamp - 50mm</t>
  </si>
  <si>
    <t>HAMMERBRASSML</t>
  </si>
  <si>
    <t>Hammer - Brass - Small</t>
  </si>
  <si>
    <t>HAMMERCOPPERHEADLARGE</t>
  </si>
  <si>
    <t>Hammer - Copper Head - Large</t>
  </si>
  <si>
    <t>HAMMERCOPPERHEADSMALL</t>
  </si>
  <si>
    <t>Hammer - Copper Head - Small</t>
  </si>
  <si>
    <t>POPRIVETGUNHANDHELD</t>
  </si>
  <si>
    <t>PINPUNCHSETLONG</t>
  </si>
  <si>
    <t>PLIERSSIDECUTTING150MM</t>
  </si>
  <si>
    <t>SPANNERPODGERBAR20M450MM</t>
  </si>
  <si>
    <t>Podge Bar - 20mm (450mm)</t>
  </si>
  <si>
    <t>SHOVELSHSQMTH</t>
  </si>
  <si>
    <t>Shovel - Short Handle - Square Mouth</t>
  </si>
  <si>
    <t>SLIDEHAMPUL18P</t>
  </si>
  <si>
    <t>Slide Hammer Puller Set 18 Piece</t>
  </si>
  <si>
    <t>SNIPSSTRAIGHT</t>
  </si>
  <si>
    <t>Snips - Straight</t>
  </si>
  <si>
    <t>SOCKET3/4DR28MM</t>
  </si>
  <si>
    <t>Socket -   3/4inch Drive - Metric - 28mm</t>
  </si>
  <si>
    <t>SOCKET1DR19MM</t>
  </si>
  <si>
    <t>Socket -  1inch Drive - Metric - 19mm</t>
  </si>
  <si>
    <t>SOCKET1DR34MM</t>
  </si>
  <si>
    <t>Socket -  1inch Drive - Metric - 34mm</t>
  </si>
  <si>
    <t>SOCKET1DR41MM</t>
  </si>
  <si>
    <t>Socket -  1inch Drive - Metric - 41mm</t>
  </si>
  <si>
    <t>SOCKETBREAKERBAR3/4DR</t>
  </si>
  <si>
    <t>Socket - Breaker Bar - 3/4in Drive</t>
  </si>
  <si>
    <t>SOCKETEXT3/4DR175MM</t>
  </si>
  <si>
    <t>Socket - Extension - 3/4 - 175mm</t>
  </si>
  <si>
    <t>SOCKETIMP3/4-DR1--11/16</t>
  </si>
  <si>
    <t>Socket - Impact - 1 11/16in 3/4in Drive</t>
  </si>
  <si>
    <t>SOCKETIMP3/4-DR1--7/8</t>
  </si>
  <si>
    <t>Socket - Impact - 1 7/8in 3/4in Drive</t>
  </si>
  <si>
    <t>SOCKETIMP1-1/2DR1-13/16</t>
  </si>
  <si>
    <t>Socket - Impact - 1-13/16in 1-1/2in Drive</t>
  </si>
  <si>
    <t>SOCKETIMP3/4-DR211/16</t>
  </si>
  <si>
    <t>Socket - Impact - 211/16in 3/4in Drive</t>
  </si>
  <si>
    <t>SOCKET1DR25MM</t>
  </si>
  <si>
    <t>Socket - Impact - 25mm 1in Drive</t>
  </si>
  <si>
    <t>SOCKETIMP1DR2-7/16</t>
  </si>
  <si>
    <t>Socket - Impact - 27/16in 1in Drive</t>
  </si>
  <si>
    <t>SOCKETIMP3/4-DR27/16</t>
  </si>
  <si>
    <t>Socket - Impact - 27/16in 3/4in Drive</t>
  </si>
  <si>
    <t>SOCKETIMP1DR2-7/8</t>
  </si>
  <si>
    <t>Socket - Impact - 27/8in 1in Drive</t>
  </si>
  <si>
    <t>SOCKET1DR27MM</t>
  </si>
  <si>
    <t>Socket - Impact - 27mm 1in Drive</t>
  </si>
  <si>
    <t>SOCKETIMP3/4-DR29/16</t>
  </si>
  <si>
    <t>Socket - Impact - 29/16in 3/4in Drive</t>
  </si>
  <si>
    <t>SOCKETIMP1-DR3/4</t>
  </si>
  <si>
    <t>Socket - Impact - 3/4in 1in Drive</t>
  </si>
  <si>
    <t>SOCKETIMP3/4-DR3/4</t>
  </si>
  <si>
    <t>Socket - Impact - 3/4in 3/4in Drive</t>
  </si>
  <si>
    <t>SOCKETIMP3/4INDR47MM</t>
  </si>
  <si>
    <t>Socket - Impact - 3/4in Drive 47mm</t>
  </si>
  <si>
    <t>SOCKET1/2DR32MM</t>
  </si>
  <si>
    <t>Socket - Impact - 32mm 1/2in Drive</t>
  </si>
  <si>
    <t>SOCKETIMP3/4DR41MMD</t>
  </si>
  <si>
    <t>Socket - Impact - 41mm 3/4in Drive</t>
  </si>
  <si>
    <t>SOCKET11/2DR46MM</t>
  </si>
  <si>
    <t>Socket - Impact - 46mm 11/2in Drive</t>
  </si>
  <si>
    <t>SOCKET1INDR60MM</t>
  </si>
  <si>
    <t>Socket - Impact - 60mm 1in Drive</t>
  </si>
  <si>
    <t>SOCKETIMPEXT1DR200</t>
  </si>
  <si>
    <t>Socket - Impact - Extension - 1in Drive - 200mm</t>
  </si>
  <si>
    <t>SOCKETIMPLG-1-DR1-1/4</t>
  </si>
  <si>
    <t>Socket - Impact - Long 1-1/4-1in Drive</t>
  </si>
  <si>
    <t>SOCKETIMPLG-3/4-DR1-3/4</t>
  </si>
  <si>
    <t>Socket - Impact - Long 1-3/4-3/4in Drive</t>
  </si>
  <si>
    <t>SOCKETIMPL-1/2-DR16MM</t>
  </si>
  <si>
    <t>SOCKETIMPL-1/2-DR24MM</t>
  </si>
  <si>
    <t>SOCKETIMPL-1-DR34MM</t>
  </si>
  <si>
    <t>Socket - Impact - Long 34mm 1in Drive</t>
  </si>
  <si>
    <t>SOCKETIMPL1INDR50MM</t>
  </si>
  <si>
    <t>Socket - Impact - Long 50mm 1in Drive</t>
  </si>
  <si>
    <t>SOCKETIMPL-1-DR55MM</t>
  </si>
  <si>
    <t>Socket - Impact - Long 55mm 1in Drive</t>
  </si>
  <si>
    <t>SOCKETIMPL1INDR60MM</t>
  </si>
  <si>
    <t>Socket - Impact - Long 60mm 1in Drive</t>
  </si>
  <si>
    <t>SOCKET1INDR50MM</t>
  </si>
  <si>
    <t>Socket - Impact -50mm 1in Drive</t>
  </si>
  <si>
    <t>SOCKETIMPEXT1DR150MM</t>
  </si>
  <si>
    <t>Socket - Impact -Extension - 1in - Drive - 150mm</t>
  </si>
  <si>
    <t>SOCKETIMPEXT1DR330MM</t>
  </si>
  <si>
    <t>Socket - Impact -Extension - 1in - Drive - 330mm</t>
  </si>
  <si>
    <t>SOCKETIMPEXT3/4DR250MM</t>
  </si>
  <si>
    <t>Socket - Impact -Extension - 3/4in - Drive - 250mm</t>
  </si>
  <si>
    <t>SOCKETINHEX1/2-1/2</t>
  </si>
  <si>
    <t>Socket - Inhex - 1/2in -1/2in Drive</t>
  </si>
  <si>
    <t>SOCKETINHEX3/8-1/2</t>
  </si>
  <si>
    <t>Socket - Inhex - 3/8in -1/2in Drive</t>
  </si>
  <si>
    <t>SOCKETINHEX9/16-1/2</t>
  </si>
  <si>
    <t>Socket - Inhex - 9/16in -1/2in Drive</t>
  </si>
  <si>
    <t>SOCKETTORQUE3/4D11/2</t>
  </si>
  <si>
    <t>Socket - Torque 11/2in 3/4in Drive</t>
  </si>
  <si>
    <t>SOCKETTORQUE1D11/4</t>
  </si>
  <si>
    <t>Socket - Torque 11/4in 1in Drive</t>
  </si>
  <si>
    <t>SOCKETTORQUE3/4D11/4</t>
  </si>
  <si>
    <t>Socket - Torque 11/4in 3/4in Drive</t>
  </si>
  <si>
    <t>SOCKETTORQUE3/4D113/16</t>
  </si>
  <si>
    <t>Socket - Torque 113/16in 3/4in Drive</t>
  </si>
  <si>
    <t>SOCKETTORQUE3/4D13/4</t>
  </si>
  <si>
    <t>Socket - Torque 13/4in 3/4in Drive</t>
  </si>
  <si>
    <t>SOCKETTORQUE1D2-7/16</t>
  </si>
  <si>
    <t>Socket - Torque 2-7/16in 1in Drive</t>
  </si>
  <si>
    <t>SOCKETTORQUE1D2-7/8</t>
  </si>
  <si>
    <t>Socket - Torque 2-7/8in 1in Drive</t>
  </si>
  <si>
    <t>SOCKETTORQUE1D2-9/16</t>
  </si>
  <si>
    <t>Socket - Torque 2-9/16in 1in Drive</t>
  </si>
  <si>
    <t>SOCKETTORQUE1D3</t>
  </si>
  <si>
    <t>Socket - Torque 3in 1in Drive</t>
  </si>
  <si>
    <t>SOCKETTORQUE1INDR50MM</t>
  </si>
  <si>
    <t>Socket - Torque 50mm 1in Drive</t>
  </si>
  <si>
    <t>SOCKETTORQUE27MM3/4DR</t>
  </si>
  <si>
    <t>Socket -Torque 27mm 3/4in Drive</t>
  </si>
  <si>
    <t>SOCKETEXT1/2DR75MM</t>
  </si>
  <si>
    <t>SOCKSET3/4DAF</t>
  </si>
  <si>
    <t>Socket Set - 3/4in Drive - Af</t>
  </si>
  <si>
    <t>SOCKSET3/4DMET</t>
  </si>
  <si>
    <t>Socket Set - 3/4in Drive - Met</t>
  </si>
  <si>
    <t>SCKSET3/8DAM</t>
  </si>
  <si>
    <t>Socket Set - 3/8in Drive - Af/Met</t>
  </si>
  <si>
    <t>SOCKSETIM1/2DAF</t>
  </si>
  <si>
    <t>Socket Set - Impact - 1/2in Drive - Af</t>
  </si>
  <si>
    <t>SOCKTBAR1/2D</t>
  </si>
  <si>
    <t>Socket T Bar 1/2in Drive</t>
  </si>
  <si>
    <t>SPANNERCOMBOFL2-15/16</t>
  </si>
  <si>
    <t>Spanner - Combo - Flat - 2 15/16inch</t>
  </si>
  <si>
    <t>SPANNERCOM1-15/16</t>
  </si>
  <si>
    <t>Spanner - Combo 1 - 15/16</t>
  </si>
  <si>
    <t>SPANNERFLOGOF2-3/8</t>
  </si>
  <si>
    <t>Spanner - Flogging - 2 3/8inch</t>
  </si>
  <si>
    <t>SPANNERFLOG55MM</t>
  </si>
  <si>
    <t>SPANNERFLOG65MM</t>
  </si>
  <si>
    <t>SPANNERFLOGFL1-3 /4</t>
  </si>
  <si>
    <t>Spanner - Flogging - Flat - 1 3/4inch</t>
  </si>
  <si>
    <t>SPANNERFLOGOF1-1/8</t>
  </si>
  <si>
    <t>Spanner - Flogging - Offset - 1 1/8inch</t>
  </si>
  <si>
    <t>SPANNERFLOGOF2-15/16</t>
  </si>
  <si>
    <t>Spanner - Flogging - Offset 2 15/16in</t>
  </si>
  <si>
    <t>SPANNERPODGERRAT36MM41MM</t>
  </si>
  <si>
    <t>SPANNERPODGERO/E1-1/8</t>
  </si>
  <si>
    <t>Spanner - Podger Open End 1 - 1/8in</t>
  </si>
  <si>
    <t>SPANNERPODGERO/E2-15/16</t>
  </si>
  <si>
    <t>Spanner - Podger Open End 2 - 15/16in</t>
  </si>
  <si>
    <t>SPANNERRING2-5/8-2-13/16</t>
  </si>
  <si>
    <t>Spanner - Ring 2 - 5/8 2-13/16in</t>
  </si>
  <si>
    <t>SPANNERSHIFTER375MM</t>
  </si>
  <si>
    <t>Spanner - Shifter - 375mm (15in )</t>
  </si>
  <si>
    <t>SPANNERSHIFTER770MM</t>
  </si>
  <si>
    <t>Spanner - Shifter - 770mm</t>
  </si>
  <si>
    <t>SPANNERFLOG2-1/4</t>
  </si>
  <si>
    <t>Spanner Flogging 2 1/4in</t>
  </si>
  <si>
    <t>STAMPLETTER3MM</t>
  </si>
  <si>
    <t>Stamp - Letter - 3mm</t>
  </si>
  <si>
    <t>STAMPLETTER5MM</t>
  </si>
  <si>
    <t>Stamp - Letter - 5mm</t>
  </si>
  <si>
    <t>STAMPLETTER6MM</t>
  </si>
  <si>
    <t>Stamp - Letter - 6mm</t>
  </si>
  <si>
    <t>STAMPNUMBER3MM</t>
  </si>
  <si>
    <t>Stamp - Number - 3mm</t>
  </si>
  <si>
    <t>STAMPSETNUMBER10MM</t>
  </si>
  <si>
    <t>STEELRULE1000MM</t>
  </si>
  <si>
    <t>Steel Rule - 1000mm</t>
  </si>
  <si>
    <t>STRAIGHTEDGE2M</t>
  </si>
  <si>
    <t>TAPANDDIESETMETRIC</t>
  </si>
  <si>
    <t>Tap And Die - Set - Metric</t>
  </si>
  <si>
    <t>TAPDIESETIMPMET</t>
  </si>
  <si>
    <t>Tap And Die Set - Imperial/Metric</t>
  </si>
  <si>
    <t>TAPDIESETUNCUNF52P</t>
  </si>
  <si>
    <t>Tap And Die Set - Unc/Unf - 52 Piece</t>
  </si>
  <si>
    <t>TAPEMEASURE10M</t>
  </si>
  <si>
    <t>Tape Measure - 10m</t>
  </si>
  <si>
    <t>VERNIERCALIPER300MM</t>
  </si>
  <si>
    <t>WIREFEEDLN25</t>
  </si>
  <si>
    <t>WELD140AE</t>
  </si>
  <si>
    <t>WELDTIG220A240V</t>
  </si>
  <si>
    <t>Welder Tig 220A  Electric</t>
  </si>
  <si>
    <t>PROPANETORCH</t>
  </si>
  <si>
    <t>WELDLEAD50MM</t>
  </si>
  <si>
    <t>PLASMACUTTER40</t>
  </si>
  <si>
    <t>WELDEARTHCLAMP</t>
  </si>
  <si>
    <t>OXY/ACETSET</t>
  </si>
  <si>
    <t>PLASMACUT10MM240V</t>
  </si>
  <si>
    <t>Plasma Cutter 10mm Electric</t>
  </si>
  <si>
    <t>WELDHANDPIECEMIGWF</t>
  </si>
  <si>
    <t>WELDLEAD70MM</t>
  </si>
  <si>
    <t>WELDARGONGAUGE</t>
  </si>
  <si>
    <t>WELDHANDPIECECADDY</t>
  </si>
  <si>
    <t>WELDEARTHCLAMPCADDY</t>
  </si>
  <si>
    <t>WELDERLEADHANDPIECE</t>
  </si>
  <si>
    <t>WELDELECTRODEHOLER</t>
  </si>
  <si>
    <t>WELDEARTHLD16MM</t>
  </si>
  <si>
    <t>Welding Earth Lead 16MM</t>
  </si>
  <si>
    <t>WELDHOSEARGON</t>
  </si>
  <si>
    <t>AIRARCGOUG</t>
  </si>
  <si>
    <t>HOSEOXYLPG15M</t>
  </si>
  <si>
    <t>Hose - Oxy/Lpg - 15m</t>
  </si>
  <si>
    <t>OXYEXTHOSE</t>
  </si>
  <si>
    <t>LPGGAUGE</t>
  </si>
  <si>
    <t>LPG Gauge</t>
  </si>
  <si>
    <t>WELDLEADTAIL</t>
  </si>
  <si>
    <t>PURGEMONITOR</t>
  </si>
  <si>
    <t>WELDINGELECTRODEHOTBOX</t>
  </si>
  <si>
    <t>Welding Electrode Hotbox</t>
  </si>
  <si>
    <t>OXY/ACETHANDPIECE</t>
  </si>
  <si>
    <t>Welding - Oxy/Acetylene Hand Piece</t>
  </si>
  <si>
    <t>ARGONFLOWMETER</t>
  </si>
  <si>
    <t>WELDLPGHOSE</t>
  </si>
  <si>
    <t>LPG Hose</t>
  </si>
  <si>
    <t>WELDELECTRODEOVEN5KG240V</t>
  </si>
  <si>
    <t>Welding Electrode Oven 5kg Electric</t>
  </si>
  <si>
    <t>WELDPIPEWRAP</t>
  </si>
  <si>
    <t>Welding - Pipe Wrap</t>
  </si>
  <si>
    <t>John - Pickels</t>
  </si>
  <si>
    <t>1295771</t>
  </si>
  <si>
    <t>09:45 AM</t>
  </si>
  <si>
    <t>1/2" Drive Crowsfeet-27mm</t>
  </si>
  <si>
    <t>1/2" Drive Crowsfeet-29mm</t>
  </si>
  <si>
    <t>1/2" Drive Crowsfeet-30mm</t>
  </si>
  <si>
    <t>1/2" Drive Crowsfeet-32mm</t>
  </si>
  <si>
    <t>1/2" Drive Crowsfeet-33mm</t>
  </si>
  <si>
    <t>1/2" Drive Crowsfeet-34mm</t>
  </si>
  <si>
    <t>1/2" Drive Crowsfeet-35mm</t>
  </si>
  <si>
    <t>1/2" Drive Crowsfeet-36mm</t>
  </si>
  <si>
    <t>1/2" Drive Crowsfeet-38mm</t>
  </si>
  <si>
    <t>1/2" Drive Crowsfeet-41mm</t>
  </si>
  <si>
    <t>1/2" Drive Crowsfeet-43mm</t>
  </si>
  <si>
    <t>1/2" Drive Crowsfeet-46mm</t>
  </si>
  <si>
    <t>1/2" Drive Crowsfeet-48mm</t>
  </si>
  <si>
    <t>1/2" Drive Crowsfeet-50mm</t>
  </si>
  <si>
    <t>1/4" Air Angle Die Grinder</t>
  </si>
  <si>
    <t>Air Drill 1/2"</t>
  </si>
  <si>
    <t>Air Drill 3/8"</t>
  </si>
  <si>
    <t>Base Magnetic Solid Arm 75 Kg Power Mitutoyo</t>
  </si>
  <si>
    <t>Battery - Cordless - Milwaukee 18V 12Ah</t>
  </si>
  <si>
    <t>Battery - Cordless - Milwaukee 18V 8Ah</t>
  </si>
  <si>
    <t>Battery Charger - Milwaukee Mx Fuel Single</t>
  </si>
  <si>
    <t>Bi Metal Cobalt Holesaw Adaptors</t>
  </si>
  <si>
    <t>Bi Metal Cobalt Holesaw-19mm</t>
  </si>
  <si>
    <t>Bi Metal Cobalt Holesaw-22mm</t>
  </si>
  <si>
    <t>Bi Metal Cobalt Holesaw-25mm</t>
  </si>
  <si>
    <t>Bi Metal Cobalt Holesaw-32mm</t>
  </si>
  <si>
    <t>Bi Metal Cobalt Holesaw-35mm</t>
  </si>
  <si>
    <t>Bi Metal Cobalt Holesaw-38mm</t>
  </si>
  <si>
    <t>Bi Metal Cobalt Holesaw-44mm</t>
  </si>
  <si>
    <t>Bi Metal Cobalt Holesaw-51mm</t>
  </si>
  <si>
    <t>Bi Metal Cobalt Holesaw-54mm</t>
  </si>
  <si>
    <t>Bi Metal Cobalt Holesaw-63mm</t>
  </si>
  <si>
    <t>Bi Metal Cobalt Holesaw-76mm</t>
  </si>
  <si>
    <t>Bi Metal Cobalt Quickfit Arbor</t>
  </si>
  <si>
    <t>Bit Drill Set Hss Reduced 16-25mm 1/2-Sh 5Pc</t>
  </si>
  <si>
    <t>Bit Screwdriver &amp; Drill Set Shockwave 86Pc</t>
  </si>
  <si>
    <t>Bosch 18V 3.0Ah Battery</t>
  </si>
  <si>
    <t>Bosch 18V 4.0Ah Battery</t>
  </si>
  <si>
    <t>Bow - Shackle - Alloy - 1T</t>
  </si>
  <si>
    <t>Bow - Shackle - Alloy - 2T</t>
  </si>
  <si>
    <t>Bow - Shackle - Alloy - 4T</t>
  </si>
  <si>
    <t>Bow Shackle - Alloy 3.25T</t>
  </si>
  <si>
    <t>Breaker Drill - Electric – Medium - 5.6Kg to 7.5Kg</t>
  </si>
  <si>
    <t>Bull Bag - Gripps - 113Kg</t>
  </si>
  <si>
    <t>Chain Block - Air Operated - 2T</t>
  </si>
  <si>
    <t>Coates Lead Stands - Water Filled</t>
  </si>
  <si>
    <t>Coates Safety Step</t>
  </si>
  <si>
    <t>Compressor 1050Cfm (Diesel)</t>
  </si>
  <si>
    <t>Concrete Floor Scarifier -  8" Electric</t>
  </si>
  <si>
    <t>Cumalong - 3.2T X 1.5M</t>
  </si>
  <si>
    <t>Cumalong - 6.0T</t>
  </si>
  <si>
    <t>Cutter Annular Hsstin 16X25mm 3/4-Sh Multifit</t>
  </si>
  <si>
    <t>Cutter Annular Hsstin 17X25mm 3/4-Sh Multifit</t>
  </si>
  <si>
    <t>Cutter Annular Hsstin 18X25mm 3/4-Sh Multifit</t>
  </si>
  <si>
    <t>Cutter Annular Hsstin 19X25mm 3/4-Sh Multifit</t>
  </si>
  <si>
    <t>Cutter Annular Hsstin 20X25mm 3/4-Sh Multifit</t>
  </si>
  <si>
    <t>Cutter Annular Hsstin 21X25mm 3/4-Sh Multifit</t>
  </si>
  <si>
    <t>Cutter Annular Hsstin 23X25mm 3/4-Sh Multifit</t>
  </si>
  <si>
    <t>Cutter Annular Hsstin 24X25mm 3/4-Sh Multifit</t>
  </si>
  <si>
    <t>Cutter Annular Hsstin 25X25mm 3/4-Sh Multifit</t>
  </si>
  <si>
    <t>Cutter Annular Hsstin 26X25mm 3/4-Sh Multifit</t>
  </si>
  <si>
    <t>Cutter Annular Hsstin 2X25mm 3/4-Sh Multifit</t>
  </si>
  <si>
    <t>Dial Gauges Imperial ( 0�� - 1�)</t>
  </si>
  <si>
    <t>Dial Gauges Imperial ( 1�� - 2�)</t>
  </si>
  <si>
    <t>Dial Gauges Metric (25mm- 50mm )</t>
  </si>
  <si>
    <t>Dial Gauges Metric (30mm- 50mm )</t>
  </si>
  <si>
    <t>Digital Vernier ( Usb Chargable)</t>
  </si>
  <si>
    <t>Distrubution Outlet Board - 32 A Plug 6X15, 4X10, 1X20 A, Single Phase</t>
  </si>
  <si>
    <t>Drift Pin - Barrel - 1In</t>
  </si>
  <si>
    <t>Excavator Bucket 300mm</t>
  </si>
  <si>
    <t>Excavator Bucket 450mm</t>
  </si>
  <si>
    <t>Excavator Mud Bucket 1000mm</t>
  </si>
  <si>
    <t>Exhaust Fan - Electric - 300mm</t>
  </si>
  <si>
    <t>Extension Lead - 415V 5 Pin 50A 25M</t>
  </si>
  <si>
    <t>Eye Bolt Bs529 , 1/2mm, Whitworth Sizing, Pitch, 0.0833mm, Wll 0.5T 4</t>
  </si>
  <si>
    <t>Eye Bolt Bs529 , 1mm, Whitworth Sizing, Pitch, 0.1429mm, Wll 2.8T</t>
  </si>
  <si>
    <t>Eye Bolt Bs529 , 3/4mm, Whitworth Sizing, Pitch, 0.1mm, Wll 1.4T</t>
  </si>
  <si>
    <t>Eye Bolt Bs529 , 3/8mm, Whitworth Sizing, Pitch, 0.0625mm, Wll 0.3T</t>
  </si>
  <si>
    <t>Eye Bolt Bs529 , 5/8mm, Whitworth Sizing, Pitch, 0.0909mm, Wll 0.9T 4</t>
  </si>
  <si>
    <t>Eye Bolt Bs529 , 7/8mm, Whitworth Sizing, Pitch, 0.125mm, Wll 2T</t>
  </si>
  <si>
    <t>Eye Bolt Din Standard 580, M12, Pitch , 1.75mm, Wll 0.34T</t>
  </si>
  <si>
    <t>Eye Bolt Din Standard 580, M16, Pitch , 2mm, Wll 0.7T</t>
  </si>
  <si>
    <t>Eye Bolt Din Standard 580, M20, Pitch , 2.5mm, Wll 1.2T</t>
  </si>
  <si>
    <t>Eye Bolt Din Standard 580, M24, Pitch , 3mm, Wll 1.8T</t>
  </si>
  <si>
    <t>Eye Bolt Din Standard 580, M8, Pitch , 1.25mm, Wll 0.14T</t>
  </si>
  <si>
    <t>Feeler Gauge 20 Leave 300mm Accud</t>
  </si>
  <si>
    <t>Feeler Gauge 36 Blade Met/Af 0.051-0.889mm,</t>
  </si>
  <si>
    <t>File Set 6Pc 150mm Precision In Case Handle</t>
  </si>
  <si>
    <t>Flat File – #2 = Second Cut (Medium)</t>
  </si>
  <si>
    <t>Forklift - with Rotator 2.5T Diesel</t>
  </si>
  <si>
    <t>Forklift 2.5T Container Diesel</t>
  </si>
  <si>
    <t>Forklift 2T - 2.6T Diesel</t>
  </si>
  <si>
    <t>Forklift Container Mast 3.5T Diesel</t>
  </si>
  <si>
    <t>Forklift Rough Terrain 2.5T 4Wd Diesel</t>
  </si>
  <si>
    <t>Generator - 30Kva (Diesel)</t>
  </si>
  <si>
    <t>Generator - 500Kva (Diesel)</t>
  </si>
  <si>
    <t>Generator - Diesel - 80Kva</t>
  </si>
  <si>
    <t>Girder Clamp 2 Tonne  Serial 220928.10</t>
  </si>
  <si>
    <t>Girder Clamp 2 Tonne Serial 220928.1</t>
  </si>
  <si>
    <t>Girder Clamp 2 Tonne Serial 220928.23</t>
  </si>
  <si>
    <t>Girder Clamp 2 Tonne Serial 220928.24</t>
  </si>
  <si>
    <t>Girder Clamp 2 Tonne Serial 371031</t>
  </si>
  <si>
    <t>Girder Trolley - 1T</t>
  </si>
  <si>
    <t>Half Round File – #1 = Bastard Cut (Coarse)</t>
  </si>
  <si>
    <t>Hammer Club 4Lb/1.8Kg Fibreglass,Rubber Grip</t>
  </si>
  <si>
    <t>Hammer Copper 2.75Lb/1.26Kg 38mm,Wooden</t>
  </si>
  <si>
    <t>Hammer Copper 4Lb/1.94Kg 44mm,Wooden</t>
  </si>
  <si>
    <t>Holesaw Set Bim Metal/Wood 19-76mm</t>
  </si>
  <si>
    <t>Hook &amp; Pick Set 4Pc Miniature Tti</t>
  </si>
  <si>
    <t>Hose Air 12mmx20M Blu/Yel Sonsbeek</t>
  </si>
  <si>
    <t>Hvac Cable - Screened - 16mm2 - Ceeform - 63A - 25M</t>
  </si>
  <si>
    <t>Hydraulic Cylinder - Flat Jack Cylinder 90T/16mm Stroke</t>
  </si>
  <si>
    <t>Hydraulic Cylinder - General Purpose Cylinder 25T</t>
  </si>
  <si>
    <t>Hydraulic Cylinder - Low Height Cylinder 10T/38mm Stroke</t>
  </si>
  <si>
    <t>Hydraulic Cylinder - Low Height Cylinder 20T</t>
  </si>
  <si>
    <t>Hydraulic Cylinder - Low Height Cylinder 90T/57mm Stroke</t>
  </si>
  <si>
    <t>Hydraulic Cylinder Pump - Electric 240V - Zu4408Je</t>
  </si>
  <si>
    <t>Hydraulic Torque Wrench -  1 1/2" Square Drive - 6,010 Ftlbs</t>
  </si>
  <si>
    <t>Hydraulic Torque Wrench - 1Inch Square Drive - 3300Ftlb</t>
  </si>
  <si>
    <t>Hydraulic Torque Wrench - Actuator - 4000Ftlb</t>
  </si>
  <si>
    <t>Hydraulic Torque Wrench - Cassette - 32mm - 2000Ftlb</t>
  </si>
  <si>
    <t>Hydraulic Torque Wrench - Cassette - 36 - 37mm - 2000Ftlb</t>
  </si>
  <si>
    <t>Hydraulic Torque Wrench - Cassette - 41mm - 2000Ftlb</t>
  </si>
  <si>
    <t>Hydraulic Torque Wrench - Cassette - 46mm - 2000Ftlb</t>
  </si>
  <si>
    <t>Hydraulic Torque Wrench - Cassette - 50 - 51mm - 2000Ftlb</t>
  </si>
  <si>
    <t>Hydraulic Torque Wrench - Cassette - 70mm - 4000Ftlb</t>
  </si>
  <si>
    <t>Hydraulic Wedge Cylinder 0.75T</t>
  </si>
  <si>
    <t>Impact Driver 1/4In (6.35mm) Battery</t>
  </si>
  <si>
    <t>Impact Wrench 1/2" (Bosch)</t>
  </si>
  <si>
    <t>Indicator Dial 1-20mm/ 0.01mm 0.01mm Res</t>
  </si>
  <si>
    <t>Knuckle Boom 45Ft (13.7M) - Diesel</t>
  </si>
  <si>
    <t>Knuckle Boom 61Ft (18.6M) - Diesel</t>
  </si>
  <si>
    <t>Light Magnetic LED 1500Lm:  Battery</t>
  </si>
  <si>
    <t>Light Telescopic 4 Head LED 27000Lm (3M) - Hybrid</t>
  </si>
  <si>
    <t>Lpg Hose</t>
  </si>
  <si>
    <t>Milwaukee Battery Fan</t>
  </si>
  <si>
    <t>Mini Excavator 1.7T</t>
  </si>
  <si>
    <t>Needlegun Air</t>
  </si>
  <si>
    <t>Pick Up Tool Magnetic Claw Flexible Toledo</t>
  </si>
  <si>
    <t>Pick Up Tool Magnetic Telescopic 100-760mm 0.7Kg</t>
  </si>
  <si>
    <t>Pick Up Tool Magnetic Telescopic 100-760mm 3.6Kg</t>
  </si>
  <si>
    <t>Pick Up Tool Magnetic Telescopic 125-635mm</t>
  </si>
  <si>
    <t>Pick Up Tool Magnetic Telescopic 150-670mm</t>
  </si>
  <si>
    <t>Pliers - Circlip Internal</t>
  </si>
  <si>
    <t>Power Supply 3.6Kw Battery</t>
  </si>
  <si>
    <t>Ratchet Ring Spanner  1/2" X 9/16"</t>
  </si>
  <si>
    <t>Ratchet Ring Spanner  1/4" X 5/16"</t>
  </si>
  <si>
    <t>Ratchet Ring Spanner  10mm X 12mm</t>
  </si>
  <si>
    <t>Ratchet Ring Spanner  11mm X 13mm</t>
  </si>
  <si>
    <t>Ratchet Ring Spanner  14mm X 17mm</t>
  </si>
  <si>
    <t>Ratchet Ring Spanner  19mm X 21mm</t>
  </si>
  <si>
    <t>Ratchet Ring Spanner  3/4" X 7/8"</t>
  </si>
  <si>
    <t>Ratchet Ring Spanner  3/8" X 7/16"</t>
  </si>
  <si>
    <t>Ratchet Ring Spanner  5/8" X 11/16"</t>
  </si>
  <si>
    <t>Ratchet Ring Spanner  6mm X 8mm</t>
  </si>
  <si>
    <t>Round File – #1 = Bastard Cut (Coarse)</t>
  </si>
  <si>
    <t>Safety Lanyard - 2M</t>
  </si>
  <si>
    <t>Saw Hack Heavy Duty Square Frame 300mm Wolf</t>
  </si>
  <si>
    <t>Scissor Lift with Operator Protection 32Ft (9.7M)  Electric</t>
  </si>
  <si>
    <t>Screw Driver - 1000V - 100mm</t>
  </si>
  <si>
    <t>Scriber Double Ended 250mm Straight &amp; 90Deg</t>
  </si>
  <si>
    <t>Skid Steer Loader 2.6T</t>
  </si>
  <si>
    <t>Sling Round - 1T - 1.5M</t>
  </si>
  <si>
    <t>Sling Round - 1T - 1M</t>
  </si>
  <si>
    <t>Sling Round - 1T - 2M</t>
  </si>
  <si>
    <t>Sling Round - 2T - 1M</t>
  </si>
  <si>
    <t>Sling-Round 2T (0.5M)</t>
  </si>
  <si>
    <t>Socket -   1/2Inch Drive - Metric - 21mm</t>
  </si>
  <si>
    <t>Socket -   1/2Inch Drive - Metric - 23mm</t>
  </si>
  <si>
    <t>Socket -   1/2Inch Drive - Metric - 26mm</t>
  </si>
  <si>
    <t>Socket -   1/2Inch Drive - Metric - 29mm</t>
  </si>
  <si>
    <t>Socket -   1/2Inch Drive - Metric - 31mm</t>
  </si>
  <si>
    <t>Socket -   1/2Inch Drive - Metric - 34mm</t>
  </si>
  <si>
    <t>Socket -   1/2Inch Drive - Metric - 35mm</t>
  </si>
  <si>
    <t>Socket -   3/4Inch Drive - Metric - 26mm</t>
  </si>
  <si>
    <t>Socket -   3/4Inch Drive - Metric - 28mm</t>
  </si>
  <si>
    <t>Socket -   3/4Inch Drive - Metric - 31mm</t>
  </si>
  <si>
    <t>Socket -   3/4Inch Drive - Metric - 44mm</t>
  </si>
  <si>
    <t>Socket -  1Inch Drive - Metric - 31mm</t>
  </si>
  <si>
    <t>Socket -  1Inch Drive - Metric - 38mm</t>
  </si>
  <si>
    <t>Socket - Impact -  1Inch Drive - Imperial - 2 1/4Inch</t>
  </si>
  <si>
    <t>Socket - Impact - 1 1/16In 1In Drive</t>
  </si>
  <si>
    <t>Socket - Impact - 1 1/8In 1/2In Drive</t>
  </si>
  <si>
    <t>Socket - Impact - 1 1/8In 3/4In Drive</t>
  </si>
  <si>
    <t>Socket - Impact - 1 3/16In 1/2In Drive</t>
  </si>
  <si>
    <t>Socket - Impact - 1 3/16In 3/4In Drive</t>
  </si>
  <si>
    <t>Socket - Impact - 1 3/8In 1/2In Drive</t>
  </si>
  <si>
    <t>Socket - Impact - 1 5/16In 1/2In Drive</t>
  </si>
  <si>
    <t>Socket - Impact - 1 5/16In 3/4In Drive</t>
  </si>
  <si>
    <t>Socket - Impact - 1/2In 1/2In Drive</t>
  </si>
  <si>
    <t>Socket - Impact - 1/2In Drive 1-1/4In</t>
  </si>
  <si>
    <t>Socket - Impact - 1/2In Drive 1-13/16In</t>
  </si>
  <si>
    <t>Socket - Impact - 1/2In Drive 1-7/16In</t>
  </si>
  <si>
    <t>Socket - Impact - 1/2In Drive 10mm</t>
  </si>
  <si>
    <t>Socket - Impact - 1/2In Drive 11/16In</t>
  </si>
  <si>
    <t>Socket - Impact - 1/2In Drive 11mm</t>
  </si>
  <si>
    <t>Socket - Impact - 1/2In Drive 12mm</t>
  </si>
  <si>
    <t>Socket - Impact - 1/2In Drive 13/16In</t>
  </si>
  <si>
    <t>Socket - Impact - 1/2In Drive 33mm</t>
  </si>
  <si>
    <t>Socket - Impact - 1/2In Drive 46mm</t>
  </si>
  <si>
    <t>Socket - Impact - 1/2In Drive 9/16In</t>
  </si>
  <si>
    <t>Socket - Impact - 1In 1/2In Drive</t>
  </si>
  <si>
    <t>Socket - Impact - 1In 3/4In Drive</t>
  </si>
  <si>
    <t>Socket - Impact - 1In Drive 2-9/16In</t>
  </si>
  <si>
    <t>Socket - Impact - 1In Drive 30mm</t>
  </si>
  <si>
    <t>Socket - Impact - 1In Drive 41mm</t>
  </si>
  <si>
    <t>Socket - Impact - 21/16In 1In Drive</t>
  </si>
  <si>
    <t>Socket - Impact - 21/16In 3/4In Drive</t>
  </si>
  <si>
    <t>Socket - Impact - 21/2In 3/4In Drive</t>
  </si>
  <si>
    <t>Socket - Impact - 21/8In 3/4In Drive</t>
  </si>
  <si>
    <t>Socket - Impact - 21mm 3/4In Drive</t>
  </si>
  <si>
    <t>Socket - Impact - 23/8In 1In Drive</t>
  </si>
  <si>
    <t>Socket - Impact - 23/8In 3/4In Drive</t>
  </si>
  <si>
    <t>Socket - Impact - 25/16In 1In Drive</t>
  </si>
  <si>
    <t>Socket - Impact - 25/16In 3/4In Drive</t>
  </si>
  <si>
    <t>Socket - Impact - 25mm 1/2In Drive</t>
  </si>
  <si>
    <t>Socket - Impact - 25mm 3/4In Drive</t>
  </si>
  <si>
    <t>Socket - Impact - 27/16In 3/4In Drive</t>
  </si>
  <si>
    <t>Socket - Impact - 2In 1In Drive</t>
  </si>
  <si>
    <t>Socket - Impact - 3/4In 3/4In Drive</t>
  </si>
  <si>
    <t>Socket - Impact - 3/4In Drive 1-3/4In</t>
  </si>
  <si>
    <t>Socket - Impact - 3/4In Drive 12mm</t>
  </si>
  <si>
    <t>Socket - Impact - 3/4In Drive 14mm</t>
  </si>
  <si>
    <t>Socket - Impact - 3/4In Drive 17mm</t>
  </si>
  <si>
    <t>Socket - Impact - 3/4In Drive 19mm</t>
  </si>
  <si>
    <t>Socket - Impact - 3/4In Drive 20mm</t>
  </si>
  <si>
    <t>Socket - Impact - 3/4In Drive 22mm</t>
  </si>
  <si>
    <t>Socket - Impact - 3/4In Drive 47mm</t>
  </si>
  <si>
    <t>Socket - Impact - 3/4In Drive 9/16In</t>
  </si>
  <si>
    <t>Socket - Impact - 40mm 3/4In Drive</t>
  </si>
  <si>
    <t>Socket - Impact - Extension - 1In Drive - 200mm</t>
  </si>
  <si>
    <t>Socket - Impact - Extension - 1In Drive - 300mm</t>
  </si>
  <si>
    <t>Socket - Impact - Long 21mm 3/4In Drive</t>
  </si>
  <si>
    <t>Socket - Impact - Long 26mm 3/4In Drive</t>
  </si>
  <si>
    <t>Socket - Impact - Long 29mm 3/4In Drive</t>
  </si>
  <si>
    <t>Socket - Impact - Long 34mm 1In Drive</t>
  </si>
  <si>
    <t>Socket - Impact - Long 35mm 3/4In Drive</t>
  </si>
  <si>
    <t>Socket - Impact -Extension - 1In - Drive - 330mm</t>
  </si>
  <si>
    <t>Socket - Inhex - 1/2In -1/2In Drive</t>
  </si>
  <si>
    <t>Socket - Inhex - 1/2In -3/4In Drive</t>
  </si>
  <si>
    <t>Socket - Inhex - 1In -3/4In Drive</t>
  </si>
  <si>
    <t>Socket - Inhex - 3/4In -3/4In Drive</t>
  </si>
  <si>
    <t>Socket - Inhex - 3/8In -1/2In Drive</t>
  </si>
  <si>
    <t>Socket - Inhex - 6mm -1/2In Drive</t>
  </si>
  <si>
    <t>Socket - Inhex - 7mm -1/2In Drive</t>
  </si>
  <si>
    <t>Socket - Inhex - 8mm -1/2In Drive</t>
  </si>
  <si>
    <t>Socket - Inhex -1/2"-1/2In Drive</t>
  </si>
  <si>
    <t>Socket - Inhex -1/4"-1/2In Drive</t>
  </si>
  <si>
    <t>Socket - Inhex -3/8"-1/2In Drive</t>
  </si>
  <si>
    <t>Socket - Inhex -6mm-1/2In Drive</t>
  </si>
  <si>
    <t>Socket - Inhex -7/16"-1/2In Drive</t>
  </si>
  <si>
    <t>Socket - Inhex -7mm-1/2In Drive</t>
  </si>
  <si>
    <t>Socket - Inhex -8mm-1/2In Drive</t>
  </si>
  <si>
    <t>Socket - Torque 11/2In 3/4In Drive</t>
  </si>
  <si>
    <t>Socket - Torque 11/4In 3/4In Drive</t>
  </si>
  <si>
    <t>Socket - Torque 13/4In 3/4In Drive</t>
  </si>
  <si>
    <t>Socket -Torque 25mm 3/4In Drive</t>
  </si>
  <si>
    <t>Socket -Torque 26mm 3/4In Drive</t>
  </si>
  <si>
    <t>Socket -Torque 28mm 3/4In Drive</t>
  </si>
  <si>
    <t>Socket Impact Hex 1/2"Dr Met 17mm X 78mm Kinchrome</t>
  </si>
  <si>
    <t>Socket Set - 1/2In Drive - Met</t>
  </si>
  <si>
    <t>Socket Set - 1/4In Drive - Af/Met</t>
  </si>
  <si>
    <t>Socket Set - 3/4In Drive - Af</t>
  </si>
  <si>
    <t>Socket Set - 3/8In Drive - Af/Met</t>
  </si>
  <si>
    <t>Socket Set - Impact - 1/2In Drive - Af</t>
  </si>
  <si>
    <t>Socket T Bar 1/2In Drive</t>
  </si>
  <si>
    <t>Socket T Bar Handle - 3/4In Drive</t>
  </si>
  <si>
    <t>Spanner - Flogging - 1 11/16Inch</t>
  </si>
  <si>
    <t>Spanner - Flogging - 2 1/16Inch</t>
  </si>
  <si>
    <t>Spanner - Flogging - 2 3/16Inch</t>
  </si>
  <si>
    <t>Spanner - Flogging - Flat - 1 3/4Inch</t>
  </si>
  <si>
    <t>Spanner - Flogging - Offset 1 3/8In</t>
  </si>
  <si>
    <t>Spanner - Flogging - Offset 1 9/16In</t>
  </si>
  <si>
    <t>Spanner - Flogging 3/4In</t>
  </si>
  <si>
    <t>Spanner - Flogging 7/8In</t>
  </si>
  <si>
    <t>Spanner - Podger Open End 1 - 1/8In</t>
  </si>
  <si>
    <t>Spanner - Shifter - 150mm (6In)</t>
  </si>
  <si>
    <t>Spanner Flogging 1In</t>
  </si>
  <si>
    <t>Spanner Flogging 2 1/18In</t>
  </si>
  <si>
    <t>Spanner Flogging 2 1/4In</t>
  </si>
  <si>
    <t>Spanner Set Ring 5Pc Met Ratcheting 6-21mm</t>
  </si>
  <si>
    <t>Spanner Set Ring 5Pc Sae Ratchetin 1/4-7/8"</t>
  </si>
  <si>
    <t>Spanner Slogging 15/16" Typhoon</t>
  </si>
  <si>
    <t>Spanner Slogging 40mm Typhoon</t>
  </si>
  <si>
    <t>Spanner Slogging 49mm Ultimate</t>
  </si>
  <si>
    <t>Spanner Slogging Flat Ring Metric 58mm Itm</t>
  </si>
  <si>
    <t>Spanner Slogging Ring 13/16" Flat Action</t>
  </si>
  <si>
    <t>Square File – #1 = Bastard Cut (Coarse)</t>
  </si>
  <si>
    <t>Straight Boom Lift 32.3M (105Ft) Diesel</t>
  </si>
  <si>
    <t>Tap and Die - Set - Metric</t>
  </si>
  <si>
    <t>Tap and Die Set - Imperial/Metric</t>
  </si>
  <si>
    <t>Tap and Die Set - Unc/Unf - 52 Piece</t>
  </si>
  <si>
    <t>Tape Measure - 10M</t>
  </si>
  <si>
    <t>Thread File Imperial</t>
  </si>
  <si>
    <t>Thread File Metric</t>
  </si>
  <si>
    <t>Tirfor Winch - 3.2T</t>
  </si>
  <si>
    <t>Toilet Portable - Fresh Water Flush</t>
  </si>
  <si>
    <t>Torque Wrench - Manual - 500 - 1000Ftlb - 1Inch Drive</t>
  </si>
  <si>
    <t>Trailer - Water Cartage 950L with Pump</t>
  </si>
  <si>
    <t>Trailer Mounted Boom 10.2M Diesel/Electric</t>
  </si>
  <si>
    <t>Water Blaster - 3000 Psi Cold - Petrol</t>
  </si>
  <si>
    <t>Water Blaster - 3000 Psi Mobile On Trailer (Diesel)</t>
  </si>
  <si>
    <t>Water Hose 20mm X 20M</t>
  </si>
  <si>
    <t>Wedge Fox 100 X 25 X 8mm Mumme</t>
  </si>
  <si>
    <t>Wedge Fox 75 X 38 X 13mm Mumme</t>
  </si>
  <si>
    <t>Welding Earth Lead 16mm</t>
  </si>
  <si>
    <t>Welding Electrode Oven 5Kg Electric</t>
  </si>
  <si>
    <t>Wood Chisel 12mm</t>
  </si>
  <si>
    <t>Wood Chisel 18mm</t>
  </si>
  <si>
    <t>Wood Chisel 25mm</t>
  </si>
  <si>
    <t>Wrench Tap T-Type Ratcheting Suits M3-M6</t>
  </si>
  <si>
    <t>Wrench Tap T-Type Ratcheting Suits M6-M12</t>
  </si>
  <si>
    <t>Rate Source</t>
  </si>
  <si>
    <t>Knuckle Boom 130ft (39.5M) - Diesel</t>
  </si>
  <si>
    <t>Register (Asset)</t>
  </si>
  <si>
    <t>Available for Hire</t>
  </si>
  <si>
    <t>Compressors &amp; Hoses</t>
  </si>
  <si>
    <t>Bull Hose Std - 50MM (2in) - 7.5Mtr</t>
  </si>
  <si>
    <t>COMP1050D</t>
  </si>
  <si>
    <t>Compressor 1050CFM (Diesel)</t>
  </si>
  <si>
    <t>Distribution Boards &amp; Leads</t>
  </si>
  <si>
    <t>DISTBOARD</t>
  </si>
  <si>
    <t>Contract Rates</t>
  </si>
  <si>
    <t>Distribution Board Lifeguard 16 (1x32A 8x15A)</t>
  </si>
  <si>
    <t>Register (Variant)</t>
  </si>
  <si>
    <t>DISTBOARDLIFEGUARDLG34C1</t>
  </si>
  <si>
    <t>Distrubution Outlet Board - 32 A Plug 6x15, 4x10, 1x20 A, Single Phase</t>
  </si>
  <si>
    <t>LEADEXT415V5PIN32AMPBRAID</t>
  </si>
  <si>
    <t>EXTLEAD415V5PIN50AMP25M</t>
  </si>
  <si>
    <t>EXTLEAD415V5PIN50AMP15M</t>
  </si>
  <si>
    <t>Forklifts &amp; Pallet Trucks</t>
  </si>
  <si>
    <t>Forklift - Reach - Walk Behind 1.5t Electric - Greener Choice</t>
  </si>
  <si>
    <t>FORKLIFT2.5TDIESELCONT</t>
  </si>
  <si>
    <t>Forklift 2.5t Container Diesel</t>
  </si>
  <si>
    <t>Failed Baseplan</t>
  </si>
  <si>
    <t>FORKLIFT3.5TDIESELCONT</t>
  </si>
  <si>
    <t>Forklift Container Mast 3.5t Diesel</t>
  </si>
  <si>
    <t>FORKLIFTRT2.5T4WD</t>
  </si>
  <si>
    <t>Forklift Rough Terrain 2.5t 4WD Diesel</t>
  </si>
  <si>
    <t>Pallet Truck 1.8t Electric</t>
  </si>
  <si>
    <t>WATERBLAST3000PSIPCOLD</t>
  </si>
  <si>
    <t>Water Blaster - 3000 PSI Cold - Petrol</t>
  </si>
  <si>
    <t>Generator - 100kVA (Diesel)</t>
  </si>
  <si>
    <t>GENERATOR160KVAD</t>
  </si>
  <si>
    <t>Generator - 160kVA (Diesel)</t>
  </si>
  <si>
    <t>Generator - 20kVA (Diesel)</t>
  </si>
  <si>
    <t>Generator - 500kVA (Diesel)</t>
  </si>
  <si>
    <t>Generator - 60kVA (Diesel)</t>
  </si>
  <si>
    <t>Generator - Diesel - 80kVA</t>
  </si>
  <si>
    <t>LIGHTTOWERLEDCUBE154KLD</t>
  </si>
  <si>
    <t>Lighting Tower POD Metro</t>
  </si>
  <si>
    <t>Miscellaneous</t>
  </si>
  <si>
    <t>BUCKETEXC_300MM</t>
  </si>
  <si>
    <t>BUCKETEXC_450MM</t>
  </si>
  <si>
    <t>BUCKETEXC_1000MMMUD</t>
  </si>
  <si>
    <t>FUELTRAILER1000LDBUNDED</t>
  </si>
  <si>
    <t>Grout Kibble 1m3</t>
  </si>
  <si>
    <t>EXCAVATOR1.7T</t>
  </si>
  <si>
    <t>Mini Excavator 1.7t</t>
  </si>
  <si>
    <t>SKIDSTEERMEDIUM2.6T</t>
  </si>
  <si>
    <t>Skid Steer Loader 2.6t</t>
  </si>
  <si>
    <t>TELEHANDLER3T7M</t>
  </si>
  <si>
    <t>Telehandler 3.0t (6.8m)</t>
  </si>
  <si>
    <t>Trailer - Water Cartage 950L With Pump</t>
  </si>
  <si>
    <t>WATERBLAST3000PSIDTRAILER</t>
  </si>
  <si>
    <t>Water Blaster - 3000 PSI Mobile On Trailer (Diesel)</t>
  </si>
  <si>
    <t>Scissor Lift With Operator Protection 19ft (5.7m)  Electric - Greener Choice</t>
  </si>
  <si>
    <t>SCISSOR32EOP</t>
  </si>
  <si>
    <t>Scissor Lift With Operator Protection 32ft (9.7m)  Electric</t>
  </si>
  <si>
    <t>WELD500A-DIESEL</t>
  </si>
  <si>
    <t>Barriers &amp; Chutes</t>
  </si>
  <si>
    <t>CATEGORY SUMMARY</t>
  </si>
  <si>
    <t>Assets</t>
  </si>
  <si>
    <t>Daily Hire Value</t>
  </si>
  <si>
    <t>23-Day Forecast</t>
  </si>
  <si>
    <t>BULK EQUIPMENT — TOOLSTORE HOLDINGS</t>
  </si>
  <si>
    <t>Equipment Type</t>
  </si>
  <si>
    <t>Qty On Site</t>
  </si>
  <si>
    <t>Cement Barriers</t>
  </si>
  <si>
    <t>Crash-Rated Water-Filled Barrier</t>
  </si>
  <si>
    <t>Barrier - Crash Rated Water filled - Armorzone</t>
  </si>
  <si>
    <t>Crowd Control Barrier</t>
  </si>
  <si>
    <t>CROWDCONTROLBARRIER</t>
  </si>
  <si>
    <t>Cement Rubbish Chutes</t>
  </si>
  <si>
    <t>Rubbish Chute 1M Section</t>
  </si>
  <si>
    <t>CHUTEFRAME</t>
  </si>
  <si>
    <t>RUBCHUTETOPHOPPER</t>
  </si>
  <si>
    <t>Radios</t>
  </si>
  <si>
    <t>Two-Way Radio</t>
  </si>
  <si>
    <t>Motorola DP4801e Two-Way Radio</t>
  </si>
  <si>
    <t>Radio Battery</t>
  </si>
  <si>
    <t>Motorola NNTN8129 IMPRES Battery</t>
  </si>
  <si>
    <t>Gas Monitors</t>
  </si>
  <si>
    <t>Multi-Gas Detector</t>
  </si>
  <si>
    <t>Honeywell BW Flex Multi-Gas Detector</t>
  </si>
  <si>
    <t>THE COATES WAY — CEMENT AUSTRALIA K2 SHUTDOWN 2026</t>
  </si>
  <si>
    <t>Shutdown Toolstore On-Hire Report  |  Gladstone, QLD  |  20 Jul – 11 Aug 2026</t>
  </si>
  <si>
    <t>The Coates Way</t>
  </si>
  <si>
    <t>Purpose:</t>
  </si>
  <si>
    <t>Supporting Australia's growth with leading equipment solutions</t>
  </si>
  <si>
    <t>Objective:</t>
  </si>
  <si>
    <t>Australia's most trusted equipment partner — delivering Best Service &amp; Value</t>
  </si>
  <si>
    <t>Values:</t>
  </si>
  <si>
    <t>Care Deeply — safety &amp; wellbeing first, always</t>
  </si>
  <si>
    <t/>
  </si>
  <si>
    <t>Customer Focused — listen, anticipate, exceed expectations</t>
  </si>
  <si>
    <t>Be Our Best — accountability, learning, determination</t>
  </si>
  <si>
    <t>One Team — collaborative, trusted, inclusive</t>
  </si>
  <si>
    <t>Competitive Spirit — set stretch goals, be THE best</t>
  </si>
  <si>
    <t>Coates Life Saving Rules (SEQ-GL-009)</t>
  </si>
  <si>
    <t>These are personal commitments. They are non-negotiable.</t>
  </si>
  <si>
    <t>1. Risk Assessment</t>
  </si>
  <si>
    <t>I will not commence any work that I am unfamiliar with, that is non-routine, potentially hazardous or impacted by changing conditions without first completing the appropriate Coates risk assessment tool to identify, assess and control risks.</t>
  </si>
  <si>
    <t>2. High-Risk Work</t>
  </si>
  <si>
    <t>I will not commence any High-Risk Work without a risk assessment being completed and without having signed onto the applicable Safe Work Method Statement (SWMS).</t>
  </si>
  <si>
    <t>3. Training and Competency</t>
  </si>
  <si>
    <t>I will be inducted, trained, competent and hold the required certification and licences to conduct the task.</t>
  </si>
  <si>
    <t>4. Fit for Work</t>
  </si>
  <si>
    <t>When I commence work, I will be physically fit, and not impaired by fatigue, injury, distraction, drugs or alcohol. I will wear the required personal protective equipment (PPE) as identified for the task or site rules.</t>
  </si>
  <si>
    <t>5. Tools and Equipment</t>
  </si>
  <si>
    <t>I will only use tools and equipment that are fit for purpose and for which I am trained, competent and authorised. I will ensure that damaged or defective equipment is tagged out and removed from service.</t>
  </si>
  <si>
    <t>6. Critical Risk Non-Negotiables</t>
  </si>
  <si>
    <t>When I commence a work activity related to a Coates Top 10 Critical Risk, I will always ensure that I review and strictly adhere to the non-negotiable rules and controls for that Critical Risk to protect me, my workmates and others from serious harm.</t>
  </si>
  <si>
    <t>Living the rules at the K2 Toolstore</t>
  </si>
  <si>
    <t>Rule 5 — Tools and Equipment:</t>
  </si>
  <si>
    <t>Damaged or defective gear is tagged out and removed from service at the toolstore. Defective items are exceptions at the top of the daily report, never left showing as available.</t>
  </si>
  <si>
    <t>Rule 4 — Fit for Work:</t>
  </si>
  <si>
    <t>Fatigue on a 23-day shutdown is a Life Saving Rule matter. Rostering and fatigue days in the Shutdown Costing model are rule compliance, not garnish.</t>
  </si>
  <si>
    <t>Rule 2 — High-Risk Work:</t>
  </si>
  <si>
    <t>No high-risk task starts without a completed risk assessment and SWMS sign-on (SWMS-CTS-001).</t>
  </si>
  <si>
    <t>Author: Andrew Fisher   |   POWERED BY SITEIQ   |   Source: Coates Life Saving Rules poster SEQ-GL-009</t>
  </si>
  <si>
    <t>K2 SHUTDOWN — COMPLIANCE &amp; ASSURANCE</t>
  </si>
  <si>
    <t>Cement Australia Gladstone  |  20 Jul – 11 Aug 2026  |  Coates Shutdown Toolstore</t>
  </si>
  <si>
    <t>Inspection &amp; Test Compliance</t>
  </si>
  <si>
    <t>Electrical equipment:</t>
  </si>
  <si>
    <t>COMPLIANT — Test &amp; tag current across the fleet. Current period tag colour: BLUE (June – August 2026).</t>
  </si>
  <si>
    <t>Rigging equipment:</t>
  </si>
  <si>
    <t>COMPLIANT — Quarterly inspection current across the fleet. Current period tag colour: BLUE (June – August 2026).</t>
  </si>
  <si>
    <t>All electrical and rigging gear issued from the toolstore carries a current BLUE tag. Out-of-period tags are quarantined at return, not reissued.</t>
  </si>
  <si>
    <t>Daily Toolstore Assurance Routines</t>
  </si>
  <si>
    <t>Gas monitor bump testing:</t>
  </si>
  <si>
    <t>Every gas monitor is bump tested and charged daily at the toolstore before reissue. No monitor is issued without a current bump test.</t>
  </si>
  <si>
    <t>Stock checks:</t>
  </si>
  <si>
    <t>SWMS sign-on:</t>
  </si>
  <si>
    <t>No high-risk task commences without a completed risk assessment and sign-on to SWMS-CTS-001 (Life Saving Rule 2).</t>
  </si>
  <si>
    <t>Daily Return Targets — End of Shift, to the Toolstore</t>
  </si>
  <si>
    <t>Gas monitors:</t>
  </si>
  <si>
    <t>Return daily for bump test, charging, inspection and reissue.</t>
  </si>
  <si>
    <t>Radios &amp; batteries:</t>
  </si>
  <si>
    <t>Return daily for charging, inspection and radio availability.</t>
  </si>
  <si>
    <t>General tooling:</t>
  </si>
  <si>
    <t>Return daily for inspection, charging and availability.</t>
  </si>
  <si>
    <t>Escalation Ladder — Outstanding Equipment</t>
  </si>
  <si>
    <t>Day 0–1:</t>
  </si>
  <si>
    <t>Return Today — standard daily return expectation.</t>
  </si>
  <si>
    <t>Day 2:</t>
  </si>
  <si>
    <t>Overdue — Medium priority; holder contacted.</t>
  </si>
  <si>
    <t>Day 3:</t>
  </si>
  <si>
    <t>High priority — supervisor follow-up.</t>
  </si>
  <si>
    <t>Day 4+:</t>
  </si>
  <si>
    <t>Critical — Long Term Outstanding; escalated with replacement cost visibility.</t>
  </si>
  <si>
    <t>Value Protection</t>
  </si>
  <si>
    <t>Replacement exposure:</t>
  </si>
  <si>
    <t>Every on-hire line carries replacement cost visibility — general tooling schedule $999,028.69 across 3,897 units, plus current Milwaukee market pricing (~$145.8k across 287 units).</t>
  </si>
  <si>
    <t>Price discipline:</t>
  </si>
  <si>
    <t>Estimated replacement prices are quote-gated — nothing is charged to Cement Australia without a verified supplier quote.</t>
  </si>
  <si>
    <t>Author: Andrew Fisher   |   POWERED BY SITEIQ   |   The Coates Way — Best Service &amp; Value</t>
  </si>
  <si>
    <t>Replacement Price Basis</t>
  </si>
  <si>
    <t>Spot - Mellor</t>
  </si>
  <si>
    <t>11:51 AM</t>
  </si>
  <si>
    <t>Josh - Bevan</t>
  </si>
  <si>
    <t>1268625</t>
  </si>
  <si>
    <t>06:54 AM</t>
  </si>
  <si>
    <t>EXTNLEAD240V15A-0395</t>
  </si>
  <si>
    <t>08:23 AM</t>
  </si>
  <si>
    <t>Milwaukee Model</t>
  </si>
  <si>
    <t>Market Replacement Price</t>
  </si>
  <si>
    <t>Unit Daily Rate (Avg)</t>
  </si>
  <si>
    <t>Daily Hire Value On Hire</t>
  </si>
  <si>
    <t>Est Period Hire Value</t>
  </si>
  <si>
    <t>Cement Site Plant</t>
  </si>
  <si>
    <t>Telehandler 3.0T (6.8M)</t>
  </si>
  <si>
    <t>UNITS ISSUED / FLEET</t>
  </si>
  <si>
    <t>ISSUE RATE</t>
  </si>
  <si>
    <t>Replacement Exposure</t>
  </si>
  <si>
    <t>Overdue 2d</t>
  </si>
  <si>
    <t>High 3d</t>
  </si>
  <si>
    <t>Critical 4d+</t>
  </si>
  <si>
    <t>General Tooling</t>
  </si>
  <si>
    <t>Milwaukee</t>
  </si>
  <si>
    <t>Units Issued</t>
  </si>
  <si>
    <t>K2 EXECUTIVE CONTROLS &amp; EXCEPTIONS</t>
  </si>
  <si>
    <t>CEMENT AUSTRALIA
GLADSTONE  |  V11</t>
  </si>
  <si>
    <t>OVERALL CONTROL HEALTH</t>
  </si>
  <si>
    <t>CRITICAL EXCEPTIONS</t>
  </si>
  <si>
    <t>HIGH EXCEPTIONS</t>
  </si>
  <si>
    <t>ACTUAL COMPLETION</t>
  </si>
  <si>
    <t>PRIORITY CONTROL WATCHLIST — LIVE STATUS</t>
  </si>
  <si>
    <t>SEVERITY</t>
  </si>
  <si>
    <t>DOMAIN</t>
  </si>
  <si>
    <t>CONTROL</t>
  </si>
  <si>
    <t>OBSERVED</t>
  </si>
  <si>
    <t>OWNER</t>
  </si>
  <si>
    <t>STATUS</t>
  </si>
  <si>
    <t>DATE</t>
  </si>
  <si>
    <t>PLANT</t>
  </si>
  <si>
    <t>TOOLING</t>
  </si>
  <si>
    <t>RADIO</t>
  </si>
  <si>
    <t>GAS</t>
  </si>
  <si>
    <t>LABOUR</t>
  </si>
  <si>
    <t>ACCOM</t>
  </si>
  <si>
    <t>TRANSPORT</t>
  </si>
  <si>
    <t>DAMAGE</t>
  </si>
  <si>
    <t>COMPLETE</t>
  </si>
  <si>
    <t>QUANTITY / CLASSIFICATION RECONCILIATION</t>
  </si>
  <si>
    <t>FORECAST SENSITIVITY</t>
  </si>
  <si>
    <t>CLASS</t>
  </si>
  <si>
    <t>PLANNED</t>
  </si>
  <si>
    <t>LIVE</t>
  </si>
  <si>
    <t>GAP</t>
  </si>
  <si>
    <t>CHARGE BASIS</t>
  </si>
  <si>
    <t>DRIVER</t>
  </si>
  <si>
    <t>DOWNSIDE</t>
  </si>
  <si>
    <t>UPSIDE</t>
  </si>
  <si>
    <t>Tooling utilisation ±10pp</t>
  </si>
  <si>
    <t>Shutdown duration ±1 day</t>
  </si>
  <si>
    <t>Transport ±10%</t>
  </si>
  <si>
    <t>Labour + accommodation ±10%</t>
  </si>
  <si>
    <t>Replacement exposure ±20%</t>
  </si>
  <si>
    <t>Bulk quantity charge basis</t>
  </si>
  <si>
    <t>Radio/gas 21→23 days</t>
  </si>
  <si>
    <t>Daily Rate (Each)</t>
  </si>
  <si>
    <t>Daily Fleet Charge</t>
  </si>
  <si>
    <t>Register built from SiteIQ RENTAL_STOCK (Cement Site Plant). Rates: agreed register pricing first, contract rates for new items. Gas monitors ($29.75/day) and DP4801e radios ($12.81/day) are charged daily for the full fleet, whether issued or in the toolstore. Expected items pending SiteIQ arrival are listed last.</t>
  </si>
  <si>
    <t>Coates' Role — Equipment Management On Site</t>
  </si>
  <si>
    <t>Coates manages the equipment fleet on site end to end. Every piece of gear that comes back through the toolstore is checked in, cleaned, checked for compliance and checked for safe use before it is reissued. Nothing goes back on the shelf unverified.</t>
  </si>
  <si>
    <t>Every Return, Every Time</t>
  </si>
  <si>
    <t>1. Check in:</t>
  </si>
  <si>
    <t>Scanned back to the toolstore — the on-hire registers and company accountability update on refresh.</t>
  </si>
  <si>
    <t>2. Clean:</t>
  </si>
  <si>
    <t>Cleaned before restocking — gear goes back on the shelf ready to issue.</t>
  </si>
  <si>
    <t>3. Compliance check:</t>
  </si>
  <si>
    <t>Test tags, inspection currency and bump-test status verified against the BLUE period.</t>
  </si>
  <si>
    <t>4. Safe-use check:</t>
  </si>
  <si>
    <t>Inspected for damage and defects. Anything unsafe is tagged out and removed from service (Life Saving Rule 5) and led as an exception in the daily report.</t>
  </si>
  <si>
    <t>Milwaukee batteries:</t>
  </si>
  <si>
    <t>Return daily for charging and rotation.</t>
  </si>
  <si>
    <t>Stock checks are completed in store and recorded in the Stocktake Log tab — SiteIQ holdings and the physical toolstore stay aligned throughout the shutdown.</t>
  </si>
  <si>
    <t>Hire charges:</t>
  </si>
  <si>
    <t>Gas monitors $29.75/day and DP4801e radios $12.81/day are charged for the full fleet daily, whether issued or in the toolstore. All other equipment is charged per the contracted rates when on hire.</t>
  </si>
  <si>
    <t>K2 SHUTDOWN COMMAND CENTRE</t>
  </si>
  <si>
    <t>CEMENT AUSTRALIA
GLADSTONE  |  2026</t>
  </si>
  <si>
    <t>LIVE DAILY HIRE VALUE</t>
  </si>
  <si>
    <t>LIVE ISSUE RATE</t>
  </si>
  <si>
    <t>CRITICAL RETURNS 4+ DAYS</t>
  </si>
  <si>
    <t>RECONCILED FORECAST</t>
  </si>
  <si>
    <t>ACTUAL — GATED</t>
  </si>
  <si>
    <t>REPLACEMENT EXPOSURE</t>
  </si>
  <si>
    <t>OPEN EXCEPTIONS</t>
  </si>
  <si>
    <t>RETURN DISCIPLINE  |  FINANCIAL CONTROL</t>
  </si>
  <si>
    <t>REGISTER</t>
  </si>
  <si>
    <t>ITEMS OUT</t>
  </si>
  <si>
    <t>EXPOSURE</t>
  </si>
  <si>
    <t>OVERDUE 2D</t>
  </si>
  <si>
    <t>HIGH 3D</t>
  </si>
  <si>
    <t>CRITICAL 4D+</t>
  </si>
  <si>
    <t>FINANCIAL CONTROL</t>
  </si>
  <si>
    <t>VALUE</t>
  </si>
  <si>
    <t>Reconciled source forecast</t>
  </si>
  <si>
    <t>Daily Tracking live forecast</t>
  </si>
  <si>
    <t>Model gap after live re-baseline</t>
  </si>
  <si>
    <t>Radio Batteries</t>
  </si>
  <si>
    <t>Provisional actual to date</t>
  </si>
  <si>
    <t>Variance to date</t>
  </si>
  <si>
    <t>LIVE STORAGE VALUE  |  DAILY FORECAST VS ACTUAL</t>
  </si>
  <si>
    <t>STORAGE UNIT</t>
  </si>
  <si>
    <t>ISSUED</t>
  </si>
  <si>
    <t>DAILY VALUE</t>
  </si>
  <si>
    <t>PERIOD VALUE</t>
  </si>
  <si>
    <t>FLEET</t>
  </si>
  <si>
    <t>Armorzone Barriers</t>
  </si>
  <si>
    <t>Chute 1m Sections</t>
  </si>
  <si>
    <t>Chute Frames</t>
  </si>
  <si>
    <t>Chute Top Hoppers</t>
  </si>
  <si>
    <t>V11 CONTROLLED  •  REFRESH, COMPLETE ACTUALS, REVIEW EXCEPTIONS  |  Andrew Fisher — Shutdown Manager</t>
  </si>
  <si>
    <t>K2 COMPANY ACCOUNTABILITY — RISK-RANKED ACTIVE COMPANIES</t>
  </si>
  <si>
    <t>Total Items</t>
  </si>
  <si>
    <t>Oldest Days</t>
  </si>
  <si>
    <t>Exposure / Item</t>
  </si>
  <si>
    <t>Age Risk</t>
  </si>
  <si>
    <t>Exposure Risk</t>
  </si>
  <si>
    <t>Portfolio Risk</t>
  </si>
  <si>
    <t>Risk Score</t>
  </si>
  <si>
    <t>Risk Band</t>
  </si>
  <si>
    <t>Action</t>
  </si>
  <si>
    <t>Action Owner</t>
  </si>
  <si>
    <t>Action Due</t>
  </si>
  <si>
    <t>Last Contact</t>
  </si>
  <si>
    <t>Promised Return</t>
  </si>
  <si>
    <t>Notes</t>
  </si>
  <si>
    <t>Daily Forecast</t>
  </si>
  <si>
    <t>Daily Actual</t>
  </si>
  <si>
    <t>Cumulative Forecast</t>
  </si>
  <si>
    <t>Cumulative Actual</t>
  </si>
  <si>
    <t>Last Successful Refresh</t>
  </si>
  <si>
    <t>Period Hire Value</t>
  </si>
  <si>
    <t>Fleet Qty</t>
  </si>
  <si>
    <t>Issue Rate</t>
  </si>
  <si>
    <t>FORECAST_TO_DATE_HELPER</t>
  </si>
  <si>
    <t>Refresh Status</t>
  </si>
  <si>
    <t>READY</t>
  </si>
  <si>
    <t>Shutdown Stage</t>
  </si>
  <si>
    <t>Live Daily Hire Value</t>
  </si>
  <si>
    <t>Live Period Hire Value</t>
  </si>
  <si>
    <t>Fleet Units</t>
  </si>
  <si>
    <t>Critical Returns 4d+</t>
  </si>
  <si>
    <t>Prices Awaiting Verification</t>
  </si>
  <si>
    <t>Planned Plant Daily Value</t>
  </si>
  <si>
    <t>Planned Plant Forecast</t>
  </si>
  <si>
    <t>Daily Tracking Forecast</t>
  </si>
  <si>
    <t>Actual Total</t>
  </si>
  <si>
    <t>Forecast to Date</t>
  </si>
  <si>
    <t>Actual to Date</t>
  </si>
  <si>
    <t>Variance to Date</t>
  </si>
  <si>
    <t>Model Health</t>
  </si>
  <si>
    <t>Active Companies</t>
  </si>
  <si>
    <t>Companies Requiring Action</t>
  </si>
  <si>
    <t>Detailed Tooling Forecast</t>
  </si>
  <si>
    <t>Radio Forecast (Tracker)</t>
  </si>
  <si>
    <t>Gas Forecast (Tracker)</t>
  </si>
  <si>
    <t>Labour Forecast</t>
  </si>
  <si>
    <t>Accommodation Forecast</t>
  </si>
  <si>
    <t>Transport Forecast</t>
  </si>
  <si>
    <t>Damage Forecast</t>
  </si>
  <si>
    <t>Reconciled Forecast</t>
  </si>
  <si>
    <t>Model Gap</t>
  </si>
  <si>
    <t>Plant Forecast Gap</t>
  </si>
  <si>
    <t>Tooling Forecast Gap</t>
  </si>
  <si>
    <t>Last Snapshot</t>
  </si>
  <si>
    <t>Last Error</t>
  </si>
  <si>
    <t>Last PDF</t>
  </si>
  <si>
    <t>Email To</t>
  </si>
  <si>
    <t>Email CC</t>
  </si>
  <si>
    <t>Email Subject</t>
  </si>
  <si>
    <t>Cement Australia K2 Daily Dashboard</t>
  </si>
  <si>
    <t>Last Accountability Refresh</t>
  </si>
  <si>
    <t>Control Health</t>
  </si>
  <si>
    <t>Open Exceptions</t>
  </si>
  <si>
    <t>Critical Exceptions</t>
  </si>
  <si>
    <t>High Exceptions</t>
  </si>
  <si>
    <t>Missing Actual Cells</t>
  </si>
  <si>
    <t>Unreceived Plant</t>
  </si>
  <si>
    <t>Critical Stockouts</t>
  </si>
  <si>
    <t>Approved Overrides</t>
  </si>
  <si>
    <t>STOCKTAKE LOG — K2 TOOLSTORE</t>
  </si>
  <si>
    <t>Variance</t>
  </si>
  <si>
    <t>Counted By</t>
  </si>
  <si>
    <t>K2 V11 CONTROL CONFIGURATION</t>
  </si>
  <si>
    <t>Governed settings, source registry, cost categories and canonical asset classification. Orange inputs require owner approval.</t>
  </si>
  <si>
    <t>Setting ID</t>
  </si>
  <si>
    <t>Value</t>
  </si>
  <si>
    <t>Unit</t>
  </si>
  <si>
    <t>Control Owner</t>
  </si>
  <si>
    <t>Editable</t>
  </si>
  <si>
    <t>Source ID</t>
  </si>
  <si>
    <t>Domain</t>
  </si>
  <si>
    <t>Source Object</t>
  </si>
  <si>
    <t>Source Mode</t>
  </si>
  <si>
    <t>Required</t>
  </si>
  <si>
    <t>Freshness SLA Hours</t>
  </si>
  <si>
    <t>Last Loaded</t>
  </si>
  <si>
    <t>CONTROL_AS_OF_DATE</t>
  </si>
  <si>
    <t>date</t>
  </si>
  <si>
    <t>Shutdown Manager</t>
  </si>
  <si>
    <t>NO</t>
  </si>
  <si>
    <t>Authoritative control date</t>
  </si>
  <si>
    <t>LIVE_UTIL</t>
  </si>
  <si>
    <t>Data</t>
  </si>
  <si>
    <t>RENTAL_STOCK</t>
  </si>
  <si>
    <t>Power Query</t>
  </si>
  <si>
    <t>Data Owner</t>
  </si>
  <si>
    <t>YES</t>
  </si>
  <si>
    <t>ERROR — 163</t>
  </si>
  <si>
    <t>Resolve query errors</t>
  </si>
  <si>
    <t>TRACKING_START</t>
  </si>
  <si>
    <t>Daily Tracking first date</t>
  </si>
  <si>
    <t>PLANT_REGISTER</t>
  </si>
  <si>
    <t>Plant</t>
  </si>
  <si>
    <t>AssetRegisterTable2219</t>
  </si>
  <si>
    <t>Internal</t>
  </si>
  <si>
    <t>Plant Coordinator</t>
  </si>
  <si>
    <t>ACTIVE</t>
  </si>
  <si>
    <t>Receipt evidence required</t>
  </si>
  <si>
    <t>TRACKING_END</t>
  </si>
  <si>
    <t>Daily Tracking final date</t>
  </si>
  <si>
    <t>BULK_REGISTER</t>
  </si>
  <si>
    <t>BulkEquipmentTable</t>
  </si>
  <si>
    <t>Charge basis pending</t>
  </si>
  <si>
    <t>DAILY_CLOSE_TIME</t>
  </si>
  <si>
    <t>day fraction</t>
  </si>
  <si>
    <t>Closed-day threshold; 0.75 equals 18:00</t>
  </si>
  <si>
    <t>TOOLING_ESTIMATE</t>
  </si>
  <si>
    <t>Forecast</t>
  </si>
  <si>
    <t>K2EstimateTable</t>
  </si>
  <si>
    <t>Commercial</t>
  </si>
  <si>
    <t>40% base utilisation</t>
  </si>
  <si>
    <t>MODEL_GAP_TOLERANCE</t>
  </si>
  <si>
    <t>$</t>
  </si>
  <si>
    <t>Commercial Manager</t>
  </si>
  <si>
    <t>Maximum permitted reconciliation difference</t>
  </si>
  <si>
    <t>TOOLING_ONHIRE</t>
  </si>
  <si>
    <t>Actual</t>
  </si>
  <si>
    <t>Tooling_Onhire__4</t>
  </si>
  <si>
    <t>Provisional run-rate</t>
  </si>
  <si>
    <t>VALUE_TOLERANCE</t>
  </si>
  <si>
    <t>%</t>
  </si>
  <si>
    <t>Component-level tolerance</t>
  </si>
  <si>
    <t>MILWAUKEE_ONHIRE</t>
  </si>
  <si>
    <t>RENTAL_STOCK__3</t>
  </si>
  <si>
    <t>EMPTY</t>
  </si>
  <si>
    <t>Confirm expected state</t>
  </si>
  <si>
    <t>INBOUND_LEAD_DAYS</t>
  </si>
  <si>
    <t>days</t>
  </si>
  <si>
    <t>Inbound readiness look-ahead</t>
  </si>
  <si>
    <t>RADIOS_ONHIRE</t>
  </si>
  <si>
    <t>Radios_Onhire</t>
  </si>
  <si>
    <t>CLASSIFICATION CHECK</t>
  </si>
  <si>
    <t>Separate batteries</t>
  </si>
  <si>
    <t>RETURN_FOLLOWUP_DAYS</t>
  </si>
  <si>
    <t>Toolstore Supervisor</t>
  </si>
  <si>
    <t>Contractor follow-up threshold</t>
  </si>
  <si>
    <t>GAS_ONHIRE</t>
  </si>
  <si>
    <t>Gas_Monitors_Onhire</t>
  </si>
  <si>
    <t>RETURN_HIGH_DAYS</t>
  </si>
  <si>
    <t>High return threshold</t>
  </si>
  <si>
    <t>SHUTDOWN_COSTING</t>
  </si>
  <si>
    <t>ShutdownCostingTable</t>
  </si>
  <si>
    <t>Controlled</t>
  </si>
  <si>
    <t>Roster and accommodation</t>
  </si>
  <si>
    <t>RETURN_CRITICAL_DAYS</t>
  </si>
  <si>
    <t>Critical return threshold</t>
  </si>
  <si>
    <t>DAILY_TRACKING</t>
  </si>
  <si>
    <t>Ledger</t>
  </si>
  <si>
    <t>DailyTrackingTable</t>
  </si>
  <si>
    <t>Finance</t>
  </si>
  <si>
    <t>ACTUALS MISSING</t>
  </si>
  <si>
    <t>Eight-category gate</t>
  </si>
  <si>
    <t>ACTUAL_REQUIRED_CATEGORIES</t>
  </si>
  <si>
    <t>categories</t>
  </si>
  <si>
    <t>Required daily actual inputs</t>
  </si>
  <si>
    <t>TRANSPORT_CONTRACT</t>
  </si>
  <si>
    <t>PO / Contract</t>
  </si>
  <si>
    <t>Manual</t>
  </si>
  <si>
    <t>UNVERIFIED</t>
  </si>
  <si>
    <t>$44,849 events</t>
  </si>
  <si>
    <t>EXPOSURE_HIGH_THRESHOLD</t>
  </si>
  <si>
    <t>Company exposure scoring threshold</t>
  </si>
  <si>
    <t>DAMAGE_BASIS</t>
  </si>
  <si>
    <t>Approved Policy</t>
  </si>
  <si>
    <t>UNAPPROVED</t>
  </si>
  <si>
    <t>Current forecast zero</t>
  </si>
  <si>
    <t>SHUTDOWN_DAYS</t>
  </si>
  <si>
    <t>Plant and tooling base duration</t>
  </si>
  <si>
    <t>COMPANY_ACCOUNTABILITY</t>
  </si>
  <si>
    <t>Operations</t>
  </si>
  <si>
    <t>CompanyAccountabilityTable</t>
  </si>
  <si>
    <t>Macro</t>
  </si>
  <si>
    <t>Toolstore</t>
  </si>
  <si>
    <t>Risk-ranked workflow</t>
  </si>
  <si>
    <t>TOOLING_UTIL_BASE</t>
  </si>
  <si>
    <t>Tooling forecast utilisation</t>
  </si>
  <si>
    <t>STOCKTAKE_LOG</t>
  </si>
  <si>
    <t>Stock</t>
  </si>
  <si>
    <t>StocktakeLogTable</t>
  </si>
  <si>
    <t>Shift Supervisor</t>
  </si>
  <si>
    <t>Complete prestart count</t>
  </si>
  <si>
    <t>RADIO_GAS_FORECAST_DAYS</t>
  </si>
  <si>
    <t>Current radio and gas charge period</t>
  </si>
  <si>
    <t>REPORTING_TIMEZONE</t>
  </si>
  <si>
    <t>Australia/Brisbane</t>
  </si>
  <si>
    <t>timezone</t>
  </si>
  <si>
    <t>Site reporting timezone</t>
  </si>
  <si>
    <t>QUERY_ERROR_COUNT</t>
  </si>
  <si>
    <t>rows</t>
  </si>
  <si>
    <t>SYSTEM</t>
  </si>
  <si>
    <t>Write from refresh validation</t>
  </si>
  <si>
    <t>SAFETY_APPROVED</t>
  </si>
  <si>
    <t>0/1</t>
  </si>
  <si>
    <t>HSE Lead</t>
  </si>
  <si>
    <t>Set only after fatigue/compliance review</t>
  </si>
  <si>
    <t>AUTOMATION_COMMISSIONED</t>
  </si>
  <si>
    <t>Installer writes after smoke test</t>
  </si>
  <si>
    <t>SOURCE_PATH</t>
  </si>
  <si>
    <t>folder</t>
  </si>
  <si>
    <t>DAILY ACTUAL COST CATEGORIES</t>
  </si>
  <si>
    <t>Cost Category ID</t>
  </si>
  <si>
    <t>Display Name</t>
  </si>
  <si>
    <t>Forecast Header</t>
  </si>
  <si>
    <t>Actual Header</t>
  </si>
  <si>
    <t>Actual Mode</t>
  </si>
  <si>
    <t>Plant Equipment</t>
  </si>
  <si>
    <t>AUTO</t>
  </si>
  <si>
    <t>TRUE</t>
  </si>
  <si>
    <t>Tooling Hire</t>
  </si>
  <si>
    <t>Radio Family</t>
  </si>
  <si>
    <t>AUTO_COMBINED</t>
  </si>
  <si>
    <t>Personnel / Labour</t>
  </si>
  <si>
    <t>MANUAL</t>
  </si>
  <si>
    <t>Transport</t>
  </si>
  <si>
    <t>Damage Recovery</t>
  </si>
  <si>
    <t>CANONICAL ASSET CLASSIFICATION — PRIORITY ORDER</t>
  </si>
  <si>
    <t>Class ID</t>
  </si>
  <si>
    <t>Roll-up</t>
  </si>
  <si>
    <t>Canonical Family</t>
  </si>
  <si>
    <t>Priority</t>
  </si>
  <si>
    <t>Source Table</t>
  </si>
  <si>
    <t>Match Column</t>
  </si>
  <si>
    <t>Match Type</t>
  </si>
  <si>
    <t>Match Pattern</t>
  </si>
  <si>
    <t>Planned Qty Source</t>
  </si>
  <si>
    <t>Forecast Source</t>
  </si>
  <si>
    <t>Actual Source</t>
  </si>
  <si>
    <t>Charge Basis</t>
  </si>
  <si>
    <t>Charge Basis Status</t>
  </si>
  <si>
    <t>Actual Required</t>
  </si>
  <si>
    <t>Default Criticality</t>
  </si>
  <si>
    <t>Active</t>
  </si>
  <si>
    <t>RADIO_BATTERY</t>
  </si>
  <si>
    <t>KEYWORDS</t>
  </si>
  <si>
    <t>BATTERY|BATT|NNTN8129|IMPRES</t>
  </si>
  <si>
    <t>Included/Pending</t>
  </si>
  <si>
    <t>UNRESOLVED</t>
  </si>
  <si>
    <t>HIGH</t>
  </si>
  <si>
    <t>RADIO_HANDSET</t>
  </si>
  <si>
    <t>Radio Handset</t>
  </si>
  <si>
    <t>MOTOROLA|RADIO</t>
  </si>
  <si>
    <t>Daily Tracking</t>
  </si>
  <si>
    <t>PRICED</t>
  </si>
  <si>
    <t>APPROVED</t>
  </si>
  <si>
    <t>Contracted Rates</t>
  </si>
  <si>
    <t>BARRIER_ARMORZONE</t>
  </si>
  <si>
    <t>Armorzone Barrier</t>
  </si>
  <si>
    <t>EXACT</t>
  </si>
  <si>
    <t>VERIFY</t>
  </si>
  <si>
    <t>FALSE</t>
  </si>
  <si>
    <t>MEDIUM</t>
  </si>
  <si>
    <t>BARRIER_CROWD_CONTROL</t>
  </si>
  <si>
    <t>CHUTE_SECTION_1M</t>
  </si>
  <si>
    <t>Rubbish Chute 1m Section</t>
  </si>
  <si>
    <t>CHUTE_FRAME</t>
  </si>
  <si>
    <t>CHUTE_TOP_HOPPER</t>
  </si>
  <si>
    <t>GAS_MONITOR</t>
  </si>
  <si>
    <t>Multi-Gas Monitor</t>
  </si>
  <si>
    <t>GAS MONITOR|MULTI GAS</t>
  </si>
  <si>
    <t>Gas_Onhire</t>
  </si>
  <si>
    <t>PLANT_CORE</t>
  </si>
  <si>
    <t>Plant_Onhire</t>
  </si>
  <si>
    <t>TOOLING_GENERAL</t>
  </si>
  <si>
    <t>Multiple</t>
  </si>
  <si>
    <t>NOT BLANK</t>
  </si>
  <si>
    <t>*</t>
  </si>
  <si>
    <t>Tooling to Supply</t>
  </si>
  <si>
    <t>MILWAUKEE</t>
  </si>
  <si>
    <t>Labour</t>
  </si>
  <si>
    <t>DIRECT</t>
  </si>
  <si>
    <t>Roster</t>
  </si>
  <si>
    <t>ACCOMMODATION</t>
  </si>
  <si>
    <t>PO/Contract</t>
  </si>
  <si>
    <t>DAMAGE_RECOVERY</t>
  </si>
  <si>
    <t>Policy</t>
  </si>
  <si>
    <t>K2 V11 CONTROL DATA — FORMULA-DRIVEN, DO NOT OVERWRITE</t>
  </si>
  <si>
    <t>Cost Category</t>
  </si>
  <si>
    <t>Actual Value</t>
  </si>
  <si>
    <t>Day State</t>
  </si>
  <si>
    <t>Override Status</t>
  </si>
  <si>
    <t>Override Reason</t>
  </si>
  <si>
    <t>Source Timestamp</t>
  </si>
  <si>
    <t>Age Hours</t>
  </si>
  <si>
    <t>Exception Key</t>
  </si>
  <si>
    <t>Control ID</t>
  </si>
  <si>
    <t>Display Order</t>
  </si>
  <si>
    <t>Control</t>
  </si>
  <si>
    <t>Severity</t>
  </si>
  <si>
    <t>Severity Rank</t>
  </si>
  <si>
    <t>Observed</t>
  </si>
  <si>
    <t>Rule / Target</t>
  </si>
  <si>
    <t>Exception Detail</t>
  </si>
  <si>
    <t>Source</t>
  </si>
  <si>
    <t>Last Evaluated</t>
  </si>
  <si>
    <t>Override Approver</t>
  </si>
  <si>
    <t>Override Timestamp</t>
  </si>
  <si>
    <t>Effective Status</t>
  </si>
  <si>
    <t>Exception Sort Key</t>
  </si>
  <si>
    <t>Complete / Approved</t>
  </si>
  <si>
    <t>Completion %</t>
  </si>
  <si>
    <t>Driver</t>
  </si>
  <si>
    <t>Downside</t>
  </si>
  <si>
    <t>Upside</t>
  </si>
  <si>
    <t>MISSING</t>
  </si>
  <si>
    <t>ACTUAL|20260701|PLANT</t>
  </si>
  <si>
    <t>REFRESH_STATUS</t>
  </si>
  <si>
    <t>Refresh completed</t>
  </si>
  <si>
    <t>Critical</t>
  </si>
  <si>
    <t>READY required</t>
  </si>
  <si>
    <t>Dashboard Data</t>
  </si>
  <si>
    <t>ACTUAL|20260701|TOOLING</t>
  </si>
  <si>
    <t>REFRESH_FRESHNESS</t>
  </si>
  <si>
    <t>Refresh is current</t>
  </si>
  <si>
    <t>Refresh date must equal control date</t>
  </si>
  <si>
    <t>ACTUAL|20260701|RADIO</t>
  </si>
  <si>
    <t>SOURCE_PATH_CONFIG</t>
  </si>
  <si>
    <t>Governed source path</t>
  </si>
  <si>
    <t>Set Control Config SOURCE_PATH</t>
  </si>
  <si>
    <t>Control Config</t>
  </si>
  <si>
    <t>ACTUAL|20260701|GAS</t>
  </si>
  <si>
    <t>QUERY_ERRORS</t>
  </si>
  <si>
    <t>Power Query errors</t>
  </si>
  <si>
    <t>Zero unexplained errors</t>
  </si>
  <si>
    <t>DataMashup</t>
  </si>
  <si>
    <t>ACTUAL|20260701|LABOUR</t>
  </si>
  <si>
    <t>MODEL_GAP</t>
  </si>
  <si>
    <t>Model reconciliation gap</t>
  </si>
  <si>
    <t>High</t>
  </si>
  <si>
    <t>Within configured tolerance</t>
  </si>
  <si>
    <t>ACTUAL|20260701|ACCOM</t>
  </si>
  <si>
    <t>ACTUAL_MISSING</t>
  </si>
  <si>
    <t>Actuals</t>
  </si>
  <si>
    <t>Closed-date actual inputs</t>
  </si>
  <si>
    <t>Zero missing category-days</t>
  </si>
  <si>
    <t>Actual Completeness</t>
  </si>
  <si>
    <t>ACTUAL|20260701|TRANSPORT</t>
  </si>
  <si>
    <t>ACTUAL_PARTIAL_DAYS</t>
  </si>
  <si>
    <t>Partially complete dates</t>
  </si>
  <si>
    <t>Zero partial closed dates</t>
  </si>
  <si>
    <t>Daily Completeness</t>
  </si>
  <si>
    <t>ACTUAL|20260701|DAMAGE</t>
  </si>
  <si>
    <t>RADIO_HANDSET_QTY</t>
  </si>
  <si>
    <t>Mapping</t>
  </si>
  <si>
    <t>Radio handset quantity</t>
  </si>
  <si>
    <t>Planned equals live</t>
  </si>
  <si>
    <t>Quantity Reconciliation</t>
  </si>
  <si>
    <t>ACTUAL|20260702|PLANT</t>
  </si>
  <si>
    <t>RADIO_BATTERY_QTY</t>
  </si>
  <si>
    <t>Radio battery quantity</t>
  </si>
  <si>
    <t>ACTUAL|20260702|TOOLING</t>
  </si>
  <si>
    <t>OTHER_BULK_QTY</t>
  </si>
  <si>
    <t>Barrier and chute quantities</t>
  </si>
  <si>
    <t>Every subtype reconciles</t>
  </si>
  <si>
    <t>ACTUAL|20260702|RADIO</t>
  </si>
  <si>
    <t>PLANT_INBOUND</t>
  </si>
  <si>
    <t>Plant receipt readiness</t>
  </si>
  <si>
    <t>Receipt recorded before release</t>
  </si>
  <si>
    <t>ACTUAL|20260702|GAS</t>
  </si>
  <si>
    <t>FAILED_BASEPLAN</t>
  </si>
  <si>
    <t>Failed baseplan assets</t>
  </si>
  <si>
    <t>Zero unresolved failures</t>
  </si>
  <si>
    <t>ACTUAL|20260702|LABOUR</t>
  </si>
  <si>
    <t>CRITICAL_STOCKOUT</t>
  </si>
  <si>
    <t>Critical zero-availability groups</t>
  </si>
  <si>
    <t>Zero unresolved critical stockouts</t>
  </si>
  <si>
    <t>Live Utilisation</t>
  </si>
  <si>
    <t>ACTUAL|20260702|ACCOM</t>
  </si>
  <si>
    <t>PRICE_VERIFICATION</t>
  </si>
  <si>
    <t>Draft replacement prices</t>
  </si>
  <si>
    <t>All active prices verified</t>
  </si>
  <si>
    <t>ACTUAL|20260702|TRANSPORT</t>
  </si>
  <si>
    <t>TRANSPORT_SOURCE</t>
  </si>
  <si>
    <t>Transport source approval</t>
  </si>
  <si>
    <t>Approved PO or contract</t>
  </si>
  <si>
    <t>Source Registry</t>
  </si>
  <si>
    <t>ACTUAL|20260702|DAMAGE</t>
  </si>
  <si>
    <t>Damage forecast basis</t>
  </si>
  <si>
    <t>Medium</t>
  </si>
  <si>
    <t>Approved policy basis</t>
  </si>
  <si>
    <t>ACTUAL|20260703|PLANT</t>
  </si>
  <si>
    <t>COMPANY_ACTIONS</t>
  </si>
  <si>
    <t>Contractors</t>
  </si>
  <si>
    <t>Companies requiring action</t>
  </si>
  <si>
    <t>No overdue contractor action</t>
  </si>
  <si>
    <t>Company Accountability</t>
  </si>
  <si>
    <t>ACTUAL|20260703|TOOLING</t>
  </si>
  <si>
    <t>CHARGE_BASIS</t>
  </si>
  <si>
    <t>Unapproved charge bases</t>
  </si>
  <si>
    <t>Every active class approved</t>
  </si>
  <si>
    <t>Canonical Class</t>
  </si>
  <si>
    <t>ACTUAL|20260703|RADIO</t>
  </si>
  <si>
    <t>STOCKTAKE_EVIDENCE</t>
  </si>
  <si>
    <t>Stocktake completion</t>
  </si>
  <si>
    <t>At least one controlled stocktake</t>
  </si>
  <si>
    <t>Stocktake Log</t>
  </si>
  <si>
    <t>ACTUAL|20260703|GAS</t>
  </si>
  <si>
    <t>SAFETY_APPROVAL</t>
  </si>
  <si>
    <t>Safety</t>
  </si>
  <si>
    <t>Fatigue and assurance approval</t>
  </si>
  <si>
    <t>Named HSE approval required</t>
  </si>
  <si>
    <t>ACTUAL|20260703|LABOUR</t>
  </si>
  <si>
    <t>Automation</t>
  </si>
  <si>
    <t>Installed automation smoke test</t>
  </si>
  <si>
    <t>Signed installation and smoke test</t>
  </si>
  <si>
    <t>ACTUAL|20260703|ACCOM</t>
  </si>
  <si>
    <t>ACTUAL|20260703|TRANSPORT</t>
  </si>
  <si>
    <t>ACTUAL|20260703|DAMAGE</t>
  </si>
  <si>
    <t>Control Group</t>
  </si>
  <si>
    <t>Planned Qty</t>
  </si>
  <si>
    <t>Live Qty</t>
  </si>
  <si>
    <t>Difference</t>
  </si>
  <si>
    <t>Tolerance</t>
  </si>
  <si>
    <t>Planned Source</t>
  </si>
  <si>
    <t>Live Source</t>
  </si>
  <si>
    <t>Unit Rate</t>
  </si>
  <si>
    <t>ACTUAL|20260704|PLANT</t>
  </si>
  <si>
    <t>Dashboard Data N9</t>
  </si>
  <si>
    <t>Priced</t>
  </si>
  <si>
    <t>Core register versus live storage</t>
  </si>
  <si>
    <t>ACTUAL|20260704|TOOLING</t>
  </si>
  <si>
    <t>OTHER_BULK</t>
  </si>
  <si>
    <t>Dashboard Data N13</t>
  </si>
  <si>
    <t>Confirm individual charging</t>
  </si>
  <si>
    <t>ACTUAL|20260704|RADIO</t>
  </si>
  <si>
    <t>Dashboard Data N14</t>
  </si>
  <si>
    <t>ACTUAL|20260704|GAS</t>
  </si>
  <si>
    <t>Dashboard Data N15</t>
  </si>
  <si>
    <t>ACTUAL|20260704|LABOUR</t>
  </si>
  <si>
    <t>Dashboard Data N16</t>
  </si>
  <si>
    <t>ACTUAL|20260704|ACCOM</t>
  </si>
  <si>
    <t>Dashboard Data N17</t>
  </si>
  <si>
    <t>ACTUAL|20260704|TRANSPORT</t>
  </si>
  <si>
    <t>Dashboard Data N10</t>
  </si>
  <si>
    <t>Register quantity confirmed</t>
  </si>
  <si>
    <t>ACTUAL|20260704|DAMAGE</t>
  </si>
  <si>
    <t>Dashboard Data N11</t>
  </si>
  <si>
    <t>Register quantity confirmed; charge basis pending</t>
  </si>
  <si>
    <t>ACTUAL|20260705|PLANT</t>
  </si>
  <si>
    <t>Dashboard Data N12</t>
  </si>
  <si>
    <t>Quantity reconciled</t>
  </si>
  <si>
    <t>ACTUAL|20260705|TOOLING</t>
  </si>
  <si>
    <t>ACTUAL|20260705|RADIO</t>
  </si>
  <si>
    <t>ACTUAL|20260705|GAS</t>
  </si>
  <si>
    <t>ACTUAL|20260705|LABOUR</t>
  </si>
  <si>
    <t>ACTUAL COMPLETION %</t>
  </si>
  <si>
    <t>ACTUAL|20260705|ACCOM</t>
  </si>
  <si>
    <t>MISSING ACTUAL CELLS</t>
  </si>
  <si>
    <t>ACTUAL|20260705|TRANSPORT</t>
  </si>
  <si>
    <t>ACTUAL|20260705|DAMAGE</t>
  </si>
  <si>
    <t>OPEN</t>
  </si>
  <si>
    <t>NOT DUE</t>
  </si>
  <si>
    <t>Daily Hire Rate</t>
  </si>
  <si>
    <t>Asset Type ID</t>
  </si>
  <si>
    <t>Radio Type</t>
  </si>
  <si>
    <t>Radio Group</t>
  </si>
  <si>
    <t>Chute Frame</t>
  </si>
  <si>
    <t>Rubber Chute - 1m</t>
  </si>
  <si>
    <t>Rubber Chute Top Hopper</t>
  </si>
  <si>
    <t>Motorola Radio Battery</t>
  </si>
  <si>
    <t>Register contractors  |  Ranked by age, exposure and portfolio concentration  |  Manual actions preserved by company</t>
  </si>
  <si>
    <t>Auto-detects the folder this workbook is saved in. Type a folder path over this formula to override. If refresh errors mention an https path, turn OFF AutoSave and reopen.</t>
  </si>
  <si>
    <t>Transactions</t>
  </si>
  <si>
    <t>Items On Hire</t>
  </si>
  <si>
    <t>Cumulative Days On Hire</t>
  </si>
  <si>
    <t>Est. Hire Spend $</t>
  </si>
  <si>
    <t>Consumables Qty</t>
  </si>
  <si>
    <t>Spend per Hirer $</t>
  </si>
  <si>
    <t>Qty Taken</t>
  </si>
  <si>
    <t>Sales Date</t>
  </si>
  <si>
    <t>Sales Time</t>
  </si>
  <si>
    <t>SKU</t>
  </si>
  <si>
    <t>Available Qty</t>
  </si>
  <si>
    <t>Minimum Qty</t>
  </si>
  <si>
    <t>Reorder Qty</t>
  </si>
  <si>
    <t>Consumables - Cement</t>
  </si>
  <si>
    <t>CEME9016-584189</t>
  </si>
  <si>
    <t>ABRASIVE - METALCUT ROCOL RTD 500G - K2/26</t>
  </si>
  <si>
    <t>OK</t>
  </si>
  <si>
    <t>CEME9016-590668</t>
  </si>
  <si>
    <t>ABRASIVE DISC - CUTOFF FH38 127 X 2.5 X 22.2 - K2/26</t>
  </si>
  <si>
    <t>CEME9016-590669</t>
  </si>
  <si>
    <t>ABRASIVE DISC - GRINDING RAISED HUB A24/30T 127 X 6.8 X 22 - K2/26</t>
  </si>
  <si>
    <t>CEME9016-590670</t>
  </si>
  <si>
    <t>ABRASIVE DISC - GRINDING RAISED HUB A30S 115 X 6 X 22 - K2/26</t>
  </si>
  <si>
    <t>CEME9016-590671</t>
  </si>
  <si>
    <t>ABSORBENT PAD - OIL 300G 403 X 48CM - K2/26</t>
  </si>
  <si>
    <t>CEME9016-590672</t>
  </si>
  <si>
    <t>ADHESIVE - HIGH STRENGTH 3M 90 AEROSOL CAN 471G - K2/26</t>
  </si>
  <si>
    <t>CEME9016-590673</t>
  </si>
  <si>
    <t>ANTI-SEIZE - COPPER 1090 DEG C 500G CAN - K2/26</t>
  </si>
  <si>
    <t>CEME9016-590674</t>
  </si>
  <si>
    <t>BATTERY - AA 1.5VDC ALKALINE SUPER HEAVY DUTY - K2/26</t>
  </si>
  <si>
    <t>CEME9016-590675</t>
  </si>
  <si>
    <t>BATTERY - AAA 1.5VDC ALKALINE PROCELL - K2/26</t>
  </si>
  <si>
    <t>CEME9016-590676</t>
  </si>
  <si>
    <t>BOTTLE - SPRAY APPLICATOR 500ML - K2/26</t>
  </si>
  <si>
    <t>CEME9016-590677</t>
  </si>
  <si>
    <t>BROOM - HEAVY DUTY HAIR/FIBRE 600MM (NO HANDLE) - K2/26</t>
  </si>
  <si>
    <t>CEME9016-590679</t>
  </si>
  <si>
    <t>BUCKET - PLASTIC 9L BLACK WITH HANDLE - K2/26</t>
  </si>
  <si>
    <t>CEME9016-590680</t>
  </si>
  <si>
    <t>BUCKET - UTILITY PLASTIC 10L WHITE (WITH LID) - K2/26</t>
  </si>
  <si>
    <t>CEME9016-590681</t>
  </si>
  <si>
    <t>BUCKET - UTILITY PLASTIC 20L WHITE (WITH LID) - K2/26</t>
  </si>
  <si>
    <t>CEME9016-590682</t>
  </si>
  <si>
    <t>CABLE TIE - NYLON UV BLACK 152 X 3.5MM PK100 - K2/26</t>
  </si>
  <si>
    <t>CEME9016-590683</t>
  </si>
  <si>
    <t>CLEANER - ELECTRICAL CONTACT CRC CO 2016 350G - K2/26</t>
  </si>
  <si>
    <t>CEME9016-590684</t>
  </si>
  <si>
    <t>CLEANER - LENS UVEX 1009 SPRAY PACK 500ML - K2/26</t>
  </si>
  <si>
    <t>CEME9016-590685</t>
  </si>
  <si>
    <t>CLOTH - CLEAN ABSORBENT 490MM X 70M - K2/26</t>
  </si>
  <si>
    <t>CEME9016-590686</t>
  </si>
  <si>
    <t>CLOTH - CLEAN ROAR 245MM X 70M - K2/26</t>
  </si>
  <si>
    <t>CEME9016-590687</t>
  </si>
  <si>
    <t>DIPHOTERINE - EYEWASH EYE-SIEW 50ML - K2/26</t>
  </si>
  <si>
    <t>CEME9016-590689</t>
  </si>
  <si>
    <t>DIPHOTERINE - FACE/HAND SPRAY 100ML - K2/26</t>
  </si>
  <si>
    <t>CEME9016-590690</t>
  </si>
  <si>
    <t>DUSTPAN - METAL D-HANDLE - K2/26</t>
  </si>
  <si>
    <t>CEME9016-590691</t>
  </si>
  <si>
    <t>FLAP DISC WHEEL - 127MM 60 GRIT - K2/26</t>
  </si>
  <si>
    <t>CEME9016-590692</t>
  </si>
  <si>
    <t>GASKET FORMING COMPOUND - MASTER 51531 - K2/26</t>
  </si>
  <si>
    <t>CEME9016-590693</t>
  </si>
  <si>
    <t>HAMMER - WELDERS CHIPPING SPRING HANDLE - K2/26</t>
  </si>
  <si>
    <t>CEME9016-590694</t>
  </si>
  <si>
    <t>ICE BLOCK - ELECTROLYTE MIXED PK15 - K2/26</t>
  </si>
  <si>
    <t>CEME9016-590695</t>
  </si>
  <si>
    <t>OIL - PENETRATING CRC 5-56 400G - K2/26</t>
  </si>
  <si>
    <t>CEME9016-590696</t>
  </si>
  <si>
    <t>OIL - PENETRATING PENETRENE 500ML - K2/26</t>
  </si>
  <si>
    <t>CEME9016-590697</t>
  </si>
  <si>
    <t>OVERALL - TYVEK CHEMICAL RESISTANT HOODED XL - K2/26</t>
  </si>
  <si>
    <t>CEME9016-590698</t>
  </si>
  <si>
    <t>OVERALL - TYVEK CHEMICAL RESISTANT HOODED XXL - K2/26</t>
  </si>
  <si>
    <t>CEME9016-590699</t>
  </si>
  <si>
    <t>PADLOCK - LOCKOUT MASTER 410 (RED) - K2/26</t>
  </si>
  <si>
    <t>CEME9016-590701</t>
  </si>
  <si>
    <t>PAINT - ZINC COLD GALVANISE SPRAY 400G - K2/26</t>
  </si>
  <si>
    <t>CEME9016-590702</t>
  </si>
  <si>
    <t>PAINT BRUSH - BUDGET 50MM - K2/26</t>
  </si>
  <si>
    <t>CEME9016-590703</t>
  </si>
  <si>
    <t>PAINT BRUSH - BUDGET 75MM - K2/26</t>
  </si>
  <si>
    <t>CEME9016-590704</t>
  </si>
  <si>
    <t>PAINT BRUSH - TRADESMAN 25MM - K2/26</t>
  </si>
  <si>
    <t>CEME9016-590705</t>
  </si>
  <si>
    <t>RAG - COTTON WIPING 10KG SLAB - K2/26</t>
  </si>
  <si>
    <t>CEME9016-590706</t>
  </si>
  <si>
    <t>RESPIRATOR - P2 DISPOSABLE 8822 - K2/26</t>
  </si>
  <si>
    <t>CEME9016-590707</t>
  </si>
  <si>
    <t>RESPIRATOR - P2V FLATFOLD CARBON - K2/26</t>
  </si>
  <si>
    <t>CEME9016-590708</t>
  </si>
  <si>
    <t>ROPE - POLYPROPYLENE 10MM X 250M - K2/26</t>
  </si>
  <si>
    <t>CEME9016-590709</t>
  </si>
  <si>
    <t>ROPE - SISAL 6MM DIAMETER - K2/26</t>
  </si>
  <si>
    <t>CEME9016-590710</t>
  </si>
  <si>
    <t>SAFETY GLASSES - DAY/NIGHT - K2/26</t>
  </si>
  <si>
    <t>CEME9016-590711</t>
  </si>
  <si>
    <t>SAFETY TAG - GROUP ISOLATION - K2/26</t>
  </si>
  <si>
    <t>CEME9016-590712</t>
  </si>
  <si>
    <t>SAFETY TAG - INFORMATION - K2/26</t>
  </si>
  <si>
    <t>CEME9016-590713</t>
  </si>
  <si>
    <t>SAFETY TAG - OUT OF SERVICE - K2/26</t>
  </si>
  <si>
    <t>CEME9016-590714</t>
  </si>
  <si>
    <t>SAFETY TAG - PERSONAL ISOLATION - K2/26</t>
  </si>
  <si>
    <t>CEME9016-590715</t>
  </si>
  <si>
    <t>SEALANT - HEAT RESISTANT RTV736 RED 305ML - K2/26</t>
  </si>
  <si>
    <t>CEME9016-590717</t>
  </si>
  <si>
    <t>SHOVEL - SQUARE MOUTH LONG HANDLE MEDIUM 265 X 315MM - K2/26</t>
  </si>
  <si>
    <t>CEME9016-590718</t>
  </si>
  <si>
    <t>SQWINCHER SACHET - LEMON LIME 185ML PK50 - K2/26</t>
  </si>
  <si>
    <t>CEME9016-590720</t>
  </si>
  <si>
    <t>SQWINCHER SACHET - ORANGE 185ML PK50 - K2/26</t>
  </si>
  <si>
    <t>CEME9016-590722</t>
  </si>
  <si>
    <t>SQWINCHER SACHET - WILD BERRY 185ML PK50 - K2/26</t>
  </si>
  <si>
    <t>CEME9016-590723</t>
  </si>
  <si>
    <t>TAPE - BARRIER 'DO NOT ENTER' BLACK/RED/WHITE - K2/26</t>
  </si>
  <si>
    <t>CEME9016-590724</t>
  </si>
  <si>
    <t>TAPE - CAUTION BARRICADE YELLOW/BLACK 75MM X 100M - K2/26</t>
  </si>
  <si>
    <t>CEME9016-590726</t>
  </si>
  <si>
    <t>TAPE - DUCT PVC SILVER TESA 48 X 30M - K2/26</t>
  </si>
  <si>
    <t>CEME9016-590727</t>
  </si>
  <si>
    <t>WATER - BOTTLED 600ML PK24 - K2/26</t>
  </si>
  <si>
    <t>CEME9016-590728</t>
  </si>
  <si>
    <t>WIPES - ANTIBACTERIAL 42 X 14.3CM PK75 - K2/26</t>
  </si>
  <si>
    <t>CEME9016-590729</t>
  </si>
  <si>
    <t>WIPES - INDUSTRIAL ULTRAGRIME PK100 - K2/26</t>
  </si>
  <si>
    <t>Available Stock</t>
  </si>
  <si>
    <t>Total Taken</t>
  </si>
  <si>
    <t>Total Returned</t>
  </si>
  <si>
    <t>Unique Companies</t>
  </si>
  <si>
    <t>Utilisation %</t>
  </si>
  <si>
    <t>K2 CONSUMABLES STOCK - SHELF TRUTH</t>
  </si>
  <si>
    <t>Available shelf stock by SKU with REORDER flags. Stock at or below minimum flags REORDER - action it same day, before the counter runs dry. Customer Focused.</t>
  </si>
  <si>
    <t>SOP: physical count v Available Qty is the variance check. Life Saving Rule 5 - Tools and Equipment (SEQ-GL-009) applies to all toolstore work.  |  POWERED BY SITEIQ  |  Author: Andrew Fisher</t>
  </si>
  <si>
    <t>K2 CONSUMABLES MOVEMENT - WHO TOOK WHAT</t>
  </si>
  <si>
    <t>Every take double-scanned to a company, hirer, quantity and time. Nothing leaves the store unscanned - Chain of Responsibility in a table.</t>
  </si>
  <si>
    <t>SOP: movement with no scan is a process breach - investigate same shift. Coates Life Saving Rules SEQ-GL-009 apply.  |  POWERED BY SITEIQ  |  Author: Andrew Fisher</t>
  </si>
  <si>
    <t>K2 CONSUMABLES UTILISATION - ORDER TO EVIDENCE</t>
  </si>
  <si>
    <t>Per-SKU utilisation (taken v available + taken). High utilisation orders deeper next time; near-zero does not restock. Be Our Best.</t>
  </si>
  <si>
    <t>SOP: review weekly for restock calls; feeds the next shutdown consumables order.  |  POWERED BY SITEIQ  |  Author: Andrew Fisher</t>
  </si>
  <si>
    <t>K2 COMPANY SPEND - INTERNAL COATES VIEW</t>
  </si>
  <si>
    <t>Per-company hirers, transactions, items, cumulative days and estimated hire spend from contracted rates. INTERNAL ONLY - client-facing company reports carry replacement costs, never rates.</t>
  </si>
  <si>
    <t>SOP: reconcile against SiteIQ billing at shutdown end. Radio handsets: 70 billable at $12.81/day from 17 Jul 2026; 2 unbilled spares held as contingency.  |  POWERED BY SITEIQ  |  Author: Andrew Fisher</t>
  </si>
  <si>
    <t>K2 STOCKTAKE COVERAGE - EVERY ITEM. EVERY DAY.</t>
  </si>
  <si>
    <t>SOP: chase RED rows at morning prestart; record counts in the Stocktake Log. Life Saving Rule 5 - Tools and Equipment (SEQ-GL-009): defective gear is tagged out, never reissued.  |  POWERED BY SITEIQ  |  Author: Andrew Fisher</t>
  </si>
  <si>
    <t>Programmed</t>
  </si>
  <si>
    <t>Potential Overstock</t>
  </si>
  <si>
    <t>Bow - Shackle - Alloy - 6T</t>
  </si>
  <si>
    <t>Callum - Hope</t>
  </si>
  <si>
    <t>1288079</t>
  </si>
  <si>
    <t>03:48 PM</t>
  </si>
  <si>
    <t>Radio Battery (tracked only - no charge)</t>
  </si>
  <si>
    <t>VARIANCE RULE: anything new that appears in the site plant list and is NOT in this register is a VARIANCE - it shows on the Plant Variance tab automatically. Add it here with its on-hire date (and off-hire date when it leaves) to bring it into the baseline. Subhired gear (SUBHARVEY...) is charged every day between Start Hire and Off Hire, on hire or not.</t>
  </si>
  <si>
    <t>AUTOMATIC - built from the SiteIQ STOCKTAKE export beside this workbook on every Refresh All. Each row = one storage unit on one day: how many items were physically sighted and by whom. Stock takes are done daily. No exceptions. Nothing in the store goes over 30 days without being scanned.</t>
  </si>
  <si>
    <t>Items Sighted</t>
  </si>
  <si>
    <t>COATES  |  K2  |  PLANT VARIANCE - NEW GEAR ON SITE, NOT YET IN THE REGISTER</t>
  </si>
  <si>
    <t>Things change on a shutdown - this tab catches it automatically. Every asset in the Cement Site Plant list that is NOT in the Plant Equipment register appears here as a VARIANCE with its on-hire date. Action: add it to the register (with start and off-hire dates) so the baseline and forecasts stay honest. Empty = no variance. The right way, every time.</t>
  </si>
  <si>
    <t>Life Saving Rule 5 - Tools and Equipment (SEQ-GL-009)  |  POWERED BY SITEIQ  |  Author: Andrew Fisher</t>
  </si>
  <si>
    <t>On-Hire Date</t>
  </si>
  <si>
    <t>Closed-day auto-actual gaps (prefill catch-up)</t>
  </si>
  <si>
    <t>Plant receipt dates to back-fill</t>
  </si>
  <si>
    <t>Automation live (stocktake log + variance)</t>
  </si>
  <si>
    <t>ACTUAL COMPLETENESS - ROLLING 7-DAY WINDOW (OK = entered, M = missing, O = day not finished, - = no tracking row). Transport and Damage are manual entries.</t>
  </si>
  <si>
    <t>TRACKED - NO CHARGE</t>
  </si>
  <si>
    <t>PASS</t>
  </si>
  <si>
    <t>Items</t>
  </si>
  <si>
    <t>Sighted &lt;= 3 Days</t>
  </si>
  <si>
    <t>Sighted &lt;= 7 Days</t>
  </si>
  <si>
    <t>% Sighted &lt;= 7 Days</t>
  </si>
  <si>
    <t>GREEN - on cadence</t>
  </si>
  <si>
    <t>Consumable lines at zero available</t>
  </si>
  <si>
    <t>Per-storage-unit coverage against the SHUTDOWN cadence: this shut runs under 30 days, so every counted unit should be sighted at least every 7 DAYS. GREEN = 90%+ sighted inside 7 days, AMBER = 75-89%, RED = below 75%: walk that unit today. Cement Site Plant, Cement Barriers, Cement Rubbish Chutes and Laydown are on site for the duration and are NOT stocktake units - they are excluded. Anchored to the newest sighting in the export.</t>
  </si>
  <si>
    <t>Bow - Shackle - Alloy - 8T</t>
  </si>
  <si>
    <t>Bow - Shackle - Alloy - 9T</t>
  </si>
  <si>
    <t>Bow Shackle - Alloy - 12T</t>
  </si>
  <si>
    <t>Welding Air Vantage Diesel 500(HGA032)</t>
  </si>
  <si>
    <t>Welding Air Vantage Diesel 500(HGA014)</t>
  </si>
  <si>
    <t>Welding Vantage Diesel 580 (HGA047)</t>
  </si>
  <si>
    <t>Welding Vantage Diesel 580(HGA042)</t>
  </si>
  <si>
    <t>Welding Vantage Diesel 500(HGA009)</t>
  </si>
  <si>
    <t>Welding Vantage Diesel 580(HGA041</t>
  </si>
  <si>
    <t>Welding Vantage Diesel 500(HGA044)</t>
  </si>
  <si>
    <t>Welding Vantage Diesel 580(HGA035)</t>
  </si>
  <si>
    <t>WELDERAIRVANTAGE580A</t>
  </si>
  <si>
    <t>BARRIERCROWDCON</t>
  </si>
  <si>
    <t>RUBCHUTETOPHOPP</t>
  </si>
  <si>
    <t>RUBCHUTEFRAME</t>
  </si>
  <si>
    <t>Nathan - Bartlett</t>
  </si>
  <si>
    <t>COA~246349</t>
  </si>
  <si>
    <t>07:13 AM</t>
  </si>
  <si>
    <t>1312655</t>
  </si>
  <si>
    <t>1320990</t>
  </si>
  <si>
    <t>1295773</t>
  </si>
  <si>
    <t>COA~5433377</t>
  </si>
  <si>
    <t>COA~5467987</t>
  </si>
  <si>
    <t>COA~256870</t>
  </si>
  <si>
    <t>10307</t>
  </si>
  <si>
    <t>Welding Air Vantage Diesel 500(Hga014)</t>
  </si>
  <si>
    <t>Welding Air Vantage Diesel 500(Hga032)</t>
  </si>
  <si>
    <t>Welding Vantage Diesel 500(Hga009)</t>
  </si>
  <si>
    <t>Welding Vantage Diesel 500(Hga044)</t>
  </si>
  <si>
    <t>Welding Vantage Diesel 580 (Hga047)</t>
  </si>
  <si>
    <t>Welding Vantage Diesel 580(Hga035)</t>
  </si>
  <si>
    <t>Welding Vantage Diesel 580(Hga041</t>
  </si>
  <si>
    <t>Welding Vantage Diesel 580(Hga042)</t>
  </si>
  <si>
    <t>16816-590535-0001</t>
  </si>
  <si>
    <t>16816-590736-0001</t>
  </si>
  <si>
    <t>16816-590737-0001</t>
  </si>
  <si>
    <t>16816-590738-0001</t>
  </si>
  <si>
    <t>16816-590739-0001</t>
  </si>
  <si>
    <t>16816-590740-0001</t>
  </si>
  <si>
    <t>16816-590741-0001</t>
  </si>
  <si>
    <t>16816-590742-0001</t>
  </si>
  <si>
    <t>Critical - No Recorded Use / High Monthly Cost</t>
  </si>
  <si>
    <t>Never Used - Review</t>
  </si>
  <si>
    <t>Never Used in Transactions</t>
  </si>
  <si>
    <t>Recommend urgent review / consider off-hire if not required</t>
  </si>
  <si>
    <t>On hire to Site Plant Equipment - client is being charged</t>
  </si>
  <si>
    <t>Access - Knuckle Booms</t>
  </si>
  <si>
    <t>Access</t>
  </si>
  <si>
    <t>COA~5526425</t>
  </si>
  <si>
    <t>Coates</t>
  </si>
  <si>
    <t>Site Plant Equipment - .</t>
  </si>
  <si>
    <t>09:52 AM</t>
  </si>
  <si>
    <t>Cement Tool Store 2026</t>
  </si>
  <si>
    <t>No</t>
  </si>
  <si>
    <t>Generators &amp; Power Distribution</t>
  </si>
  <si>
    <t>10:03 AM</t>
  </si>
  <si>
    <t>Air &amp; Air Accessories</t>
  </si>
  <si>
    <t>COA~5513923</t>
  </si>
  <si>
    <t>Access - Straight Booms</t>
  </si>
  <si>
    <t>1313105</t>
  </si>
  <si>
    <t>1313102</t>
  </si>
  <si>
    <t>1312869</t>
  </si>
  <si>
    <t>Materials Handling - Telehandler</t>
  </si>
  <si>
    <t>Materials Handling</t>
  </si>
  <si>
    <t>1282765</t>
  </si>
  <si>
    <t>Earthmoving - Mini Excavators</t>
  </si>
  <si>
    <t>Earthmoving</t>
  </si>
  <si>
    <t>COA~5341046</t>
  </si>
  <si>
    <t>10:09 AM</t>
  </si>
  <si>
    <t>Materials Handling - Forklift - Pallet Truck</t>
  </si>
  <si>
    <t>1312610</t>
  </si>
  <si>
    <t>1312860</t>
  </si>
  <si>
    <t>1312859</t>
  </si>
  <si>
    <t>1312731</t>
  </si>
  <si>
    <t>1312732</t>
  </si>
  <si>
    <t>Generators - Diesel Medium</t>
  </si>
  <si>
    <t>1276549</t>
  </si>
  <si>
    <t>1276557</t>
  </si>
  <si>
    <t>Generators - Diesel Small</t>
  </si>
  <si>
    <t>1276462</t>
  </si>
  <si>
    <t>1276457</t>
  </si>
  <si>
    <t>1276459</t>
  </si>
  <si>
    <t>1276463</t>
  </si>
  <si>
    <t>1276461</t>
  </si>
  <si>
    <t>1276454</t>
  </si>
  <si>
    <t>Access - Trailer Mounted Booms</t>
  </si>
  <si>
    <t>1298793</t>
  </si>
  <si>
    <t>1298795</t>
  </si>
  <si>
    <t>1276414</t>
  </si>
  <si>
    <t>1320977</t>
  </si>
  <si>
    <t>1320825</t>
  </si>
  <si>
    <t>Water Blasters</t>
  </si>
  <si>
    <t>Floor &amp; Cleaning Equipment</t>
  </si>
  <si>
    <t>COA~5477739</t>
  </si>
  <si>
    <t>COA~61400</t>
  </si>
  <si>
    <t>COA~5554204</t>
  </si>
  <si>
    <t>COA~5206371</t>
  </si>
  <si>
    <t>COA~5464784</t>
  </si>
  <si>
    <t>COA~5206338</t>
  </si>
  <si>
    <t>Trailers</t>
  </si>
  <si>
    <t>Trucks, Vehicles &amp; Trailers</t>
  </si>
  <si>
    <t>COA~5492800</t>
  </si>
  <si>
    <t>COA~5020451</t>
  </si>
  <si>
    <t>Air Compressors - Diesel Small</t>
  </si>
  <si>
    <t>1297777</t>
  </si>
  <si>
    <t>1280598</t>
  </si>
  <si>
    <t>1280585</t>
  </si>
  <si>
    <t>1280586</t>
  </si>
  <si>
    <t>1280591</t>
  </si>
  <si>
    <t>1280596</t>
  </si>
  <si>
    <t>1285098</t>
  </si>
  <si>
    <t>1312654</t>
  </si>
  <si>
    <t>1320991</t>
  </si>
  <si>
    <t>Access - Scissor Lifts</t>
  </si>
  <si>
    <t>COA~5325832</t>
  </si>
  <si>
    <t>Lighting Towers</t>
  </si>
  <si>
    <t>1276086</t>
  </si>
  <si>
    <t>1276093</t>
  </si>
  <si>
    <t>1281595</t>
  </si>
  <si>
    <t>COA~5629834</t>
  </si>
  <si>
    <t>COA~5621716</t>
  </si>
  <si>
    <t>COA~310432</t>
  </si>
  <si>
    <t>COA~5525368</t>
  </si>
  <si>
    <t>COA~5525366</t>
  </si>
  <si>
    <t>1312687</t>
  </si>
  <si>
    <t>1312686</t>
  </si>
  <si>
    <t>COA~5564082</t>
  </si>
  <si>
    <t>1270839</t>
  </si>
  <si>
    <t>1297534</t>
  </si>
  <si>
    <t>1297533</t>
  </si>
  <si>
    <t>COA~5605991</t>
  </si>
  <si>
    <t>1280188</t>
  </si>
  <si>
    <t>High - No Recorded Use</t>
  </si>
  <si>
    <t>Review requirement - no recorded usage while on Site Plant Equipment</t>
  </si>
  <si>
    <t>COA~5465214</t>
  </si>
  <si>
    <t>Crane &amp; Fork Attachment</t>
  </si>
  <si>
    <t>COA~5080826</t>
  </si>
  <si>
    <t>Distribution Board - Lifeguard</t>
  </si>
  <si>
    <t>Generators - Accessories</t>
  </si>
  <si>
    <t>COA~5525389</t>
  </si>
  <si>
    <t>09:55 AM</t>
  </si>
  <si>
    <t>COA~5525980</t>
  </si>
  <si>
    <t>COA~5315155</t>
  </si>
  <si>
    <t>COA~5438048</t>
  </si>
  <si>
    <t>COA~5212137</t>
  </si>
  <si>
    <t>COA~5438046</t>
  </si>
  <si>
    <t>COA~5525985</t>
  </si>
  <si>
    <t>COA~5360439</t>
  </si>
  <si>
    <t>COA~5456218</t>
  </si>
  <si>
    <t>COA~5525987</t>
  </si>
  <si>
    <t>COA~5525982</t>
  </si>
  <si>
    <t>COA~5525388</t>
  </si>
  <si>
    <t>COA~5212136</t>
  </si>
  <si>
    <t>COA~383148</t>
  </si>
  <si>
    <t>415V Lead Extension 63A</t>
  </si>
  <si>
    <t>Electrical Leads &amp; Accessories</t>
  </si>
  <si>
    <t>Tools &amp; Equipment</t>
  </si>
  <si>
    <t>1311559</t>
  </si>
  <si>
    <t>09:58 AM</t>
  </si>
  <si>
    <t>COA~304678</t>
  </si>
  <si>
    <t>1283968</t>
  </si>
  <si>
    <t>COA~490091</t>
  </si>
  <si>
    <t>COA~304741</t>
  </si>
  <si>
    <t>COA~305066</t>
  </si>
  <si>
    <t>COA~5254310</t>
  </si>
  <si>
    <t>COA~304856</t>
  </si>
  <si>
    <t>COA~305038</t>
  </si>
  <si>
    <t>1301457</t>
  </si>
  <si>
    <t>1301456</t>
  </si>
  <si>
    <t>COA~5504058</t>
  </si>
  <si>
    <t>COA~5504077</t>
  </si>
  <si>
    <t>COA~5467990</t>
  </si>
  <si>
    <t>COA~5504076</t>
  </si>
  <si>
    <t>COA~5495970</t>
  </si>
  <si>
    <t>COA~5504063</t>
  </si>
  <si>
    <t>COA~305143</t>
  </si>
  <si>
    <t>COA~171787</t>
  </si>
  <si>
    <t>Fans</t>
  </si>
  <si>
    <t>COA~51970</t>
  </si>
  <si>
    <t>COA~5168065</t>
  </si>
  <si>
    <t>COA~5068091</t>
  </si>
  <si>
    <t>Crane Brick Cage</t>
  </si>
  <si>
    <t>COA~5259111</t>
  </si>
  <si>
    <t>415V Lead Extension 32A</t>
  </si>
  <si>
    <t>COA~305089</t>
  </si>
  <si>
    <t>09:56 AM</t>
  </si>
  <si>
    <t>COA~310683</t>
  </si>
  <si>
    <t>COA~305120</t>
  </si>
  <si>
    <t>COA~305128</t>
  </si>
  <si>
    <t>COA~5099173</t>
  </si>
  <si>
    <t>1291613</t>
  </si>
  <si>
    <t>1291630</t>
  </si>
  <si>
    <t>1291615</t>
  </si>
  <si>
    <t>COA~5182739</t>
  </si>
  <si>
    <t>COA~310596</t>
  </si>
  <si>
    <t>1284817</t>
  </si>
  <si>
    <t>1291607</t>
  </si>
  <si>
    <t>COA~50640</t>
  </si>
  <si>
    <t>COA~305081</t>
  </si>
  <si>
    <t>415V Lead Extension 32A Braided</t>
  </si>
  <si>
    <t>COA~5366653</t>
  </si>
  <si>
    <t>COA~304818</t>
  </si>
  <si>
    <t>COA~304996</t>
  </si>
  <si>
    <t>COA~304973</t>
  </si>
  <si>
    <t>COA~305018</t>
  </si>
  <si>
    <t>COA~304993</t>
  </si>
  <si>
    <t>Bull Hose 50mm x 7.5m</t>
  </si>
  <si>
    <t>Air Accessories</t>
  </si>
  <si>
    <t>COA~5102271</t>
  </si>
  <si>
    <t>COA~5204554</t>
  </si>
  <si>
    <t>COA~5204569</t>
  </si>
  <si>
    <t>1220928</t>
  </si>
  <si>
    <t>COA~5204483</t>
  </si>
  <si>
    <t>COA~5008478</t>
  </si>
  <si>
    <t>COA~495390</t>
  </si>
  <si>
    <t>Earthmoving - Excavators - Attachments</t>
  </si>
  <si>
    <t>COA~5517313</t>
  </si>
  <si>
    <t>COA~5517310</t>
  </si>
  <si>
    <t>COA~5598623</t>
  </si>
  <si>
    <t>Traffic - Barriers</t>
  </si>
  <si>
    <t>Traffic Management</t>
  </si>
  <si>
    <t>ARMORZONEBARIER-0099</t>
  </si>
  <si>
    <t>10:24 AM</t>
  </si>
  <si>
    <t>ARMORZONEBARIER-0091</t>
  </si>
  <si>
    <t>ARMORZONEBARIER-0092</t>
  </si>
  <si>
    <t>ARMORZONEBARIER-0093</t>
  </si>
  <si>
    <t>ARMORZONEBARIER-0096</t>
  </si>
  <si>
    <t>ARMORZONEBARIER-0095</t>
  </si>
  <si>
    <t>ARMORZONEBARIER-0098</t>
  </si>
  <si>
    <t>ARMORZONEBARIER-0097</t>
  </si>
  <si>
    <t>ARMORZONEBARIER-0090</t>
  </si>
  <si>
    <t>ARMORZONEBARIER-0094</t>
  </si>
  <si>
    <t>ARMORZONEBARIER-0089</t>
  </si>
  <si>
    <t>ARMORZONEBARIER-0076</t>
  </si>
  <si>
    <t>ARMORZONEBARIER-0087</t>
  </si>
  <si>
    <t>ARMORZONEBARIER-0086</t>
  </si>
  <si>
    <t>ARMORZONEBARIER-0085</t>
  </si>
  <si>
    <t>ARMORZONEBARIER-0084</t>
  </si>
  <si>
    <t>ARMORZONEBARIER-0083</t>
  </si>
  <si>
    <t>ARMORZONEBARIER-0082</t>
  </si>
  <si>
    <t>ARMORZONEBARIER-0081</t>
  </si>
  <si>
    <t>ARMORZONEBARIER-0077</t>
  </si>
  <si>
    <t>ARMORZONEBARIER-0100</t>
  </si>
  <si>
    <t>ARMORZONEBARIER-0078</t>
  </si>
  <si>
    <t>ARMORZONEBARIER-0088</t>
  </si>
  <si>
    <t>ARMORZONEBARIER-0101</t>
  </si>
  <si>
    <t>ARMORZONEBARIER-0121</t>
  </si>
  <si>
    <t>ARMORZONEBARIER-0103</t>
  </si>
  <si>
    <t>ARMORZONEBARIER-0079</t>
  </si>
  <si>
    <t>ARMORZONEBARIER-0125</t>
  </si>
  <si>
    <t>ARMORZONEBARIER-0124</t>
  </si>
  <si>
    <t>ARMORZONEBARIER-0123</t>
  </si>
  <si>
    <t>ARMORZONEBARIER-0122</t>
  </si>
  <si>
    <t>ARMORZONEBARIER-0120</t>
  </si>
  <si>
    <t>ARMORZONEBARIER-0119</t>
  </si>
  <si>
    <t>ARMORZONEBARIER-0118</t>
  </si>
  <si>
    <t>ARMORZONEBARIER-0117</t>
  </si>
  <si>
    <t>ARMORZONEBARIER-0116</t>
  </si>
  <si>
    <t>ARMORZONEBARIER-0102</t>
  </si>
  <si>
    <t>ARMORZONEBARIER-0115</t>
  </si>
  <si>
    <t>ARMORZONEBARIER-0113</t>
  </si>
  <si>
    <t>ARMORZONEBARIER-0112</t>
  </si>
  <si>
    <t>ARMORZONEBARIER-0111</t>
  </si>
  <si>
    <t>ARMORZONEBARIER-0110</t>
  </si>
  <si>
    <t>ARMORZONEBARIER-0109</t>
  </si>
  <si>
    <t>ARMORZONEBARIER-0108</t>
  </si>
  <si>
    <t>ARMORZONEBARIER-0107</t>
  </si>
  <si>
    <t>ARMORZONEBARIER-0106</t>
  </si>
  <si>
    <t>ARMORZONEBARIER-0105</t>
  </si>
  <si>
    <t>ARMORZONEBARIER-0104</t>
  </si>
  <si>
    <t>ARMORZONEBARIER-0114</t>
  </si>
  <si>
    <t>ARMORZONEBARIER-0080</t>
  </si>
  <si>
    <t>Conveyors, Hoists &amp; Trolleys</t>
  </si>
  <si>
    <t>Lift, Shift &amp; Propping</t>
  </si>
  <si>
    <t>RUBCHUTE1M-0359</t>
  </si>
  <si>
    <t>10:36 AM</t>
  </si>
  <si>
    <t>RUBCHUTE1M-0395</t>
  </si>
  <si>
    <t>RUBCHUTE1M-0358</t>
  </si>
  <si>
    <t>RUBCHUTE1M-0357</t>
  </si>
  <si>
    <t>RUBCHUTE1M-0356</t>
  </si>
  <si>
    <t>RUBCHUTE1M-0355</t>
  </si>
  <si>
    <t>RUBCHUTE1M-0354</t>
  </si>
  <si>
    <t>RUBCHUTE1M-0353</t>
  </si>
  <si>
    <t>RUBCHUTE1M-0352</t>
  </si>
  <si>
    <t>RUBCHUTE1M-0351</t>
  </si>
  <si>
    <t>RUBCHUTE1M-0350</t>
  </si>
  <si>
    <t>RUBCHUTE1M-0349</t>
  </si>
  <si>
    <t>RUBCHUTE1M-0348</t>
  </si>
  <si>
    <t>RUBCHUTE1M-0347</t>
  </si>
  <si>
    <t>RUBCHUTE1M-0346</t>
  </si>
  <si>
    <t>RUBCHUTE1M-0345</t>
  </si>
  <si>
    <t>RUBCHUTE1M-0344</t>
  </si>
  <si>
    <t>RUBCHUTE1M-0342</t>
  </si>
  <si>
    <t>RUBCHUTE1M-0341</t>
  </si>
  <si>
    <t>RUBCHUTE1M-0327</t>
  </si>
  <si>
    <t>RUBCHUTE1M-0328</t>
  </si>
  <si>
    <t>RUBCHUTE1M-0329</t>
  </si>
  <si>
    <t>RUBCHUTE1M-0330</t>
  </si>
  <si>
    <t>RUBCHUTE1M-0331</t>
  </si>
  <si>
    <t>RUBCHUTE1M-0332</t>
  </si>
  <si>
    <t>RUBCHUTE1M-0360</t>
  </si>
  <si>
    <t>RUBCHUTE1M-0333</t>
  </si>
  <si>
    <t>RUBCHUTE1M-0335</t>
  </si>
  <si>
    <t>RUBCHUTE1M-0336</t>
  </si>
  <si>
    <t>RUBCHUTE1M-0337</t>
  </si>
  <si>
    <t>RUBCHUTE1M-0338</t>
  </si>
  <si>
    <t>RUBCHUTE1M-0339</t>
  </si>
  <si>
    <t>RUBCHUTE1M-0340</t>
  </si>
  <si>
    <t>RUBCHUTE1M-0334</t>
  </si>
  <si>
    <t>RUBCHUTE1M-0396</t>
  </si>
  <si>
    <t>RUBCHUTE1M-0361</t>
  </si>
  <si>
    <t>RUBCHUTE1M-0363</t>
  </si>
  <si>
    <t>RUBCHUTE1M-0394</t>
  </si>
  <si>
    <t>RUBCHUTE1M-0393</t>
  </si>
  <si>
    <t>RUBCHUTE1M-0392</t>
  </si>
  <si>
    <t>RUBCHUTE1M-0391</t>
  </si>
  <si>
    <t>RUBCHUTE1M-0390</t>
  </si>
  <si>
    <t>RUBCHUTE1M-0389</t>
  </si>
  <si>
    <t>RUBCHUTE1M-0388</t>
  </si>
  <si>
    <t>RUBCHUTE1M-0387</t>
  </si>
  <si>
    <t>RUBCHUTE1M-0386</t>
  </si>
  <si>
    <t>RUBCHUTE1M-0385</t>
  </si>
  <si>
    <t>RUBCHUTE1M-0384</t>
  </si>
  <si>
    <t>RUBCHUTE1M-0383</t>
  </si>
  <si>
    <t>RUBCHUTE1M-0382</t>
  </si>
  <si>
    <t>RUBCHUTE1M-0381</t>
  </si>
  <si>
    <t>RUBCHUTE1M-0380</t>
  </si>
  <si>
    <t>RUBCHUTE1M-0379</t>
  </si>
  <si>
    <t>RUBCHUTE1M-0378</t>
  </si>
  <si>
    <t>RUBCHUTE1M-0364</t>
  </si>
  <si>
    <t>RUBCHUTE1M-0365</t>
  </si>
  <si>
    <t>RUBCHUTE1M-0366</t>
  </si>
  <si>
    <t>RUBCHUTE1M-0367</t>
  </si>
  <si>
    <t>RUBCHUTE1M-0368</t>
  </si>
  <si>
    <t>RUBCHUTE1M-0369</t>
  </si>
  <si>
    <t>RUBCHUTE1M-0362</t>
  </si>
  <si>
    <t>RUBCHUTE1M-0370</t>
  </si>
  <si>
    <t>RUBCHUTE1M-0372</t>
  </si>
  <si>
    <t>RUBCHUTE1M-0373</t>
  </si>
  <si>
    <t>RUBCHUTE1M-0374</t>
  </si>
  <si>
    <t>RUBCHUTE1M-0375</t>
  </si>
  <si>
    <t>RUBCHUTE1M-0376</t>
  </si>
  <si>
    <t>RUBCHUTE1M-0377</t>
  </si>
  <si>
    <t>RUBCHUTE1M-0371</t>
  </si>
  <si>
    <t>RUBCHUTE1M-0343</t>
  </si>
  <si>
    <t>Dgh Engineering</t>
  </si>
  <si>
    <t>Matthew - Wooldridge</t>
  </si>
  <si>
    <t>05:04 PM</t>
  </si>
  <si>
    <t>Strong Usage - Monitor Closely</t>
  </si>
  <si>
    <t>Transactions Only</t>
  </si>
  <si>
    <t>Rag - Cotton Wiping 10Kg Slab - K2/26</t>
  </si>
  <si>
    <t>Review - Used in Transactions but Not Found in Current Stock</t>
  </si>
  <si>
    <t>Thomas Maher, Andrew Fisher</t>
  </si>
  <si>
    <t>Bradley Logiudice</t>
  </si>
  <si>
    <t>08:00 AM</t>
  </si>
  <si>
    <t>GAS MONITOR FLEET - RIGHT-SIZING CHECK</t>
  </si>
  <si>
    <t>Right-sizing check - so we know if the fleet is the right number. Life Saving Rule 5 - Tools and Equipment (SEQ-GL-009).</t>
  </si>
  <si>
    <t>Fleet Size</t>
  </si>
  <si>
    <t>Currently On Hire</t>
  </si>
  <si>
    <t>Dispatched This Period</t>
  </si>
  <si>
    <t>Never Dispatched This Period</t>
  </si>
  <si>
    <t>Current Status</t>
  </si>
  <si>
    <t>Current Holder</t>
  </si>
  <si>
    <t>Times Out (Report Period)</t>
  </si>
  <si>
    <t>GM206136</t>
  </si>
  <si>
    <t>Available</t>
  </si>
  <si>
    <t>-</t>
  </si>
  <si>
    <t>GM206137</t>
  </si>
  <si>
    <t>GM206138</t>
  </si>
  <si>
    <t>GM206139</t>
  </si>
  <si>
    <t>GM206140</t>
  </si>
  <si>
    <t>GM206141</t>
  </si>
  <si>
    <t>GM206143</t>
  </si>
  <si>
    <t>GM206144</t>
  </si>
  <si>
    <t>GM206145</t>
  </si>
  <si>
    <t>GM206166</t>
  </si>
  <si>
    <t>GM206167</t>
  </si>
  <si>
    <t>GM206168</t>
  </si>
  <si>
    <t>GM206169</t>
  </si>
  <si>
    <t>GM206170</t>
  </si>
  <si>
    <t>GM206171</t>
  </si>
  <si>
    <t>GM206179</t>
  </si>
  <si>
    <t>GM206180</t>
  </si>
  <si>
    <t>GM206181</t>
  </si>
  <si>
    <t>GM206381</t>
  </si>
  <si>
    <t>GM206382</t>
  </si>
  <si>
    <t>GM206383</t>
  </si>
  <si>
    <t>GM206384</t>
  </si>
  <si>
    <t>GM206387</t>
  </si>
  <si>
    <t>GM206388</t>
  </si>
  <si>
    <t>GM206389</t>
  </si>
  <si>
    <t>GM206391</t>
  </si>
  <si>
    <t>GM206393</t>
  </si>
  <si>
    <t>GM206394</t>
  </si>
  <si>
    <t>GM206395</t>
  </si>
  <si>
    <t>GM206396</t>
  </si>
  <si>
    <t>RADIO HANDSET FLEET - RIGHT-SIZING CHECK</t>
  </si>
  <si>
    <t>CEM26RADIO024</t>
  </si>
  <si>
    <t>Motorola DP4801e Two-Way Radio 871TRBL679</t>
  </si>
  <si>
    <t>CEM26RADIO029</t>
  </si>
  <si>
    <t>Motorola DP4801e Two-Way Radio 871TQMJ361</t>
  </si>
  <si>
    <t>CEM26RADIO031</t>
  </si>
  <si>
    <t>Motorola DP4801e Two-Way Radio 871TRZT755</t>
  </si>
  <si>
    <t>CEM26RADIO063</t>
  </si>
  <si>
    <t>Motorola DP4801e Two-Way Radio 871TPT8861</t>
  </si>
  <si>
    <t>CEM26RADIO001</t>
  </si>
  <si>
    <t>Motorola DP4801e Two-Way Radio 871TSH9179</t>
  </si>
  <si>
    <t>CEM26RADIO002</t>
  </si>
  <si>
    <t>Motorola DP4801e Two-Way Radio 871TRZZ858</t>
  </si>
  <si>
    <t>CEM26RADIO003</t>
  </si>
  <si>
    <t>Motorola DP4801e Two-Way Radio 871TRZT722</t>
  </si>
  <si>
    <t>CEM26RADIO004</t>
  </si>
  <si>
    <t>Motorola DP4801e Two-Way Radio 871TNX1346</t>
  </si>
  <si>
    <t>CEM26RADIO005</t>
  </si>
  <si>
    <t>Motorola DP4801e Two-Way Radio 871TSH9190</t>
  </si>
  <si>
    <t>CEM26RADIO006</t>
  </si>
  <si>
    <t>Motorola DP4801e Two-Way Radio 871TNX1329</t>
  </si>
  <si>
    <t>CEM26RADIO007</t>
  </si>
  <si>
    <t>Motorola DP4801e Two-Way Radio 871TNZ0625</t>
  </si>
  <si>
    <t>CEM26RADIO008</t>
  </si>
  <si>
    <t>Motorola DP4801e Two-Way Radio 871TNX1876</t>
  </si>
  <si>
    <t>CEM26RADIO009</t>
  </si>
  <si>
    <t>Motorola DP4801e Two-Way Radio 871TSH8976</t>
  </si>
  <si>
    <t>CEM26RADIO010</t>
  </si>
  <si>
    <t>Motorola DP4801e Two-Way Radio 871TSH9016</t>
  </si>
  <si>
    <t>CEM26RADIO011</t>
  </si>
  <si>
    <t>Motorola DP4801e Two-Way Radio 871TSD4066</t>
  </si>
  <si>
    <t>CEM26RADIO012</t>
  </si>
  <si>
    <t>Motorola DP4801e Two-Way Radio 871TPD5644</t>
  </si>
  <si>
    <t>CEM26RADIO013</t>
  </si>
  <si>
    <t>Motorola DP4801e Two-Way Radio 871TPZ0175</t>
  </si>
  <si>
    <t>CEM26RADIO014</t>
  </si>
  <si>
    <t>Motorola DP4801e Two-Way Radio 871TRBL353</t>
  </si>
  <si>
    <t>CEM26RADIO015</t>
  </si>
  <si>
    <t>Motorola DP4801e Two-Way Radio 871TQXW461</t>
  </si>
  <si>
    <t>CEM26RADIO016</t>
  </si>
  <si>
    <t>Motorola DP4801e Two-Way Radio 871TRZZ823</t>
  </si>
  <si>
    <t>CEM26RADIO017</t>
  </si>
  <si>
    <t>Motorola DP4801e Two-Way Radio 871TNV2639</t>
  </si>
  <si>
    <t>CEM26RADIO018</t>
  </si>
  <si>
    <t>Motorola DP4801e Two-Way Radio 871TNP5893</t>
  </si>
  <si>
    <t>CEM26RADIO019</t>
  </si>
  <si>
    <t>Motorola DP4801e Two-Way Radio 871TRDE560</t>
  </si>
  <si>
    <t>CEM26RADIO020</t>
  </si>
  <si>
    <t>Motorola DP4801e Two-Way Radio 871TRBL589</t>
  </si>
  <si>
    <t>CEM26RADIO021</t>
  </si>
  <si>
    <t>Motorola DP4801e Two-Way Radio 871TPP3059</t>
  </si>
  <si>
    <t>CEM26RADIO022</t>
  </si>
  <si>
    <t>Motorola DP4801e Two-Way Radio 871TSH9297</t>
  </si>
  <si>
    <t>CEM26RADIO023</t>
  </si>
  <si>
    <t>Motorola DP4801e Two-Way Radio 871TNK7676</t>
  </si>
  <si>
    <t>CEM26RADIO025</t>
  </si>
  <si>
    <t>Motorola DP4801e Two-Way Radio 871TPH6709</t>
  </si>
  <si>
    <t>CEM26RADIO026</t>
  </si>
  <si>
    <t>Motorola DP4801e Two-Way Radio 871TPH6817</t>
  </si>
  <si>
    <t>CEM26RADIO027</t>
  </si>
  <si>
    <t>Motorola DP4801e Two-Way Radio 871TSH9002</t>
  </si>
  <si>
    <t>CEM26RADIO028</t>
  </si>
  <si>
    <t>Motorola DP4801e Two-Way Radio 871TPT9248</t>
  </si>
  <si>
    <t>CEM26RADIO030</t>
  </si>
  <si>
    <t>Motorola DP4801e Two-Way Radio 871TPH6717</t>
  </si>
  <si>
    <t>CEM26RADIO032</t>
  </si>
  <si>
    <t>Motorola DP4801e Two-Way Radio 871TNV2814</t>
  </si>
  <si>
    <t>CEM26RADIO033</t>
  </si>
  <si>
    <t>Motorola DP4801e Two-Way Radio 871TSH9247</t>
  </si>
  <si>
    <t>CEM26RADIO034</t>
  </si>
  <si>
    <t>Motorola DP4801e Two-Way Radio 871TNP5864</t>
  </si>
  <si>
    <t>CEM26RADIO035</t>
  </si>
  <si>
    <t>Motorola DP4801e Two-Way Radio 871TPP3078</t>
  </si>
  <si>
    <t>CEM26RADIO036</t>
  </si>
  <si>
    <t>Motorola DP4801e Two-Way Radio 871TQK7351</t>
  </si>
  <si>
    <t>CEM26RADIO037</t>
  </si>
  <si>
    <t>Motorola DP4801e Two-Way Radio 871TRZT769</t>
  </si>
  <si>
    <t>CEM26RADIO038</t>
  </si>
  <si>
    <t>Motorola DP4801e Two-Way Radio 871TRZT697</t>
  </si>
  <si>
    <t>CEM26RADIO039</t>
  </si>
  <si>
    <t>Motorola DP4801e Two-Way Radio 871TRZT663</t>
  </si>
  <si>
    <t>CEM26RADIO040</t>
  </si>
  <si>
    <t>Motorola DP4801e Two-Way Radio 871TPD5686</t>
  </si>
  <si>
    <t>CEM26RADIO041</t>
  </si>
  <si>
    <t>Motorola DP4801e Two-Way Radio 871TNP0350</t>
  </si>
  <si>
    <t>CEM26RADIO042</t>
  </si>
  <si>
    <t>Motorola DP4801e Two-Way Radio 871TRZT696</t>
  </si>
  <si>
    <t>CEM26RADIO043</t>
  </si>
  <si>
    <t>Motorola DP4801e Two-Way Radio 871TNK7668</t>
  </si>
  <si>
    <t>CEM26RADIO044</t>
  </si>
  <si>
    <t>Motorola DP4801e Two-Way Radio 871TNP5886</t>
  </si>
  <si>
    <t>CEM26RADIO045</t>
  </si>
  <si>
    <t>Motorola DP4801e Two-Way Radio 871TNX0375</t>
  </si>
  <si>
    <t>CEM26RADIO046</t>
  </si>
  <si>
    <t>Motorola DP4801e Two-Way Radio 871TSH9010</t>
  </si>
  <si>
    <t>CEM26RADIO047</t>
  </si>
  <si>
    <t>Motorola DP4801e Two-Way Radio 871TRZZ776</t>
  </si>
  <si>
    <t>CEM26RADIO048</t>
  </si>
  <si>
    <t>Motorola DP4801e Two-Way Radio 871TPD5688</t>
  </si>
  <si>
    <t>CEM26RADIO049</t>
  </si>
  <si>
    <t>Motorola DP4801e Two-Way Radio 871TSH9078</t>
  </si>
  <si>
    <t>CEM26RADIO050</t>
  </si>
  <si>
    <t>Motorola DP4801e Two-Way Radio 871TQMJ395</t>
  </si>
  <si>
    <t>CEM26RADIO051</t>
  </si>
  <si>
    <t>Motorola DP4801e Two-Way Radio 871TNZ2690</t>
  </si>
  <si>
    <t>CEM26RADIO052</t>
  </si>
  <si>
    <t>Motorola DP4801e Two-Way Radio 871TPH6714</t>
  </si>
  <si>
    <t>CEM26RADIO053</t>
  </si>
  <si>
    <t>Motorola DP4801e Two-Way Radio 871TQXW372</t>
  </si>
  <si>
    <t>CEM26RADIO054</t>
  </si>
  <si>
    <t>Motorola DP4801e Two-Way Radio 871TRBL674</t>
  </si>
  <si>
    <t>CEM26RADIO055</t>
  </si>
  <si>
    <t>Motorola DP4801e Two-Way Radio 871TPT8823</t>
  </si>
  <si>
    <t>CEM26RADIO056</t>
  </si>
  <si>
    <t>Motorola DP4801e Two-Way Radio 871TNX1400</t>
  </si>
  <si>
    <t>CEM26RADIO057</t>
  </si>
  <si>
    <t>Motorola DP4801e Two-Way Radio 871TRZT590</t>
  </si>
  <si>
    <t>CEM26RADIO058</t>
  </si>
  <si>
    <t>Motorola DP4801e Two-Way Radio 871TNZ0453</t>
  </si>
  <si>
    <t>CEM26RADIO059</t>
  </si>
  <si>
    <t>Motorola DP4801e Two-Way Radio 871TQMJ321</t>
  </si>
  <si>
    <t>CEM26RADIO060</t>
  </si>
  <si>
    <t>Motorola DP4801e Two-Way Radio 871TSH9205</t>
  </si>
  <si>
    <t>CEM26RADIO061</t>
  </si>
  <si>
    <t>Motorola DP4801e Two-Way Radio 871TQK0636</t>
  </si>
  <si>
    <t>CEM26RADIO062</t>
  </si>
  <si>
    <t>Motorola DP4801e Two-Way Radio 871TNK7872</t>
  </si>
  <si>
    <t>CEM26RADIO064</t>
  </si>
  <si>
    <t>Motorola DP4801e Two-Way Radio 871TRZT510</t>
  </si>
  <si>
    <t>CEM26RADIO065</t>
  </si>
  <si>
    <t>Motorola DP4801e Two-Way Radio 871TRDE679</t>
  </si>
  <si>
    <t>CEM26RADIO066</t>
  </si>
  <si>
    <t>Motorola DP4801e Two-Way Radio 871TRZT501</t>
  </si>
  <si>
    <t>CEM26RADIO067</t>
  </si>
  <si>
    <t>Motorola DP4801e Two-Way Radio 871TSH9229</t>
  </si>
  <si>
    <t>CEM26RADIO068</t>
  </si>
  <si>
    <t>Motorola DP4801e Two-Way Radio 871TSH9113</t>
  </si>
  <si>
    <t>CEM26RADIO069</t>
  </si>
  <si>
    <t>Motorola DP4801e Two-Way Radio 871TQXW377</t>
  </si>
  <si>
    <t>CEM26RADIO070</t>
  </si>
  <si>
    <t>Motorola DP4801e Two-Way Radio 871TRBL528</t>
  </si>
  <si>
    <t>CEM26RADIO071</t>
  </si>
  <si>
    <t>Motorola DP4801e Two-Way Radio 871TPP3070</t>
  </si>
  <si>
    <t>CEM26RADIO072</t>
  </si>
  <si>
    <t>Motorola DP4801e Two-Way Radio 871TSH9037</t>
  </si>
  <si>
    <t>BILLING RECONCILIATION - DAILY TRACKING vs SITEIQ INVOICED (DAILY_SUMMARY)</t>
  </si>
  <si>
    <t>HIRE (Plant + Tooling)</t>
  </si>
  <si>
    <t>Our Actual</t>
  </si>
  <si>
    <t>SiteIQ Invoiced</t>
  </si>
  <si>
    <t>Variance $</t>
  </si>
  <si>
    <t>Variance %</t>
  </si>
  <si>
    <t>Note</t>
  </si>
  <si>
    <t>n/a</t>
  </si>
  <si>
    <t>Not yet invoiced by SiteIQ - normal, this category often lags a day or more</t>
  </si>
  <si>
    <t>Matches (within $5)</t>
  </si>
  <si>
    <t>Radio</t>
  </si>
  <si>
    <t>Return daily for charging, inspection and radio availability</t>
  </si>
  <si>
    <t>Xtreme Engineering</t>
  </si>
  <si>
    <t>Teina - Robinson</t>
  </si>
  <si>
    <t>Return daily for charging and rotation</t>
  </si>
  <si>
    <t>CEM26BAT082</t>
  </si>
  <si>
    <t>Paul - Lester</t>
  </si>
  <si>
    <t>Travis - Ollington</t>
  </si>
  <si>
    <t>07:32 AM</t>
  </si>
  <si>
    <t>06:55 AM</t>
  </si>
  <si>
    <t>07:27 AM</t>
  </si>
  <si>
    <t>Luke - Keevers</t>
  </si>
  <si>
    <t>09:03 AM</t>
  </si>
  <si>
    <t>Casey - Christmas</t>
  </si>
  <si>
    <t>08:02 AM</t>
  </si>
  <si>
    <t>Rivet Buster – Air</t>
  </si>
  <si>
    <t>Mx Battery Mxf Xc406</t>
  </si>
  <si>
    <t>Air Nozzle - Large</t>
  </si>
  <si>
    <t>Bolt Cutters - Large</t>
  </si>
  <si>
    <t>Acetylene Gauge</t>
  </si>
  <si>
    <t>Teina Robinson</t>
  </si>
  <si>
    <t>07:58 AM</t>
  </si>
  <si>
    <t>Dark Knight Engineering</t>
  </si>
  <si>
    <t>Aaron - Edison</t>
  </si>
  <si>
    <t>COA~5358721</t>
  </si>
  <si>
    <t>07:14 AM</t>
  </si>
  <si>
    <t>COA~181819</t>
  </si>
  <si>
    <t>07:16 AM</t>
  </si>
  <si>
    <t>1282089</t>
  </si>
  <si>
    <t>07:19 AM</t>
  </si>
  <si>
    <t>COA~5161408</t>
  </si>
  <si>
    <t>08:03 AM</t>
  </si>
  <si>
    <t>HOSEAIRTA19MM-0060</t>
  </si>
  <si>
    <t>HOSEAIRTA19MM-0126</t>
  </si>
  <si>
    <t>BOWSHACKALL12T-0020</t>
  </si>
  <si>
    <t>08:07 AM</t>
  </si>
  <si>
    <t>XTREME ENGINEERING - Teina - Robinson</t>
  </si>
  <si>
    <t>2-3 Days</t>
  </si>
  <si>
    <t>COA~446162</t>
  </si>
  <si>
    <t>02:01 PM</t>
  </si>
  <si>
    <t>COA~5137722</t>
  </si>
  <si>
    <t>01:12 PM</t>
  </si>
  <si>
    <t>Air Hose Fitting - Minsup - Thor</t>
  </si>
  <si>
    <t>Airline Y Piece</t>
  </si>
  <si>
    <t>Andrew Fisher, Thomas Maher</t>
  </si>
  <si>
    <t xml:space="preserve">Tooling   </t>
  </si>
  <si>
    <t>Stock Level Looks OK</t>
  </si>
  <si>
    <t>Anti-Seize - Copper 1090 Deg C 500G Can - K2/26</t>
  </si>
  <si>
    <t>Oil - Penetrating Penetrene 500Ml - K2/26</t>
  </si>
  <si>
    <t>CEMENT AUSTRALIA HOLDINGS PTY LTD - David - Beacon</t>
  </si>
  <si>
    <t>HIGH RISK SOLUTIONS - Mathew - Wooldridge</t>
  </si>
  <si>
    <t>Variance not explained - worth a manual look</t>
  </si>
  <si>
    <t>Hire = Plant + Tooling Actual combined. Radios, gas monitors and subhire (Harvey welders) never appear here - confirmed by checking the Contracted Rates card: none have a rate entry, so SiteIQ's transaction billing structurally cannot invoice them. Accommodation isn't compared yet - no confirmed DAILY_SUMMARY column mapping. Period: 13 Jul to 24 Jul. PREFILL always writes today's Actual immediately at 5am from the live snapshot - this check catches up separately once SiteIQ's real invoice lands, usually a day or so later. Re-run whenever a fresh DAILY_SUMMARY export lands.</t>
  </si>
  <si>
    <t>Dispatch count covers the SiteIQ transaction window 13 Jul - 24 Jul (11 days), not full shutdown-to-date. Re-run REFRESH_GEAR_UTILISATION.ps1 whenever a fresh TRANSACTIONS export lands.</t>
  </si>
  <si>
    <t>VEOLIA - David - Williams</t>
  </si>
  <si>
    <t>DGH Engineering - Alvin - Borres</t>
  </si>
  <si>
    <t>COATES - Lucas - Armstrong</t>
  </si>
  <si>
    <t>XTREME ENGINEERING - Lachlan - Williams</t>
  </si>
  <si>
    <t>4-7 Days</t>
  </si>
  <si>
    <t>David - Beacon</t>
  </si>
  <si>
    <t>Mathew - Wooldridge</t>
  </si>
  <si>
    <t>Alvin - Borres</t>
  </si>
  <si>
    <t>Veolia</t>
  </si>
  <si>
    <t>David - Williams</t>
  </si>
  <si>
    <t>Lachlan - Williams</t>
  </si>
  <si>
    <t>CEM26BAT087</t>
  </si>
  <si>
    <t>CEM26BAT092</t>
  </si>
  <si>
    <t>CEM26BAT102</t>
  </si>
  <si>
    <t>CEM26BAT070</t>
  </si>
  <si>
    <t>03:39 PM</t>
  </si>
  <si>
    <t>02:49 PM</t>
  </si>
  <si>
    <t>10:28 AM</t>
  </si>
  <si>
    <t>Richard - Katic</t>
  </si>
  <si>
    <t>09:10 AM</t>
  </si>
  <si>
    <t>Daniell - Fritz</t>
  </si>
  <si>
    <t>06:50 AM</t>
  </si>
  <si>
    <t>Mathew - Schroeder</t>
  </si>
  <si>
    <t>07:00 AM</t>
  </si>
  <si>
    <t>Brad - O'Sullivan</t>
  </si>
  <si>
    <t>09:14 AM</t>
  </si>
  <si>
    <t>09:02 AM</t>
  </si>
  <si>
    <t>07:45 AM</t>
  </si>
  <si>
    <t>11:16 AM</t>
  </si>
  <si>
    <t>1297566</t>
  </si>
  <si>
    <t>11:15 AM</t>
  </si>
  <si>
    <t>08:46 AM</t>
  </si>
  <si>
    <t>1312691</t>
  </si>
  <si>
    <t>06:36 AM</t>
  </si>
  <si>
    <t>07:38 AM</t>
  </si>
  <si>
    <t>07:39 AM</t>
  </si>
  <si>
    <t>BATMIL18V5A-0894</t>
  </si>
  <si>
    <t>BATMIL18V6A-0448</t>
  </si>
  <si>
    <t>BATMIL18V6A-0267</t>
  </si>
  <si>
    <t>BATMIL18V6A-0574</t>
  </si>
  <si>
    <t>Bradley - Logiudice</t>
  </si>
  <si>
    <t>1302135</t>
  </si>
  <si>
    <t>1299277</t>
  </si>
  <si>
    <t>1299278</t>
  </si>
  <si>
    <t>1303255</t>
  </si>
  <si>
    <t>1300492</t>
  </si>
  <si>
    <t>Grinder Angle 125mm Battery</t>
  </si>
  <si>
    <t>1303371</t>
  </si>
  <si>
    <t>1303369</t>
  </si>
  <si>
    <t>1303355</t>
  </si>
  <si>
    <t>1303370</t>
  </si>
  <si>
    <t>1303356</t>
  </si>
  <si>
    <t>1303353</t>
  </si>
  <si>
    <t>Return daily for inspection, charging and availability</t>
  </si>
  <si>
    <t>1269829</t>
  </si>
  <si>
    <t>1269908</t>
  </si>
  <si>
    <t>1209065</t>
  </si>
  <si>
    <t>1269910</t>
  </si>
  <si>
    <t>1302195</t>
  </si>
  <si>
    <t>1269911</t>
  </si>
  <si>
    <t>1209053</t>
  </si>
  <si>
    <t>1302199</t>
  </si>
  <si>
    <t>Conveyor 240V 4M</t>
  </si>
  <si>
    <t>32 Amp 415V Adaptor 5 Pin for Clipsal to Ceeform</t>
  </si>
  <si>
    <t>32 Amp 415V Adaptor 5 Pin for Ceeform to Clipsal</t>
  </si>
  <si>
    <t>Twin Head Floodlight LED 2 X 20W</t>
  </si>
  <si>
    <t>Trolley - Multi Purpose</t>
  </si>
  <si>
    <t>Wheel Barrow - Heavy Duty (1217092)</t>
  </si>
  <si>
    <t>Girder Clamp - 3T</t>
  </si>
  <si>
    <t>Girder Clamp 5 Tonne  Serial 304838</t>
  </si>
  <si>
    <t>Girder Clamp 5 Tonne Serial 304853</t>
  </si>
  <si>
    <t>Girder Clamp 5 Tonne Serial 304860</t>
  </si>
  <si>
    <t>Girder Clamp 5T (90-320mm)</t>
  </si>
  <si>
    <t>Round , Sling , Wll 1T, 1M</t>
  </si>
  <si>
    <t>Round , Sling , Wll 1T, 2M</t>
  </si>
  <si>
    <t>Round , Sling , Wll 1T, 3M</t>
  </si>
  <si>
    <t>Round , Sling , Wll 1T, 4M</t>
  </si>
  <si>
    <t>Round , Sling , Wll 2T, 1M</t>
  </si>
  <si>
    <t>Round , Sling , Wll 2T, 2M</t>
  </si>
  <si>
    <t>Round , Sling , Wll 2T, 3M</t>
  </si>
  <si>
    <t>Round , Sling , Wll 2T, 4M</t>
  </si>
  <si>
    <t>Round , Sling , Wll 3T, 1M</t>
  </si>
  <si>
    <t>Round , Sling , Wll 3T, 2M</t>
  </si>
  <si>
    <t>Round , Sling , Wll 3T, 3M</t>
  </si>
  <si>
    <t>Round , Sling , Wll 3T, 4M</t>
  </si>
  <si>
    <t>Round , Sling , Wll 3T, 6M</t>
  </si>
  <si>
    <t>Sling Round - 1T - 3M</t>
  </si>
  <si>
    <t>Abrasive Disc - Cutoff Fh38 127 X 2.5 X 22.2 - K2/26</t>
  </si>
  <si>
    <t>Abrasive Disc - Grinding Raised Hub A24/30T 127 X 6.8 X 22 - K2/26</t>
  </si>
  <si>
    <t>Bucket - Utility Plastic 20L White (With Lid) - K2/26</t>
  </si>
  <si>
    <t>Cleaner - Electrical Contact Crc Co 2016 350G - K2/26</t>
  </si>
  <si>
    <t>Oil - Penetrating Crc 5-56 400G - K2/26</t>
  </si>
  <si>
    <t>Respirator - P2 Disposable 8822 - K2/26</t>
  </si>
  <si>
    <t>Safety Tag - Information - K2/26</t>
  </si>
  <si>
    <t>Tape - Barrier 'Do Not Enter' Black/Red/White - K2/26</t>
  </si>
  <si>
    <t>Kit Gas Oxy / Acet Cigweld Bluejet Tradesman</t>
  </si>
  <si>
    <t>1229549</t>
  </si>
  <si>
    <t>CONVEYOR4ME</t>
  </si>
  <si>
    <t>NEW - not in Plant Equipment register</t>
  </si>
  <si>
    <t>Cody Mitchell, Thomas Maher, Andrew Fisher</t>
  </si>
  <si>
    <t>Cody Mitchell, Thomas Maher</t>
  </si>
  <si>
    <t>Cody Mitchell, Andrew Fisher</t>
  </si>
  <si>
    <t>Universal Cranes</t>
  </si>
  <si>
    <t>Nikolaus Schedny</t>
  </si>
  <si>
    <t>02:37 PM</t>
  </si>
  <si>
    <t>Paul Lester</t>
  </si>
  <si>
    <t>02:30 PM</t>
  </si>
  <si>
    <t>Adrian Letchford</t>
  </si>
  <si>
    <t>11:20 AM</t>
  </si>
  <si>
    <t>09:08 AM</t>
  </si>
  <si>
    <t>Benjamin Derksen</t>
  </si>
  <si>
    <t>11:08 AM</t>
  </si>
  <si>
    <t>09:11 AM</t>
  </si>
  <si>
    <t>07:25 AM</t>
  </si>
  <si>
    <t>Thomas Maher, Cody Mitchell</t>
  </si>
  <si>
    <t>master file</t>
  </si>
  <si>
    <t>Chain Block - Air Operated - 1 t - 10 m Drop</t>
  </si>
  <si>
    <t>15 A Extension Lead</t>
  </si>
  <si>
    <t>Chain Block - Air Operated - 6 t - 15 m Drop</t>
  </si>
  <si>
    <t>Chain Block - Manual - 2 t - 6 m Drop</t>
  </si>
  <si>
    <t>19 mm Air Hose</t>
  </si>
  <si>
    <t>Shackle - Bow - Alloy - 12 t</t>
  </si>
  <si>
    <t>Site Storage Box - 1.2 m (1200 mm × 750 mm × 850 mm)</t>
  </si>
  <si>
    <t>Chain Block - Manual - 5 t - 3 m Drop</t>
  </si>
  <si>
    <t>1272150</t>
  </si>
  <si>
    <t>Andrew Fisher, Cody Mitchell</t>
  </si>
  <si>
    <t>0-1 Days</t>
  </si>
  <si>
    <t>Return daily for bump test, charging, inspection and reissue</t>
  </si>
  <si>
    <t>Melissa - Layton</t>
  </si>
  <si>
    <t>Dgh Engineering - Melissa - Layton</t>
  </si>
  <si>
    <t>Industrial Rescue &amp; Emergency Training</t>
  </si>
  <si>
    <t>Jesse - Gill</t>
  </si>
  <si>
    <t>Industrial Rescue &amp; Emergency Training - Jesse - Gill</t>
  </si>
  <si>
    <t>Cleanaway</t>
  </si>
  <si>
    <t>Simon - Jackson</t>
  </si>
  <si>
    <t>CEM26BAT032</t>
  </si>
  <si>
    <t>CEM26BAT044</t>
  </si>
  <si>
    <t>Daman - Kanahs-Tanner</t>
  </si>
  <si>
    <t>CEM26BAT015</t>
  </si>
  <si>
    <t>CEM26BAT012</t>
  </si>
  <si>
    <t>CEM26BAT017</t>
  </si>
  <si>
    <t>08:57 AM</t>
  </si>
  <si>
    <t>02:23 PM</t>
  </si>
  <si>
    <t>Jason - Vasquez</t>
  </si>
  <si>
    <t>Scissor Lift With Operator Protection 19ft (5.7m)  Electric</t>
  </si>
  <si>
    <t>1253744</t>
  </si>
  <si>
    <t>08:33 AM</t>
  </si>
  <si>
    <t>Water Blaster - 3000 Psi Hot / Cold On Trailer (Diesel)</t>
  </si>
  <si>
    <t>Scissor Lift with Operator Protection 19Ft (5.7M)  Electric</t>
  </si>
  <si>
    <t>Shackle - Bow - Safety Pin 3.25T</t>
  </si>
  <si>
    <t>Cable Cutter - 70mm</t>
  </si>
  <si>
    <t>Sidchrome 1/2" Ratchet (Ugl Own)</t>
  </si>
  <si>
    <t>Socket - Inhex - 5/16In -1/2In Drive</t>
  </si>
  <si>
    <t>Vernier Caliper - Digital - 150mm</t>
  </si>
  <si>
    <t>Battery - Aaa 1.5Vdc Alkaline Procell - K2/26</t>
  </si>
  <si>
    <t>Cloth - Clean Absorbent 490mm X 70M - K2/26</t>
  </si>
  <si>
    <t>Tape - Duct Pvc Silver Tesa 48 X 30M - K2/26</t>
  </si>
  <si>
    <t>Wipes - Industrial Ultragrime Pk100 - K2/26</t>
  </si>
  <si>
    <t>1313742</t>
  </si>
  <si>
    <t>Water Blaster - 3000 PSI Hot / Cold on Trailer (Diesel)</t>
  </si>
  <si>
    <t>WATERBLAST3000PSIDH/CTRLR</t>
  </si>
  <si>
    <t>Cody Mitchell, Andrew Fisher, Thomas Maher</t>
  </si>
  <si>
    <t>Brendan Redman</t>
  </si>
  <si>
    <t>09:39 AM</t>
  </si>
  <si>
    <t>Mathew Wooldridge</t>
  </si>
  <si>
    <t>Kym Brodie</t>
  </si>
  <si>
    <t>06:40 AM</t>
  </si>
  <si>
    <t>Matti Kujanpaa</t>
  </si>
  <si>
    <t>06:38 AM</t>
  </si>
  <si>
    <t>Neil Covell</t>
  </si>
  <si>
    <t>07:43 AM</t>
  </si>
  <si>
    <t>Robyn Pollock</t>
  </si>
  <si>
    <t>03:53 PM</t>
  </si>
  <si>
    <t>Troy Hegarty</t>
  </si>
  <si>
    <t>04:25 PM</t>
  </si>
  <si>
    <t>03:52 PM</t>
  </si>
  <si>
    <t>Katie Wycherley</t>
  </si>
  <si>
    <t>Damien Cover</t>
  </si>
  <si>
    <t>08:44 AM</t>
  </si>
  <si>
    <t>Cameron Masters</t>
  </si>
  <si>
    <t>Jason Turley</t>
  </si>
  <si>
    <t>David Williams</t>
  </si>
  <si>
    <t>AMBER - push this unit</t>
  </si>
  <si>
    <t>High Risk Solutions - Mathew - Wooldridge</t>
  </si>
  <si>
    <t>Katie - Wycherley</t>
  </si>
  <si>
    <t>Programmed - Katie - Wycherley</t>
  </si>
  <si>
    <t>Arsene - Paterson</t>
  </si>
  <si>
    <t>Sean - Young</t>
  </si>
  <si>
    <t>Daniel - Valzan</t>
  </si>
  <si>
    <t>CEM26BAT075</t>
  </si>
  <si>
    <t>CEM26BAT049</t>
  </si>
  <si>
    <t>CEM26BAT022</t>
  </si>
  <si>
    <t>CEM26BAT103</t>
  </si>
  <si>
    <t>CEM26BAT007</t>
  </si>
  <si>
    <t>CEM26BAT038</t>
  </si>
  <si>
    <t>1312690</t>
  </si>
  <si>
    <t>Trailers - Fuel</t>
  </si>
  <si>
    <t>05:24 AM</t>
  </si>
  <si>
    <t>Kaelin Anthony - Hossack Sutton</t>
  </si>
  <si>
    <t>06:27 PM</t>
  </si>
  <si>
    <t>Cutrite</t>
  </si>
  <si>
    <t>Elijah - Taylor</t>
  </si>
  <si>
    <t>12:23 PM</t>
  </si>
  <si>
    <t>Dean - Deroode</t>
  </si>
  <si>
    <t>02:35 PM</t>
  </si>
  <si>
    <t>02:31 PM</t>
  </si>
  <si>
    <t>Hose - Air - 19mm</t>
  </si>
  <si>
    <t>Battery Charger - Milwaukee 18V Single</t>
  </si>
  <si>
    <t>Drop Saw Cut Off Abrasive 2200W</t>
  </si>
  <si>
    <t>Bucket - Plastic 9L Black with Handle - K2/26</t>
  </si>
  <si>
    <t>Diphoterine - Eyewash Eye-Siew 50Ml - K2/26</t>
  </si>
  <si>
    <t>Diphoterine - Face/Hand Spray 100Ml - K2/26</t>
  </si>
  <si>
    <t>Overall - Tyvek Chemical Resistant Hooded Xxl - K2/26</t>
  </si>
  <si>
    <t>Respirator - P2V Flatfold Carbon - K2/26</t>
  </si>
  <si>
    <t>Rope - Sisal 6mm Diameter - K2/26</t>
  </si>
  <si>
    <t>Safety Tag - Personal Isolation - K2/26</t>
  </si>
  <si>
    <t>Sqwincher Sachet - Lemon Lime 185Ml Pk50 - K2/26</t>
  </si>
  <si>
    <t>Sqwincher Sachet - Orange 185Ml Pk50 - K2/26</t>
  </si>
  <si>
    <t>Sqwincher Sachet - Wild Berry 185Ml Pk50 - K2/26</t>
  </si>
  <si>
    <t>Cody Mitchell, Adam Boyce, Andrew Fisher</t>
  </si>
  <si>
    <t>Thomas Maher, Cody Mitchell, Andrew Fisher</t>
  </si>
  <si>
    <t>WEL802-L50PIN</t>
  </si>
  <si>
    <t>LOCH 6mm Pin suits 50mm Cutter</t>
  </si>
  <si>
    <t>Steve Vecchio</t>
  </si>
  <si>
    <t>12:55 AM</t>
  </si>
  <si>
    <t>Nicole Ward</t>
  </si>
  <si>
    <t>07:40 PM</t>
  </si>
  <si>
    <t>Clinton Paul</t>
  </si>
  <si>
    <t>11:18 AM</t>
  </si>
  <si>
    <t>Arsene Paterson</t>
  </si>
  <si>
    <t>10:16 PM</t>
  </si>
  <si>
    <t>07:11 PM</t>
  </si>
  <si>
    <t>06:56 PM</t>
  </si>
  <si>
    <t>11:28 AM</t>
  </si>
  <si>
    <t>Lexie Hare</t>
  </si>
  <si>
    <t>06:39 PM</t>
  </si>
  <si>
    <t>Josh Bevan</t>
  </si>
  <si>
    <t>03:31 PM</t>
  </si>
  <si>
    <t>Elias Karaitiana</t>
  </si>
  <si>
    <t>12:07 PM</t>
  </si>
  <si>
    <t>Jordan Morehu Tarau</t>
  </si>
  <si>
    <t>01:05 PM</t>
  </si>
  <si>
    <t>11:42 AM</t>
  </si>
  <si>
    <t>Mathew McCrea</t>
  </si>
  <si>
    <t>12:19 PM</t>
  </si>
  <si>
    <t>Mark Jenner</t>
  </si>
  <si>
    <t>01:52 PM</t>
  </si>
  <si>
    <t>Cody Millan</t>
  </si>
  <si>
    <t>08:15 PM</t>
  </si>
  <si>
    <t>11:33 AM</t>
  </si>
  <si>
    <t>11:27 AM</t>
  </si>
  <si>
    <t>C:\Users\andrew.fisher\OneDrive - Coates Hire Operations Pty Limited\Desktop\New Cement Australia 2026\01_Reporting_Suite\</t>
  </si>
  <si>
    <t>Jason - Gilchrist</t>
  </si>
  <si>
    <t>Dgh Engineering - Jason - Gilchrist</t>
  </si>
  <si>
    <t>Robyn - Pollock</t>
  </si>
  <si>
    <t>Dgh Engineering - Robyn - Pollock</t>
  </si>
  <si>
    <t>Kym - Brodie</t>
  </si>
  <si>
    <t>Programmed - Kym - Brodie</t>
  </si>
  <si>
    <t>Phil - Rouse</t>
  </si>
  <si>
    <t>Veolia - Phil - Rouse</t>
  </si>
  <si>
    <t>Jayden - Zenovich</t>
  </si>
  <si>
    <t>Elias - Karaitiana</t>
  </si>
  <si>
    <t>Toby - Cusack</t>
  </si>
  <si>
    <t>Adam - Walton</t>
  </si>
  <si>
    <t>Jared - Cordova</t>
  </si>
  <si>
    <t>Kalloom - Johnson</t>
  </si>
  <si>
    <t>Mathew - Morthorpe</t>
  </si>
  <si>
    <t>Poata - Faulkner</t>
  </si>
  <si>
    <t>Raylene - Rerekura</t>
  </si>
  <si>
    <t>Rebecca - Wells</t>
  </si>
  <si>
    <t>Shalna - Daly</t>
  </si>
  <si>
    <t>Troy - Hegarty</t>
  </si>
  <si>
    <t>Sync Lift Engineering</t>
  </si>
  <si>
    <t>Brendan - Lewicki</t>
  </si>
  <si>
    <t>CEM26BAT046</t>
  </si>
  <si>
    <t>CEM26BAT050</t>
  </si>
  <si>
    <t>CEM26BAT084</t>
  </si>
  <si>
    <t>CEM26BAT066</t>
  </si>
  <si>
    <t>CEM26BAT006</t>
  </si>
  <si>
    <t>CEM26BAT104</t>
  </si>
  <si>
    <t>CEM26BAT001</t>
  </si>
  <si>
    <t>CEM26BAT020</t>
  </si>
  <si>
    <t>CEM26BAT091</t>
  </si>
  <si>
    <t>CEM26BAT023</t>
  </si>
  <si>
    <t>CEM26BAT097</t>
  </si>
  <si>
    <t>CEM26BAT025</t>
  </si>
  <si>
    <t>CEM26BAT073</t>
  </si>
  <si>
    <t>CEM26BAT055</t>
  </si>
  <si>
    <t>CEM26BAT019</t>
  </si>
  <si>
    <t>CEM26BAT095</t>
  </si>
  <si>
    <t>CEM26BAT051</t>
  </si>
  <si>
    <t>CEM26BAT080</t>
  </si>
  <si>
    <t>CEM26BAT029</t>
  </si>
  <si>
    <t>CEM26BAT035</t>
  </si>
  <si>
    <t>CEM26BAT090</t>
  </si>
  <si>
    <t>Jake - Adams</t>
  </si>
  <si>
    <t>12:52 PM</t>
  </si>
  <si>
    <t>Kale - Duffie</t>
  </si>
  <si>
    <t>07:46 AM</t>
  </si>
  <si>
    <t>Filtercare</t>
  </si>
  <si>
    <t>Shon - Siemonek</t>
  </si>
  <si>
    <t>09:16 AM</t>
  </si>
  <si>
    <t>Ken - Busteed</t>
  </si>
  <si>
    <t>10:37 AM</t>
  </si>
  <si>
    <t>Adam - Moloney</t>
  </si>
  <si>
    <t>BATMIL18V12A-0150</t>
  </si>
  <si>
    <t>BATMIL18V6A-0747</t>
  </si>
  <si>
    <t>1257966</t>
  </si>
  <si>
    <t>1246924</t>
  </si>
  <si>
    <t>Consider Additional Stock</t>
  </si>
  <si>
    <t>Adam Boyce, Thomas Maher, Andrew Fisher, Cody Mitchell</t>
  </si>
  <si>
    <t>Andrew Fisher, Cody Mitchell, Adam Boyce, Thomas Maher</t>
  </si>
  <si>
    <t>Thomas Maher, Adam Boyce, Andrew Fisher, Cody Mitchell</t>
  </si>
  <si>
    <t>Andrew Fisher, Cody Mitchell, Thomas Maher, Adam Boyce</t>
  </si>
  <si>
    <t>Shanelle Sharma</t>
  </si>
  <si>
    <t>11:22 AM</t>
  </si>
  <si>
    <t>Mark Sharman</t>
  </si>
  <si>
    <t>12:24 PM</t>
  </si>
  <si>
    <t>Jayden Zenovich</t>
  </si>
  <si>
    <t>Toby Cusack</t>
  </si>
  <si>
    <t>06:27 AM</t>
  </si>
  <si>
    <t>Ken Busteed</t>
  </si>
  <si>
    <t>09:17 AM</t>
  </si>
  <si>
    <t>Shaun Bower</t>
  </si>
  <si>
    <t>07:11 AM</t>
  </si>
  <si>
    <t>Tasman Rope Access</t>
  </si>
  <si>
    <t>Courtney Sheppard-Kadel</t>
  </si>
  <si>
    <t>07:34 AM</t>
  </si>
  <si>
    <t>Corey Dixon</t>
  </si>
  <si>
    <t>11:38 AM</t>
  </si>
  <si>
    <t>09:51 AM</t>
  </si>
  <si>
    <t>Lifeguard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</si>
</sst>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0"/>
    <numFmt numFmtId="165" formatCode="dd/mm/yyyy"/>
    <numFmt numFmtId="166" formatCode="[$-F800]dddd\,\ mmmm\ dd\,\ yyyy"/>
    <numFmt numFmtId="167" formatCode="[$-F400]h:mm:ss\ AM/PM"/>
    <numFmt numFmtId="168" formatCode="&quot;$&quot;#,##0.00"/>
    <numFmt numFmtId="169" formatCode="ddd\,\ dd\ mmm\ yyyy"/>
    <numFmt numFmtId="170" formatCode="\$#,##0"/>
    <numFmt numFmtId="171" formatCode="dd\ mmm\ yyyy\ hh:mm"/>
    <numFmt numFmtId="172" formatCode="dd\ mmm"/>
    <numFmt numFmtId="173" formatCode="0.0%"/>
    <numFmt numFmtId="174" formatCode="\$#,##0;[Red]\(\$#,##0\);\-"/>
  </numFmts>
  <fonts count="87">
    <font>
      <sz val="11"/>
      <name val="Carlito"/>
    </font>
    <font>
      <sz val="11"/>
      <color theme="1"/>
      <name val="Calibri"/>
      <family val="2"/>
      <scheme val="minor"/>
    </font>
    <font>
      <sz val="9"/>
      <name val="Carlito"/>
    </font>
    <font>
      <sz val="8"/>
      <name val="Carlito"/>
    </font>
    <font>
      <sz val="9"/>
      <color theme="1" tint="4.9989318521683403E-2"/>
      <name val="Calibri"/>
      <family val="2"/>
      <scheme val="major"/>
    </font>
    <font>
      <sz val="9"/>
      <name val="Calibri"/>
      <family val="2"/>
      <scheme val="major"/>
    </font>
    <font>
      <b/>
      <sz val="9"/>
      <color theme="1" tint="4.9989318521683403E-2"/>
      <name val="Calibri"/>
      <family val="2"/>
      <scheme val="major"/>
    </font>
    <font>
      <b/>
      <sz val="9"/>
      <color rgb="FFFFFFFF"/>
      <name val="Calibri"/>
      <family val="2"/>
      <scheme val="major"/>
    </font>
    <font>
      <b/>
      <sz val="9"/>
      <color theme="1" tint="4.9989318521683403E-2"/>
      <name val="Calibri"/>
      <family val="2"/>
    </font>
    <font>
      <sz val="9"/>
      <name val="Calibri"/>
      <family val="2"/>
    </font>
    <font>
      <b/>
      <sz val="9"/>
      <color rgb="FF000000"/>
      <name val="Calibri"/>
      <family val="2"/>
    </font>
    <font>
      <b/>
      <sz val="10"/>
      <color theme="1" tint="4.9989318521683403E-2"/>
      <name val="Calibri"/>
      <family val="2"/>
    </font>
    <font>
      <b/>
      <sz val="9"/>
      <color theme="0"/>
      <name val="Calibri"/>
      <family val="2"/>
      <scheme val="major"/>
    </font>
    <font>
      <sz val="11"/>
      <name val="Carlito"/>
    </font>
    <font>
      <sz val="9"/>
      <color theme="1" tint="4.9989318521683403E-2"/>
      <name val="Calibri"/>
      <family val="2"/>
    </font>
    <font>
      <b/>
      <sz val="18"/>
      <color rgb="FFFFFFFF"/>
      <name val="Aptos Display"/>
    </font>
    <font>
      <b/>
      <sz val="10"/>
      <color rgb="FFFFFFFF"/>
      <name val="Aptos"/>
    </font>
    <font>
      <sz val="9"/>
      <color rgb="FF111827"/>
      <name val="Aptos"/>
    </font>
    <font>
      <sz val="10"/>
      <color rgb="FF111827"/>
      <name val="Aptos"/>
    </font>
    <font>
      <b/>
      <sz val="10"/>
      <color rgb="FF111827"/>
      <name val="Aptos"/>
    </font>
    <font>
      <b/>
      <sz val="22"/>
      <color rgb="FFFFFFFF"/>
      <name val="Aptos Display"/>
    </font>
    <font>
      <b/>
      <sz val="8"/>
      <color rgb="FFFFFFFF"/>
      <name val="Aptos"/>
    </font>
    <font>
      <sz val="8"/>
      <color rgb="FF111827"/>
      <name val="Aptos"/>
    </font>
    <font>
      <sz val="11"/>
      <color theme="1" tint="4.9989318521683403E-2"/>
      <name val="Carlito"/>
    </font>
    <font>
      <b/>
      <sz val="9"/>
      <color theme="1" tint="4.9989318521683403E-2"/>
      <name val="Aptos"/>
      <family val="2"/>
    </font>
    <font>
      <b/>
      <sz val="10"/>
      <color theme="1" tint="4.9989318521683403E-2"/>
      <name val="Aptos"/>
      <family val="2"/>
    </font>
    <font>
      <b/>
      <sz val="13"/>
      <color rgb="FF1A1A1A"/>
      <name val="Aptos Display"/>
      <family val="2"/>
    </font>
    <font>
      <sz val="11"/>
      <color rgb="FF1A1A1A"/>
      <name val="Carlito"/>
      <family val="2"/>
    </font>
    <font>
      <b/>
      <sz val="10"/>
      <color rgb="FF1A1A1A"/>
      <name val="Aptos"/>
      <family val="2"/>
    </font>
    <font>
      <b/>
      <sz val="22"/>
      <color rgb="FFFFFFFF"/>
      <name val="Carlito"/>
      <family val="2"/>
    </font>
    <font>
      <b/>
      <sz val="10"/>
      <color rgb="FF1A1A1A"/>
      <name val="Carlito"/>
      <family val="2"/>
    </font>
    <font>
      <i/>
      <sz val="9"/>
      <color rgb="FF555555"/>
      <name val="Carlito"/>
      <family val="2"/>
    </font>
    <font>
      <b/>
      <sz val="10"/>
      <color rgb="FF1A1A1A"/>
      <name val="Calibri"/>
      <family val="2"/>
    </font>
    <font>
      <sz val="8"/>
      <name val="Carlito"/>
      <family val="2"/>
    </font>
    <font>
      <b/>
      <sz val="14"/>
      <color rgb="FFFFFFFF"/>
      <name val="Carlito"/>
      <family val="2"/>
    </font>
    <font>
      <b/>
      <sz val="10"/>
      <color rgb="FFFFFFFF"/>
      <name val="Calibri"/>
      <family val="2"/>
      <scheme val="major"/>
    </font>
    <font>
      <sz val="10"/>
      <name val="Calibri"/>
      <family val="2"/>
      <scheme val="major"/>
    </font>
    <font>
      <sz val="10"/>
      <name val="Carlito"/>
    </font>
    <font>
      <sz val="10"/>
      <color theme="1" tint="4.9989318521683403E-2"/>
      <name val="Carlito"/>
    </font>
    <font>
      <b/>
      <sz val="9"/>
      <color rgb="FFFFFFFF"/>
      <name val="Carlito"/>
    </font>
    <font>
      <b/>
      <sz val="9"/>
      <color rgb="FF1A1A1A"/>
      <name val="Carlito"/>
    </font>
    <font>
      <i/>
      <sz val="9"/>
      <color rgb="FF555555"/>
      <name val="Carlito"/>
    </font>
    <font>
      <sz val="9"/>
      <color theme="1" tint="4.9989318521683403E-2"/>
      <name val="Carlito"/>
    </font>
    <font>
      <b/>
      <sz val="12"/>
      <color theme="1" tint="4.9989318521683403E-2"/>
      <name val="Calibri"/>
      <family val="2"/>
    </font>
    <font>
      <b/>
      <sz val="12"/>
      <color rgb="FFFFFFFF"/>
      <name val="Aptos Display"/>
      <family val="2"/>
    </font>
    <font>
      <b/>
      <sz val="12"/>
      <color rgb="FFFF4E00"/>
      <name val="Aptos"/>
      <family val="2"/>
    </font>
    <font>
      <b/>
      <sz val="12"/>
      <color rgb="FF16A34A"/>
      <name val="Aptos Display"/>
      <family val="2"/>
    </font>
    <font>
      <b/>
      <sz val="10"/>
      <color rgb="FFFFFFFF"/>
      <name val="Aptos Display"/>
      <family val="2"/>
    </font>
    <font>
      <b/>
      <sz val="10"/>
      <color rgb="FFFF4E00"/>
      <name val="Aptos"/>
      <family val="2"/>
    </font>
    <font>
      <b/>
      <sz val="10"/>
      <color rgb="FF5B6678"/>
      <name val="Aptos"/>
      <family val="2"/>
    </font>
    <font>
      <b/>
      <sz val="10"/>
      <color rgb="FFF59E0B"/>
      <name val="Aptos"/>
      <family val="2"/>
    </font>
    <font>
      <sz val="10"/>
      <color rgb="FF111827"/>
      <name val="Aptos"/>
      <family val="2"/>
    </font>
    <font>
      <b/>
      <sz val="10"/>
      <color rgb="FFF59E0B"/>
      <name val="Aptos Display"/>
      <family val="2"/>
    </font>
    <font>
      <b/>
      <sz val="10"/>
      <color rgb="FF1A1A1A"/>
      <name val="Aptos Display"/>
      <family val="2"/>
    </font>
    <font>
      <b/>
      <sz val="10"/>
      <color rgb="FFFFFFFF"/>
      <name val="Aptos"/>
      <family val="2"/>
    </font>
    <font>
      <b/>
      <sz val="10"/>
      <color rgb="FF111827"/>
      <name val="Aptos"/>
      <family val="2"/>
    </font>
    <font>
      <b/>
      <sz val="10"/>
      <color rgb="FFD1D5DB"/>
      <name val="Aptos"/>
      <family val="2"/>
    </font>
    <font>
      <b/>
      <sz val="12"/>
      <color rgb="FFFFFFFF"/>
      <name val="Calibri"/>
      <family val="2"/>
      <scheme val="major"/>
    </font>
    <font>
      <i/>
      <sz val="9"/>
      <name val="Carlito"/>
      <family val="2"/>
    </font>
    <font>
      <b/>
      <sz val="9"/>
      <name val="Calibri"/>
      <family val="2"/>
      <scheme val="major"/>
    </font>
    <font>
      <b/>
      <sz val="14"/>
      <color rgb="FF004EFF"/>
      <name val="Calibri"/>
      <family val="2"/>
      <scheme val="major"/>
    </font>
    <font>
      <sz val="10"/>
      <name val="Carlito"/>
      <family val="2"/>
    </font>
    <font>
      <sz val="10"/>
      <color rgb="FFAFA39C"/>
      <name val="Calibri"/>
      <family val="2"/>
      <scheme val="major"/>
    </font>
    <font>
      <b/>
      <sz val="10"/>
      <color rgb="FF004EFF"/>
      <name val="Calibri"/>
      <family val="2"/>
      <scheme val="major"/>
    </font>
    <font>
      <sz val="9"/>
      <color rgb="FFFFFFFF"/>
      <name val="Calibri"/>
      <family val="2"/>
      <scheme val="major"/>
    </font>
    <font>
      <b/>
      <sz val="12"/>
      <color rgb="FFFFFFFF"/>
      <name val="Carlito"/>
    </font>
    <font>
      <i/>
      <sz val="9"/>
      <name val="Carlito"/>
    </font>
    <font>
      <b/>
      <sz val="11"/>
      <color rgb="FFFFFFFF"/>
      <name val="Carlito"/>
    </font>
    <font>
      <i/>
      <sz val="11"/>
      <color rgb="FFFFFFFF"/>
      <name val="Carlito"/>
    </font>
    <font>
      <b/>
      <sz val="11"/>
      <name val="Carlito"/>
    </font>
    <font>
      <b/>
      <sz val="14"/>
      <color rgb="FF004EFF"/>
      <name val="Carlito"/>
    </font>
    <font>
      <b/>
      <sz val="10"/>
      <color rgb="FF3D8015"/>
      <name val="Calibri"/>
      <family val="2"/>
      <scheme val="major"/>
    </font>
    <font>
      <b/>
      <sz val="10"/>
      <color rgb="FF1A1A1A"/>
      <name val="Carlito"/>
    </font>
    <font>
      <i/>
      <sz val="10"/>
      <color rgb="FF555555"/>
      <name val="Carlito"/>
    </font>
    <font>
      <sz val="10"/>
      <color rgb="FF555555"/>
      <name val="Carlito"/>
    </font>
    <font>
      <b/>
      <sz val="22"/>
      <color rgb="FFFFFFFF"/>
      <name val="Calibri"/>
      <family val="2"/>
      <scheme val="major"/>
    </font>
    <font>
      <b/>
      <sz val="10"/>
      <color rgb="FFFF4E00"/>
      <name val="Calibri"/>
      <family val="2"/>
      <scheme val="major"/>
    </font>
    <font>
      <b/>
      <sz val="10"/>
      <color rgb="FF5B6678"/>
      <name val="Calibri"/>
      <family val="2"/>
      <scheme val="major"/>
    </font>
    <font>
      <sz val="10"/>
      <color rgb="FF111827"/>
      <name val="Calibri"/>
      <family val="2"/>
      <scheme val="major"/>
    </font>
    <font>
      <b/>
      <sz val="10"/>
      <color rgb="FF1A1A1A"/>
      <name val="Calibri"/>
      <family val="2"/>
      <scheme val="major"/>
    </font>
    <font>
      <sz val="10"/>
      <color rgb="FF1A1A1A"/>
      <name val="Calibri"/>
      <family val="2"/>
      <scheme val="major"/>
    </font>
    <font>
      <b/>
      <sz val="10"/>
      <color rgb="FFF59E0B"/>
      <name val="Calibri"/>
      <family val="2"/>
      <scheme val="major"/>
    </font>
    <font>
      <b/>
      <sz val="10"/>
      <color rgb="FFD1D5DB"/>
      <name val="Calibri"/>
      <family val="2"/>
      <scheme val="major"/>
    </font>
    <font>
      <i/>
      <sz val="10"/>
      <name val="Calibri"/>
      <family val="2"/>
      <scheme val="major"/>
    </font>
    <font>
      <sz val="22"/>
      <name val="Calibri"/>
      <family val="2"/>
      <scheme val="major"/>
    </font>
    <font>
      <b/>
      <sz val="10"/>
      <color rgb="FFAFA39C"/>
      <name val="Calibri"/>
      <family val="2"/>
      <scheme val="major"/>
    </font>
    <font>
      <i/>
      <sz val="9"/>
      <name val="Calibri"/>
      <family val="2"/>
      <scheme val="major"/>
    </font>
  </fonts>
  <fills count="27">
    <fill>
      <patternFill patternType="none"/>
    </fill>
    <fill>
      <patternFill patternType="gray125"/>
    </fill>
    <fill>
      <patternFill patternType="solid">
        <fgColor rgb="FF003B71"/>
      </patternFill>
    </fill>
    <fill>
      <patternFill patternType="solid">
        <fgColor rgb="FFD9EAF7"/>
      </patternFill>
    </fill>
    <fill>
      <patternFill patternType="solid">
        <fgColor rgb="FFE2F0D9"/>
      </patternFill>
    </fill>
    <fill>
      <patternFill patternType="solid">
        <fgColor rgb="FFF2F2F2"/>
      </patternFill>
    </fill>
    <fill>
      <patternFill patternType="solid">
        <fgColor rgb="FFFA4600"/>
        <bgColor indexed="64"/>
      </patternFill>
    </fill>
    <fill>
      <patternFill patternType="solid">
        <fgColor rgb="FFFA4600"/>
      </patternFill>
    </fill>
    <fill>
      <patternFill patternType="solid">
        <fgColor rgb="FFFFFFFF"/>
      </patternFill>
    </fill>
    <fill>
      <patternFill patternType="solid">
        <fgColor rgb="FFFFE5DA"/>
      </patternFill>
    </fill>
    <fill>
      <patternFill patternType="solid">
        <fgColor theme="0"/>
        <bgColor indexed="64"/>
      </patternFill>
    </fill>
    <fill>
      <patternFill patternType="solid">
        <fgColor rgb="FFFA4600"/>
        <bgColor indexed="64"/>
      </patternFill>
    </fill>
    <fill>
      <patternFill patternType="solid">
        <fgColor rgb="FFFA4600"/>
        <bgColor indexed="64"/>
      </patternFill>
    </fill>
    <fill>
      <patternFill patternType="solid">
        <fgColor rgb="FF111827"/>
      </patternFill>
    </fill>
    <fill>
      <patternFill patternType="solid">
        <fgColor rgb="FFFF4E00"/>
      </patternFill>
    </fill>
    <fill>
      <patternFill patternType="solid">
        <fgColor rgb="FF1F2937"/>
      </patternFill>
    </fill>
    <fill>
      <patternFill patternType="solid">
        <fgColor rgb="FFE5E7EB"/>
      </patternFill>
    </fill>
    <fill>
      <patternFill patternType="solid">
        <fgColor rgb="FFF3F4F6"/>
      </patternFill>
    </fill>
    <fill>
      <patternFill patternType="solid">
        <fgColor theme="3" tint="0.89999084444715716"/>
        <bgColor indexed="64"/>
      </patternFill>
    </fill>
    <fill>
      <patternFill patternType="solid">
        <fgColor rgb="FF111827"/>
        <bgColor indexed="64"/>
      </patternFill>
    </fill>
    <fill>
      <patternFill patternType="solid">
        <fgColor rgb="FFFF4E00"/>
        <bgColor indexed="64"/>
      </patternFill>
    </fill>
    <fill>
      <patternFill patternType="solid">
        <fgColor theme="5" tint="0.79998168889431442"/>
        <bgColor indexed="64"/>
      </patternFill>
    </fill>
    <fill>
      <patternFill patternType="solid">
        <fgColor theme="4" tint="0.39997558519241921"/>
        <bgColor indexed="65"/>
      </patternFill>
    </fill>
    <fill>
      <patternFill patternType="solid">
        <fgColor rgb="FF111111"/>
        <bgColor indexed="64"/>
      </patternFill>
    </fill>
    <fill>
      <patternFill patternType="solid">
        <fgColor rgb="FF514137"/>
        <bgColor indexed="64"/>
      </patternFill>
    </fill>
    <fill>
      <patternFill patternType="solid">
        <fgColor rgb="FFFFFFFF"/>
        <bgColor indexed="64"/>
      </patternFill>
    </fill>
    <fill>
      <patternFill patternType="solid">
        <fgColor rgb="FFF6F4F3"/>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diagonal/>
    </border>
    <border>
      <left/>
      <right/>
      <top style="thin">
        <color rgb="FFD6DAE1"/>
      </top>
      <bottom style="thin">
        <color rgb="FFD6DAE1"/>
      </bottom>
      <diagonal/>
    </border>
    <border>
      <left style="thin">
        <color rgb="FFD6DAE1"/>
      </left>
      <right/>
      <top style="thin">
        <color rgb="FFD6DAE1"/>
      </top>
      <bottom style="thin">
        <color rgb="FFD6DAE1"/>
      </bottom>
      <diagonal/>
    </border>
    <border>
      <left/>
      <right style="thin">
        <color rgb="FFD6DAE1"/>
      </right>
      <top style="thin">
        <color rgb="FFD6DAE1"/>
      </top>
      <bottom style="thin">
        <color rgb="FFD6DAE1"/>
      </bottom>
      <diagonal/>
    </border>
    <border>
      <left style="thin">
        <color rgb="FF3C4655"/>
      </left>
      <right/>
      <top style="thin">
        <color rgb="FF3C4655"/>
      </top>
      <bottom style="thin">
        <color rgb="FF3C4655"/>
      </bottom>
      <diagonal/>
    </border>
    <border>
      <left/>
      <right/>
      <top style="thin">
        <color rgb="FF3C4655"/>
      </top>
      <bottom style="thin">
        <color rgb="FF3C4655"/>
      </bottom>
      <diagonal/>
    </border>
    <border>
      <left/>
      <right style="thin">
        <color rgb="FF3C4655"/>
      </right>
      <top style="thin">
        <color rgb="FF3C4655"/>
      </top>
      <bottom style="thin">
        <color rgb="FF3C4655"/>
      </bottom>
      <diagonal/>
    </border>
    <border>
      <left style="thin">
        <color rgb="FF3C4655"/>
      </left>
      <right/>
      <top style="thin">
        <color rgb="FF3C4655"/>
      </top>
      <bottom/>
      <diagonal/>
    </border>
    <border>
      <left/>
      <right/>
      <top style="thin">
        <color rgb="FF3C4655"/>
      </top>
      <bottom/>
      <diagonal/>
    </border>
    <border>
      <left/>
      <right style="thin">
        <color rgb="FF3C4655"/>
      </right>
      <top style="thin">
        <color rgb="FF3C4655"/>
      </top>
      <bottom/>
      <diagonal/>
    </border>
    <border>
      <left style="thin">
        <color rgb="FF3C4655"/>
      </left>
      <right/>
      <top/>
      <bottom/>
      <diagonal/>
    </border>
    <border>
      <left/>
      <right style="thin">
        <color rgb="FF3C4655"/>
      </right>
      <top/>
      <bottom/>
      <diagonal/>
    </border>
    <border>
      <left style="thin">
        <color rgb="FF3C4655"/>
      </left>
      <right/>
      <top/>
      <bottom style="thin">
        <color rgb="FF3C4655"/>
      </bottom>
      <diagonal/>
    </border>
    <border>
      <left/>
      <right/>
      <top/>
      <bottom style="thin">
        <color rgb="FF3C4655"/>
      </bottom>
      <diagonal/>
    </border>
    <border>
      <left/>
      <right style="thin">
        <color rgb="FF3C4655"/>
      </right>
      <top/>
      <bottom style="thin">
        <color rgb="FF3C4655"/>
      </bottom>
      <diagonal/>
    </border>
    <border>
      <left style="thin">
        <color rgb="FFD6DAE1"/>
      </left>
      <right style="thin">
        <color rgb="FFD6DAE1"/>
      </right>
      <top style="thin">
        <color rgb="FFD6DAE1"/>
      </top>
      <bottom style="thin">
        <color rgb="FFD6DAE1"/>
      </bottom>
      <diagonal/>
    </border>
    <border>
      <left/>
      <right/>
      <top style="thin">
        <color indexed="64"/>
      </top>
      <bottom/>
      <diagonal/>
    </border>
    <border>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rgb="FFD6DAE1"/>
      </left>
      <right style="thin">
        <color rgb="FFD6DAE1"/>
      </right>
      <top style="thin">
        <color rgb="FFD6DAE1"/>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13" fillId="0" borderId="0"/>
    <xf numFmtId="0" fontId="1" fillId="22" borderId="0" applyNumberFormat="0" applyBorder="0" applyAlignment="0" applyProtection="0"/>
  </cellStyleXfs>
  <cellXfs count="593">
    <xf numFmtId="0" fontId="0" fillId="0" borderId="0" xfId="0"/>
    <xf numFmtId="0" fontId="2" fillId="0" borderId="0" xfId="0" applyFont="1"/>
    <xf numFmtId="164" fontId="2" fillId="0" borderId="1" xfId="0" applyNumberFormat="1" applyFont="1" applyBorder="1" applyAlignment="1">
      <alignment horizontal="center"/>
    </xf>
    <xf numFmtId="0" fontId="2" fillId="0" borderId="0" xfId="0" applyFont="1" applyAlignment="1">
      <alignment horizontal="center"/>
    </xf>
    <xf numFmtId="0" fontId="4" fillId="6" borderId="3" xfId="0" applyFont="1" applyFill="1" applyBorder="1" applyAlignment="1">
      <alignment horizontal="center"/>
    </xf>
    <xf numFmtId="0" fontId="4" fillId="6" borderId="3" xfId="0" applyFont="1" applyFill="1" applyBorder="1"/>
    <xf numFmtId="0" fontId="5" fillId="0" borderId="0" xfId="0" applyFont="1"/>
    <xf numFmtId="14" fontId="5" fillId="0" borderId="5" xfId="0" applyNumberFormat="1" applyFont="1" applyBorder="1" applyAlignment="1">
      <alignment horizontal="center"/>
    </xf>
    <xf numFmtId="14" fontId="5" fillId="0" borderId="1" xfId="0" applyNumberFormat="1" applyFont="1" applyBorder="1" applyAlignment="1">
      <alignment horizontal="center"/>
    </xf>
    <xf numFmtId="0" fontId="5" fillId="0" borderId="1" xfId="0" applyFont="1" applyBorder="1" applyAlignment="1">
      <alignment horizontal="center"/>
    </xf>
    <xf numFmtId="0" fontId="5" fillId="0" borderId="1" xfId="0" applyFont="1" applyBorder="1"/>
    <xf numFmtId="9" fontId="5" fillId="0" borderId="1" xfId="0" applyNumberFormat="1" applyFont="1" applyBorder="1" applyAlignment="1">
      <alignment horizontal="center"/>
    </xf>
    <xf numFmtId="0" fontId="5" fillId="0" borderId="6" xfId="0" applyFont="1" applyBorder="1"/>
    <xf numFmtId="14" fontId="5" fillId="0" borderId="8" xfId="0" applyNumberFormat="1" applyFont="1" applyBorder="1" applyAlignment="1">
      <alignment horizontal="center"/>
    </xf>
    <xf numFmtId="0" fontId="5" fillId="0" borderId="8" xfId="0" applyFont="1" applyBorder="1" applyAlignment="1">
      <alignment horizontal="center"/>
    </xf>
    <xf numFmtId="0" fontId="5" fillId="0" borderId="9" xfId="0" applyFont="1" applyBorder="1"/>
    <xf numFmtId="0" fontId="5" fillId="0" borderId="0" xfId="0" applyFont="1" applyAlignment="1">
      <alignment horizontal="center"/>
    </xf>
    <xf numFmtId="9" fontId="5" fillId="0" borderId="0" xfId="0" applyNumberFormat="1" applyFont="1" applyAlignment="1">
      <alignment horizontal="center"/>
    </xf>
    <xf numFmtId="0" fontId="4" fillId="6" borderId="2" xfId="0" applyFont="1" applyFill="1" applyBorder="1"/>
    <xf numFmtId="0" fontId="5" fillId="0" borderId="5" xfId="0" applyFont="1" applyBorder="1"/>
    <xf numFmtId="0" fontId="4" fillId="6" borderId="4" xfId="0" applyFont="1" applyFill="1" applyBorder="1" applyAlignment="1">
      <alignment horizontal="center"/>
    </xf>
    <xf numFmtId="167" fontId="5" fillId="0" borderId="1" xfId="0" applyNumberFormat="1" applyFont="1" applyBorder="1" applyAlignment="1">
      <alignment horizontal="center"/>
    </xf>
    <xf numFmtId="0" fontId="5" fillId="0" borderId="6" xfId="0" applyFont="1" applyBorder="1" applyAlignment="1">
      <alignment horizontal="center"/>
    </xf>
    <xf numFmtId="168" fontId="4" fillId="6" borderId="3" xfId="0" applyNumberFormat="1" applyFont="1" applyFill="1" applyBorder="1" applyAlignment="1">
      <alignment horizontal="center"/>
    </xf>
    <xf numFmtId="168" fontId="5" fillId="0" borderId="1" xfId="0" applyNumberFormat="1" applyFont="1" applyBorder="1" applyAlignment="1">
      <alignment horizontal="center"/>
    </xf>
    <xf numFmtId="168" fontId="5" fillId="0" borderId="0" xfId="0" applyNumberFormat="1" applyFont="1"/>
    <xf numFmtId="0" fontId="4" fillId="6" borderId="1" xfId="0" applyFont="1" applyFill="1" applyBorder="1" applyAlignment="1">
      <alignment horizontal="center"/>
    </xf>
    <xf numFmtId="0" fontId="4" fillId="6" borderId="1" xfId="0" applyFont="1" applyFill="1" applyBorder="1"/>
    <xf numFmtId="168" fontId="5" fillId="0" borderId="0" xfId="0" applyNumberFormat="1" applyFont="1" applyAlignment="1">
      <alignment horizontal="center"/>
    </xf>
    <xf numFmtId="168" fontId="5" fillId="0" borderId="8" xfId="0" applyNumberFormat="1" applyFont="1" applyBorder="1" applyAlignment="1">
      <alignment horizontal="center"/>
    </xf>
    <xf numFmtId="164" fontId="5" fillId="3" borderId="1" xfId="0" applyNumberFormat="1" applyFont="1" applyFill="1" applyBorder="1" applyAlignment="1">
      <alignment horizontal="center"/>
    </xf>
    <xf numFmtId="164" fontId="5" fillId="4" borderId="1" xfId="0" applyNumberFormat="1" applyFont="1" applyFill="1" applyBorder="1" applyAlignment="1">
      <alignment horizontal="center"/>
    </xf>
    <xf numFmtId="164" fontId="5" fillId="5" borderId="1" xfId="0" applyNumberFormat="1" applyFont="1" applyFill="1" applyBorder="1" applyAlignment="1">
      <alignment horizontal="center"/>
    </xf>
    <xf numFmtId="164" fontId="5" fillId="0" borderId="1" xfId="0" applyNumberFormat="1" applyFont="1" applyBorder="1" applyAlignment="1">
      <alignment horizontal="center"/>
    </xf>
    <xf numFmtId="166" fontId="5" fillId="0" borderId="0" xfId="0" applyNumberFormat="1" applyFont="1" applyAlignment="1">
      <alignment horizontal="center"/>
    </xf>
    <xf numFmtId="164" fontId="2" fillId="0" borderId="9" xfId="0" applyNumberFormat="1" applyFont="1" applyBorder="1" applyAlignment="1">
      <alignment horizontal="center"/>
    </xf>
    <xf numFmtId="164" fontId="2" fillId="0" borderId="8" xfId="0" applyNumberFormat="1" applyFont="1" applyBorder="1" applyAlignment="1">
      <alignment horizontal="center"/>
    </xf>
    <xf numFmtId="2" fontId="2" fillId="0" borderId="8" xfId="0" applyNumberFormat="1" applyFont="1" applyBorder="1" applyAlignment="1">
      <alignment horizontal="center"/>
    </xf>
    <xf numFmtId="164" fontId="2" fillId="0" borderId="6" xfId="0" applyNumberFormat="1" applyFont="1" applyBorder="1" applyAlignment="1">
      <alignment horizontal="center"/>
    </xf>
    <xf numFmtId="1" fontId="2" fillId="0" borderId="1" xfId="0" applyNumberFormat="1" applyFont="1" applyBorder="1" applyAlignment="1">
      <alignment horizontal="center"/>
    </xf>
    <xf numFmtId="2" fontId="2" fillId="0" borderId="1" xfId="0" applyNumberFormat="1" applyFont="1" applyBorder="1" applyAlignment="1">
      <alignment horizontal="center"/>
    </xf>
    <xf numFmtId="0" fontId="2" fillId="0" borderId="5" xfId="0" applyFont="1" applyBorder="1"/>
    <xf numFmtId="0" fontId="2" fillId="0" borderId="7" xfId="0" applyFont="1" applyBorder="1" applyAlignment="1">
      <alignment horizontal="center"/>
    </xf>
    <xf numFmtId="0" fontId="2" fillId="0" borderId="5" xfId="0" applyFont="1" applyBorder="1" applyAlignment="1">
      <alignment horizontal="center"/>
    </xf>
    <xf numFmtId="0" fontId="8" fillId="7" borderId="4" xfId="0" applyFont="1" applyFill="1" applyBorder="1" applyAlignment="1">
      <alignment horizontal="center"/>
    </xf>
    <xf numFmtId="0" fontId="8" fillId="7" borderId="3" xfId="0" applyFont="1" applyFill="1" applyBorder="1" applyAlignment="1">
      <alignment horizontal="center"/>
    </xf>
    <xf numFmtId="0" fontId="8" fillId="7" borderId="2" xfId="0" applyFont="1" applyFill="1" applyBorder="1" applyAlignment="1">
      <alignment horizontal="center"/>
    </xf>
    <xf numFmtId="0" fontId="8" fillId="6" borderId="4" xfId="0" applyFont="1" applyFill="1" applyBorder="1" applyAlignment="1">
      <alignment horizontal="center"/>
    </xf>
    <xf numFmtId="0" fontId="8" fillId="6" borderId="3" xfId="0" applyFont="1" applyFill="1" applyBorder="1" applyAlignment="1">
      <alignment horizontal="center"/>
    </xf>
    <xf numFmtId="0" fontId="8" fillId="6" borderId="2" xfId="0" applyFont="1" applyFill="1" applyBorder="1" applyAlignment="1">
      <alignment horizontal="center"/>
    </xf>
    <xf numFmtId="164" fontId="9" fillId="0" borderId="9" xfId="0" applyNumberFormat="1" applyFont="1" applyBorder="1" applyAlignment="1">
      <alignment horizontal="center" vertical="center"/>
    </xf>
    <xf numFmtId="164" fontId="9" fillId="0" borderId="8" xfId="0" applyNumberFormat="1" applyFont="1" applyBorder="1" applyAlignment="1">
      <alignment horizontal="center" vertical="center"/>
    </xf>
    <xf numFmtId="1" fontId="9" fillId="0" borderId="8" xfId="0" applyNumberFormat="1" applyFont="1" applyBorder="1" applyAlignment="1">
      <alignment horizontal="center" vertical="center"/>
    </xf>
    <xf numFmtId="2" fontId="9" fillId="0" borderId="8" xfId="0" applyNumberFormat="1" applyFont="1" applyBorder="1" applyAlignment="1">
      <alignment horizontal="center" vertical="center"/>
    </xf>
    <xf numFmtId="0" fontId="9" fillId="0" borderId="8" xfId="0" applyFont="1" applyBorder="1" applyAlignment="1">
      <alignment horizontal="center" vertical="center"/>
    </xf>
    <xf numFmtId="20" fontId="9" fillId="0" borderId="8" xfId="0" applyNumberFormat="1" applyFont="1" applyBorder="1" applyAlignment="1">
      <alignment horizontal="center" vertical="center"/>
    </xf>
    <xf numFmtId="0" fontId="9" fillId="0" borderId="8" xfId="0" applyFont="1" applyBorder="1" applyAlignment="1">
      <alignment vertical="center"/>
    </xf>
    <xf numFmtId="169" fontId="9" fillId="0" borderId="7" xfId="0" applyNumberFormat="1" applyFont="1" applyBorder="1" applyAlignment="1">
      <alignment horizontal="center" vertical="center"/>
    </xf>
    <xf numFmtId="164" fontId="9" fillId="0" borderId="6" xfId="0" applyNumberFormat="1" applyFont="1" applyBorder="1" applyAlignment="1">
      <alignment horizontal="center" vertical="center"/>
    </xf>
    <xf numFmtId="164" fontId="9" fillId="0" borderId="1" xfId="0" applyNumberFormat="1" applyFont="1" applyBorder="1" applyAlignment="1">
      <alignment horizontal="center" vertical="center"/>
    </xf>
    <xf numFmtId="1" fontId="9" fillId="0" borderId="1" xfId="0" applyNumberFormat="1" applyFont="1" applyBorder="1" applyAlignment="1">
      <alignment horizontal="center" vertical="center"/>
    </xf>
    <xf numFmtId="2" fontId="9" fillId="0" borderId="1" xfId="0" applyNumberFormat="1" applyFont="1" applyBorder="1" applyAlignment="1">
      <alignment horizontal="center" vertical="center"/>
    </xf>
    <xf numFmtId="0" fontId="9" fillId="0" borderId="1" xfId="0" applyFont="1" applyBorder="1" applyAlignment="1">
      <alignment horizontal="center" vertical="center"/>
    </xf>
    <xf numFmtId="20" fontId="9" fillId="0" borderId="1" xfId="0" applyNumberFormat="1" applyFont="1" applyBorder="1" applyAlignment="1">
      <alignment horizontal="center" vertical="center"/>
    </xf>
    <xf numFmtId="0" fontId="9" fillId="0" borderId="1" xfId="0" applyFont="1" applyBorder="1" applyAlignment="1">
      <alignment vertical="center"/>
    </xf>
    <xf numFmtId="169" fontId="9" fillId="0" borderId="5" xfId="0" applyNumberFormat="1" applyFont="1" applyBorder="1" applyAlignment="1">
      <alignment horizontal="center" vertical="center"/>
    </xf>
    <xf numFmtId="0" fontId="8" fillId="6" borderId="4"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2" fillId="0" borderId="0" xfId="0" applyFont="1" applyAlignment="1">
      <alignment vertical="center"/>
    </xf>
    <xf numFmtId="0" fontId="9" fillId="8" borderId="1" xfId="0" applyFont="1" applyFill="1" applyBorder="1" applyAlignment="1">
      <alignment vertical="center" wrapText="1"/>
    </xf>
    <xf numFmtId="2" fontId="2" fillId="0" borderId="14" xfId="0" applyNumberFormat="1" applyFont="1" applyBorder="1" applyAlignment="1">
      <alignment horizontal="center" vertical="center"/>
    </xf>
    <xf numFmtId="2" fontId="2" fillId="0" borderId="1" xfId="0" applyNumberFormat="1" applyFont="1" applyBorder="1" applyAlignment="1">
      <alignment horizontal="center" vertical="center"/>
    </xf>
    <xf numFmtId="164" fontId="2" fillId="0" borderId="1" xfId="0" applyNumberFormat="1" applyFont="1" applyBorder="1" applyAlignment="1">
      <alignment horizontal="center" vertical="center"/>
    </xf>
    <xf numFmtId="0" fontId="2" fillId="0" borderId="15" xfId="0" applyFont="1" applyBorder="1" applyAlignment="1">
      <alignment horizontal="center" vertical="center"/>
    </xf>
    <xf numFmtId="164" fontId="2" fillId="0" borderId="1" xfId="0" applyNumberFormat="1" applyFont="1" applyBorder="1" applyAlignment="1">
      <alignment horizontal="center" vertical="center" wrapText="1"/>
    </xf>
    <xf numFmtId="0" fontId="8" fillId="6" borderId="18" xfId="0" applyFont="1" applyFill="1" applyBorder="1" applyAlignment="1">
      <alignment horizontal="center"/>
    </xf>
    <xf numFmtId="0" fontId="8" fillId="7" borderId="19" xfId="0" applyFont="1" applyFill="1" applyBorder="1" applyAlignment="1">
      <alignment horizontal="center"/>
    </xf>
    <xf numFmtId="0" fontId="8" fillId="7" borderId="20" xfId="0" applyFont="1" applyFill="1" applyBorder="1" applyAlignment="1">
      <alignment horizontal="center"/>
    </xf>
    <xf numFmtId="0" fontId="8" fillId="7" borderId="21" xfId="0" applyFont="1" applyFill="1" applyBorder="1" applyAlignment="1">
      <alignment horizontal="center"/>
    </xf>
    <xf numFmtId="2" fontId="10" fillId="9" borderId="10" xfId="0" applyNumberFormat="1" applyFont="1" applyFill="1" applyBorder="1" applyAlignment="1">
      <alignment horizontal="center" vertical="center"/>
    </xf>
    <xf numFmtId="2" fontId="10" fillId="9" borderId="11" xfId="0" applyNumberFormat="1" applyFont="1" applyFill="1" applyBorder="1" applyAlignment="1">
      <alignment horizontal="center" vertical="center"/>
    </xf>
    <xf numFmtId="164" fontId="10" fillId="9" borderId="11" xfId="0" applyNumberFormat="1" applyFont="1" applyFill="1" applyBorder="1" applyAlignment="1">
      <alignment horizontal="center" vertical="center"/>
    </xf>
    <xf numFmtId="164" fontId="10" fillId="9" borderId="12" xfId="0" applyNumberFormat="1" applyFont="1" applyFill="1" applyBorder="1" applyAlignment="1">
      <alignment horizontal="center" vertical="center"/>
    </xf>
    <xf numFmtId="0" fontId="5" fillId="0" borderId="0" xfId="0" applyFont="1" applyAlignment="1">
      <alignment horizontal="center" vertical="center" wrapText="1"/>
    </xf>
    <xf numFmtId="0" fontId="8" fillId="6" borderId="12" xfId="0" applyFont="1" applyFill="1" applyBorder="1" applyAlignment="1">
      <alignment horizontal="center"/>
    </xf>
    <xf numFmtId="164" fontId="8" fillId="6" borderId="11" xfId="0" applyNumberFormat="1" applyFont="1" applyFill="1" applyBorder="1" applyAlignment="1">
      <alignment horizontal="center"/>
    </xf>
    <xf numFmtId="2" fontId="8" fillId="6" borderId="11" xfId="0" applyNumberFormat="1" applyFont="1" applyFill="1" applyBorder="1" applyAlignment="1">
      <alignment horizontal="center"/>
    </xf>
    <xf numFmtId="2" fontId="8" fillId="6" borderId="10" xfId="0" applyNumberFormat="1" applyFont="1" applyFill="1" applyBorder="1" applyAlignment="1">
      <alignment horizontal="center"/>
    </xf>
    <xf numFmtId="166" fontId="5" fillId="0" borderId="5" xfId="0" applyNumberFormat="1" applyFont="1" applyBorder="1" applyAlignment="1">
      <alignment horizontal="center"/>
    </xf>
    <xf numFmtId="164" fontId="5" fillId="0" borderId="6" xfId="0" applyNumberFormat="1" applyFont="1" applyBorder="1" applyAlignment="1">
      <alignment horizontal="center"/>
    </xf>
    <xf numFmtId="0" fontId="8" fillId="6" borderId="21" xfId="0" applyFont="1" applyFill="1" applyBorder="1" applyAlignment="1">
      <alignment horizontal="center" vertical="center"/>
    </xf>
    <xf numFmtId="0" fontId="8" fillId="6" borderId="20" xfId="0" applyFont="1" applyFill="1" applyBorder="1" applyAlignment="1">
      <alignment horizontal="center" vertical="center"/>
    </xf>
    <xf numFmtId="0" fontId="8" fillId="6" borderId="19" xfId="0" applyFont="1" applyFill="1" applyBorder="1" applyAlignment="1">
      <alignment horizontal="center" vertical="center"/>
    </xf>
    <xf numFmtId="166" fontId="7" fillId="2" borderId="2" xfId="0" applyNumberFormat="1" applyFont="1" applyFill="1" applyBorder="1" applyAlignment="1">
      <alignment horizontal="center" vertical="center" wrapText="1"/>
    </xf>
    <xf numFmtId="0" fontId="6" fillId="3" borderId="3" xfId="0" applyFont="1" applyFill="1" applyBorder="1" applyAlignment="1">
      <alignment horizontal="center" vertical="center" wrapText="1"/>
    </xf>
    <xf numFmtId="0" fontId="6" fillId="4" borderId="3" xfId="0" applyFont="1" applyFill="1" applyBorder="1" applyAlignment="1">
      <alignment horizontal="center" vertical="center" wrapText="1"/>
    </xf>
    <xf numFmtId="0" fontId="6" fillId="5" borderId="3" xfId="0" applyFont="1" applyFill="1" applyBorder="1" applyAlignment="1">
      <alignment horizontal="center" vertical="center" wrapText="1"/>
    </xf>
    <xf numFmtId="0" fontId="12" fillId="2" borderId="3" xfId="0" applyFont="1" applyFill="1" applyBorder="1" applyAlignment="1">
      <alignment horizontal="center" vertical="center" wrapText="1"/>
    </xf>
    <xf numFmtId="0" fontId="12" fillId="2" borderId="4" xfId="0" applyFont="1" applyFill="1" applyBorder="1" applyAlignment="1">
      <alignment horizontal="center" vertical="center" wrapText="1"/>
    </xf>
    <xf numFmtId="14" fontId="5" fillId="0" borderId="2" xfId="0" applyNumberFormat="1" applyFont="1" applyBorder="1" applyAlignment="1">
      <alignment horizontal="center"/>
    </xf>
    <xf numFmtId="14" fontId="5" fillId="0" borderId="3" xfId="0" applyNumberFormat="1" applyFont="1" applyBorder="1" applyAlignment="1">
      <alignment horizontal="center"/>
    </xf>
    <xf numFmtId="0" fontId="5" fillId="0" borderId="3" xfId="0" applyFont="1" applyBorder="1" applyAlignment="1">
      <alignment horizontal="center"/>
    </xf>
    <xf numFmtId="168" fontId="4" fillId="12" borderId="3" xfId="0" applyNumberFormat="1" applyFont="1" applyFill="1" applyBorder="1" applyAlignment="1">
      <alignment horizontal="center"/>
    </xf>
    <xf numFmtId="0" fontId="4" fillId="12" borderId="4" xfId="0" applyFont="1" applyFill="1" applyBorder="1"/>
    <xf numFmtId="4" fontId="4" fillId="12" borderId="3" xfId="0" applyNumberFormat="1" applyFont="1" applyFill="1" applyBorder="1" applyAlignment="1">
      <alignment horizontal="center"/>
    </xf>
    <xf numFmtId="4" fontId="5" fillId="0" borderId="1" xfId="0" applyNumberFormat="1" applyFont="1" applyBorder="1" applyAlignment="1">
      <alignment horizontal="center"/>
    </xf>
    <xf numFmtId="4" fontId="5" fillId="0" borderId="8" xfId="0" applyNumberFormat="1" applyFont="1" applyBorder="1" applyAlignment="1">
      <alignment horizontal="center"/>
    </xf>
    <xf numFmtId="4" fontId="5" fillId="0" borderId="0" xfId="0" applyNumberFormat="1" applyFont="1" applyAlignment="1">
      <alignment horizontal="center"/>
    </xf>
    <xf numFmtId="0" fontId="4" fillId="12" borderId="1" xfId="0" applyFont="1" applyFill="1" applyBorder="1"/>
    <xf numFmtId="0" fontId="4" fillId="12" borderId="2" xfId="0" applyFont="1" applyFill="1" applyBorder="1" applyAlignment="1">
      <alignment horizontal="center"/>
    </xf>
    <xf numFmtId="0" fontId="4" fillId="12" borderId="3" xfId="0" applyFont="1" applyFill="1" applyBorder="1" applyAlignment="1">
      <alignment horizontal="center"/>
    </xf>
    <xf numFmtId="0" fontId="4" fillId="12" borderId="1" xfId="0" applyFont="1" applyFill="1" applyBorder="1" applyAlignment="1">
      <alignment horizontal="center"/>
    </xf>
    <xf numFmtId="9" fontId="4" fillId="12" borderId="1" xfId="0" applyNumberFormat="1" applyFont="1" applyFill="1" applyBorder="1" applyAlignment="1">
      <alignment horizontal="center"/>
    </xf>
    <xf numFmtId="168" fontId="4" fillId="12" borderId="1" xfId="0" applyNumberFormat="1" applyFont="1" applyFill="1" applyBorder="1" applyAlignment="1">
      <alignment horizontal="center"/>
    </xf>
    <xf numFmtId="0" fontId="8" fillId="11" borderId="2" xfId="0" applyFont="1" applyFill="1" applyBorder="1" applyAlignment="1">
      <alignment horizontal="left" vertical="center" wrapText="1"/>
    </xf>
    <xf numFmtId="0" fontId="8" fillId="11" borderId="3" xfId="0" applyFont="1" applyFill="1" applyBorder="1" applyAlignment="1">
      <alignment horizontal="left" vertical="center" wrapText="1"/>
    </xf>
    <xf numFmtId="0" fontId="8" fillId="11" borderId="3" xfId="0" applyFont="1" applyFill="1" applyBorder="1" applyAlignment="1">
      <alignment horizontal="center" vertical="center" wrapText="1"/>
    </xf>
    <xf numFmtId="0" fontId="9" fillId="0" borderId="0" xfId="0" applyFont="1" applyAlignment="1">
      <alignment vertical="center"/>
    </xf>
    <xf numFmtId="0" fontId="9" fillId="0" borderId="5" xfId="0" applyFont="1" applyBorder="1"/>
    <xf numFmtId="0" fontId="9" fillId="0" borderId="1" xfId="0" applyFont="1" applyBorder="1"/>
    <xf numFmtId="0" fontId="9" fillId="0" borderId="1" xfId="0" applyFont="1" applyBorder="1" applyAlignment="1">
      <alignment horizontal="center"/>
    </xf>
    <xf numFmtId="168" fontId="9" fillId="0" borderId="1" xfId="0" applyNumberFormat="1" applyFont="1" applyBorder="1" applyAlignment="1">
      <alignment horizontal="center"/>
    </xf>
    <xf numFmtId="9" fontId="9" fillId="0" borderId="1" xfId="0" applyNumberFormat="1" applyFont="1" applyBorder="1" applyAlignment="1">
      <alignment horizontal="center"/>
    </xf>
    <xf numFmtId="0" fontId="9" fillId="0" borderId="0" xfId="0" applyFont="1"/>
    <xf numFmtId="0" fontId="9" fillId="0" borderId="7" xfId="0" applyFont="1" applyBorder="1"/>
    <xf numFmtId="0" fontId="9" fillId="0" borderId="8" xfId="0" applyFont="1" applyBorder="1"/>
    <xf numFmtId="0" fontId="9" fillId="0" borderId="8" xfId="0" applyFont="1" applyBorder="1" applyAlignment="1">
      <alignment horizontal="center"/>
    </xf>
    <xf numFmtId="168" fontId="9" fillId="0" borderId="8" xfId="0" applyNumberFormat="1" applyFont="1" applyBorder="1" applyAlignment="1">
      <alignment horizontal="center"/>
    </xf>
    <xf numFmtId="9" fontId="9" fillId="0" borderId="8" xfId="0" applyNumberFormat="1" applyFont="1" applyBorder="1" applyAlignment="1">
      <alignment horizontal="center"/>
    </xf>
    <xf numFmtId="0" fontId="9" fillId="0" borderId="0" xfId="0" applyFont="1" applyAlignment="1">
      <alignment horizontal="center"/>
    </xf>
    <xf numFmtId="0" fontId="8" fillId="11" borderId="4" xfId="0" applyFont="1" applyFill="1" applyBorder="1" applyAlignment="1">
      <alignment horizontal="center" vertical="center" wrapText="1"/>
    </xf>
    <xf numFmtId="0" fontId="9" fillId="0" borderId="6" xfId="0" applyFont="1" applyBorder="1" applyAlignment="1">
      <alignment horizontal="center"/>
    </xf>
    <xf numFmtId="0" fontId="9" fillId="0" borderId="9" xfId="0" applyFont="1" applyBorder="1" applyAlignment="1">
      <alignment horizontal="center"/>
    </xf>
    <xf numFmtId="0" fontId="8" fillId="12" borderId="26" xfId="0" applyFont="1" applyFill="1" applyBorder="1" applyAlignment="1">
      <alignment horizontal="left" wrapText="1"/>
    </xf>
    <xf numFmtId="0" fontId="8" fillId="12" borderId="33" xfId="0" applyFont="1" applyFill="1" applyBorder="1" applyAlignment="1">
      <alignment horizontal="left" wrapText="1"/>
    </xf>
    <xf numFmtId="0" fontId="8" fillId="12" borderId="2" xfId="0" applyFont="1" applyFill="1" applyBorder="1" applyAlignment="1">
      <alignment horizontal="center" wrapText="1"/>
    </xf>
    <xf numFmtId="0" fontId="8" fillId="12" borderId="3" xfId="0" applyFont="1" applyFill="1" applyBorder="1" applyAlignment="1">
      <alignment horizontal="center" wrapText="1"/>
    </xf>
    <xf numFmtId="0" fontId="8" fillId="12" borderId="4" xfId="0" applyFont="1" applyFill="1" applyBorder="1" applyAlignment="1">
      <alignment horizontal="center" wrapText="1"/>
    </xf>
    <xf numFmtId="0" fontId="14" fillId="12" borderId="26" xfId="0" applyFont="1" applyFill="1" applyBorder="1" applyAlignment="1">
      <alignment horizontal="left" wrapText="1"/>
    </xf>
    <xf numFmtId="0" fontId="8" fillId="12" borderId="3" xfId="0" applyFont="1" applyFill="1" applyBorder="1" applyAlignment="1">
      <alignment horizontal="center" vertical="center" wrapText="1"/>
    </xf>
    <xf numFmtId="0" fontId="8" fillId="12" borderId="4" xfId="0" applyFont="1" applyFill="1" applyBorder="1" applyAlignment="1">
      <alignment horizontal="center" vertical="center" wrapText="1"/>
    </xf>
    <xf numFmtId="0" fontId="9" fillId="10" borderId="0" xfId="0" applyFont="1" applyFill="1" applyAlignment="1">
      <alignment vertical="center"/>
    </xf>
    <xf numFmtId="165" fontId="9" fillId="0" borderId="1" xfId="0" applyNumberFormat="1" applyFont="1" applyBorder="1" applyAlignment="1">
      <alignment horizontal="center"/>
    </xf>
    <xf numFmtId="0" fontId="9" fillId="0" borderId="34" xfId="0" applyFont="1" applyBorder="1"/>
    <xf numFmtId="0" fontId="9" fillId="0" borderId="5" xfId="0" applyFont="1" applyBorder="1" applyAlignment="1">
      <alignment horizontal="center"/>
    </xf>
    <xf numFmtId="168" fontId="9" fillId="0" borderId="6" xfId="0" applyNumberFormat="1" applyFont="1" applyBorder="1" applyAlignment="1">
      <alignment horizontal="center"/>
    </xf>
    <xf numFmtId="0" fontId="9" fillId="0" borderId="35" xfId="0" applyFont="1" applyBorder="1"/>
    <xf numFmtId="0" fontId="9" fillId="0" borderId="7" xfId="0" applyFont="1" applyBorder="1" applyAlignment="1">
      <alignment horizontal="center"/>
    </xf>
    <xf numFmtId="168" fontId="9" fillId="0" borderId="9" xfId="0" applyNumberFormat="1" applyFont="1" applyBorder="1" applyAlignment="1">
      <alignment horizontal="center"/>
    </xf>
    <xf numFmtId="0" fontId="9" fillId="0" borderId="0" xfId="0" applyFont="1" applyAlignment="1">
      <alignment horizontal="center" vertical="center"/>
    </xf>
    <xf numFmtId="0" fontId="8" fillId="12" borderId="2" xfId="0" applyFont="1" applyFill="1" applyBorder="1" applyAlignment="1">
      <alignment horizontal="left" vertical="center" wrapText="1"/>
    </xf>
    <xf numFmtId="0" fontId="8" fillId="12" borderId="3" xfId="0" applyFont="1" applyFill="1" applyBorder="1" applyAlignment="1">
      <alignment horizontal="left" vertical="center" wrapText="1"/>
    </xf>
    <xf numFmtId="165" fontId="9" fillId="0" borderId="8" xfId="0" applyNumberFormat="1" applyFont="1" applyBorder="1" applyAlignment="1">
      <alignment horizontal="center"/>
    </xf>
    <xf numFmtId="0" fontId="8" fillId="12" borderId="3" xfId="0" applyFont="1" applyFill="1" applyBorder="1" applyAlignment="1">
      <alignment horizontal="center" vertical="top" wrapText="1"/>
    </xf>
    <xf numFmtId="168" fontId="9" fillId="0" borderId="1" xfId="0" applyNumberFormat="1" applyFont="1" applyBorder="1" applyAlignment="1">
      <alignment horizontal="center" vertical="top"/>
    </xf>
    <xf numFmtId="168" fontId="9" fillId="0" borderId="8" xfId="0" applyNumberFormat="1" applyFont="1" applyBorder="1" applyAlignment="1">
      <alignment horizontal="center" vertical="top"/>
    </xf>
    <xf numFmtId="0" fontId="9" fillId="0" borderId="0" xfId="0" applyFont="1" applyAlignment="1">
      <alignment horizontal="center" vertical="top"/>
    </xf>
    <xf numFmtId="0" fontId="0" fillId="0" borderId="0" xfId="0" applyAlignment="1">
      <alignment horizontal="center"/>
    </xf>
    <xf numFmtId="0" fontId="17" fillId="0" borderId="36" xfId="0" applyFont="1" applyBorder="1"/>
    <xf numFmtId="3" fontId="17" fillId="0" borderId="36" xfId="0" applyNumberFormat="1" applyFont="1" applyBorder="1"/>
    <xf numFmtId="170" fontId="17" fillId="0" borderId="36" xfId="0" applyNumberFormat="1" applyFont="1" applyBorder="1"/>
    <xf numFmtId="0" fontId="18" fillId="0" borderId="36" xfId="0" applyFont="1" applyBorder="1"/>
    <xf numFmtId="171" fontId="18" fillId="0" borderId="36" xfId="0" applyNumberFormat="1" applyFont="1" applyBorder="1"/>
    <xf numFmtId="172" fontId="18" fillId="0" borderId="36" xfId="0" applyNumberFormat="1" applyFont="1" applyBorder="1"/>
    <xf numFmtId="170" fontId="18" fillId="0" borderId="36" xfId="0" applyNumberFormat="1" applyFont="1" applyBorder="1"/>
    <xf numFmtId="3" fontId="18" fillId="0" borderId="36" xfId="0" applyNumberFormat="1" applyFont="1" applyBorder="1"/>
    <xf numFmtId="173" fontId="18" fillId="0" borderId="36" xfId="0" applyNumberFormat="1" applyFont="1" applyBorder="1"/>
    <xf numFmtId="0" fontId="16" fillId="13" borderId="36" xfId="0" applyFont="1" applyFill="1" applyBorder="1"/>
    <xf numFmtId="0" fontId="19" fillId="16" borderId="36" xfId="0" applyFont="1" applyFill="1" applyBorder="1"/>
    <xf numFmtId="0" fontId="21" fillId="15" borderId="51" xfId="0" applyFont="1" applyFill="1" applyBorder="1" applyAlignment="1">
      <alignment horizontal="center" vertical="center"/>
    </xf>
    <xf numFmtId="0" fontId="17" fillId="8" borderId="51" xfId="0" applyFont="1" applyFill="1" applyBorder="1" applyAlignment="1">
      <alignment horizontal="left" vertical="center"/>
    </xf>
    <xf numFmtId="170" fontId="17" fillId="8" borderId="51" xfId="0" applyNumberFormat="1" applyFont="1" applyFill="1" applyBorder="1" applyAlignment="1">
      <alignment horizontal="center" vertical="center"/>
    </xf>
    <xf numFmtId="3" fontId="17" fillId="8" borderId="51" xfId="0" applyNumberFormat="1" applyFont="1" applyFill="1" applyBorder="1" applyAlignment="1">
      <alignment horizontal="center" vertical="center"/>
    </xf>
    <xf numFmtId="173" fontId="22" fillId="8" borderId="51" xfId="0" applyNumberFormat="1" applyFont="1" applyFill="1" applyBorder="1" applyAlignment="1">
      <alignment horizontal="right" vertical="center"/>
    </xf>
    <xf numFmtId="0" fontId="4" fillId="12" borderId="3" xfId="0" applyFont="1" applyFill="1" applyBorder="1"/>
    <xf numFmtId="0" fontId="5" fillId="0" borderId="0" xfId="0" applyFont="1" applyAlignment="1">
      <alignment horizontal="center" vertical="center"/>
    </xf>
    <xf numFmtId="0" fontId="4" fillId="12" borderId="0" xfId="0" applyFont="1" applyFill="1" applyAlignment="1">
      <alignment horizontal="center"/>
    </xf>
    <xf numFmtId="0" fontId="17" fillId="8" borderId="1" xfId="0" applyFont="1" applyFill="1" applyBorder="1" applyAlignment="1">
      <alignment horizontal="left" vertical="center"/>
    </xf>
    <xf numFmtId="0" fontId="21" fillId="15" borderId="2" xfId="0" applyFont="1" applyFill="1" applyBorder="1" applyAlignment="1">
      <alignment horizontal="center" vertical="center"/>
    </xf>
    <xf numFmtId="0" fontId="21" fillId="15" borderId="3" xfId="0" applyFont="1" applyFill="1" applyBorder="1" applyAlignment="1">
      <alignment horizontal="center" vertical="center"/>
    </xf>
    <xf numFmtId="0" fontId="21" fillId="15" borderId="4" xfId="0" applyFont="1" applyFill="1" applyBorder="1" applyAlignment="1">
      <alignment horizontal="center" vertical="center"/>
    </xf>
    <xf numFmtId="0" fontId="17" fillId="8" borderId="5" xfId="0" applyFont="1" applyFill="1" applyBorder="1" applyAlignment="1">
      <alignment horizontal="left" vertical="center"/>
    </xf>
    <xf numFmtId="0" fontId="17" fillId="8" borderId="6" xfId="0" applyFont="1" applyFill="1" applyBorder="1" applyAlignment="1">
      <alignment horizontal="left" vertical="center"/>
    </xf>
    <xf numFmtId="0" fontId="17" fillId="8" borderId="7" xfId="0" applyFont="1" applyFill="1" applyBorder="1" applyAlignment="1">
      <alignment horizontal="left" vertical="center"/>
    </xf>
    <xf numFmtId="0" fontId="17" fillId="8" borderId="8" xfId="0" applyFont="1" applyFill="1" applyBorder="1" applyAlignment="1">
      <alignment horizontal="left" vertical="center"/>
    </xf>
    <xf numFmtId="0" fontId="17" fillId="8" borderId="9" xfId="0" applyFont="1" applyFill="1" applyBorder="1" applyAlignment="1">
      <alignment horizontal="left" vertical="center"/>
    </xf>
    <xf numFmtId="165" fontId="17" fillId="8" borderId="1" xfId="0" applyNumberFormat="1" applyFont="1" applyFill="1" applyBorder="1" applyAlignment="1">
      <alignment horizontal="left" vertical="center"/>
    </xf>
    <xf numFmtId="171" fontId="17" fillId="8" borderId="1" xfId="0" applyNumberFormat="1" applyFont="1" applyFill="1" applyBorder="1" applyAlignment="1">
      <alignment horizontal="left" vertical="center"/>
    </xf>
    <xf numFmtId="171" fontId="17" fillId="8" borderId="8" xfId="0" applyNumberFormat="1" applyFont="1" applyFill="1" applyBorder="1" applyAlignment="1">
      <alignment horizontal="left" vertical="center"/>
    </xf>
    <xf numFmtId="0" fontId="24" fillId="12" borderId="2" xfId="0" applyFont="1" applyFill="1" applyBorder="1" applyAlignment="1">
      <alignment horizontal="center" vertical="center" wrapText="1"/>
    </xf>
    <xf numFmtId="0" fontId="24" fillId="12" borderId="3" xfId="0" applyFont="1" applyFill="1" applyBorder="1" applyAlignment="1">
      <alignment horizontal="center" vertical="center" wrapText="1"/>
    </xf>
    <xf numFmtId="0" fontId="24" fillId="12" borderId="4" xfId="0" applyFont="1" applyFill="1" applyBorder="1" applyAlignment="1">
      <alignment horizontal="center" vertical="center" wrapText="1"/>
    </xf>
    <xf numFmtId="0" fontId="17" fillId="0" borderId="5" xfId="0" applyFont="1" applyBorder="1"/>
    <xf numFmtId="0" fontId="17" fillId="0" borderId="7" xfId="0" applyFont="1" applyBorder="1"/>
    <xf numFmtId="3" fontId="17" fillId="0" borderId="1" xfId="0" applyNumberFormat="1" applyFont="1" applyBorder="1" applyAlignment="1">
      <alignment horizontal="center"/>
    </xf>
    <xf numFmtId="170" fontId="17" fillId="0" borderId="1" xfId="0" applyNumberFormat="1" applyFont="1" applyBorder="1" applyAlignment="1">
      <alignment horizontal="center"/>
    </xf>
    <xf numFmtId="0" fontId="17" fillId="0" borderId="1" xfId="0" applyFont="1" applyBorder="1" applyAlignment="1">
      <alignment horizontal="center"/>
    </xf>
    <xf numFmtId="0" fontId="17" fillId="0" borderId="6" xfId="0" applyFont="1" applyBorder="1" applyAlignment="1">
      <alignment horizontal="center"/>
    </xf>
    <xf numFmtId="3" fontId="17" fillId="0" borderId="8" xfId="0" applyNumberFormat="1" applyFont="1" applyBorder="1" applyAlignment="1">
      <alignment horizontal="center"/>
    </xf>
    <xf numFmtId="170" fontId="17" fillId="0" borderId="8" xfId="0" applyNumberFormat="1" applyFont="1" applyBorder="1" applyAlignment="1">
      <alignment horizontal="center"/>
    </xf>
    <xf numFmtId="0" fontId="17" fillId="0" borderId="8" xfId="0" applyFont="1" applyBorder="1" applyAlignment="1">
      <alignment horizontal="center"/>
    </xf>
    <xf numFmtId="0" fontId="17" fillId="0" borderId="9" xfId="0" applyFont="1" applyBorder="1" applyAlignment="1">
      <alignment horizontal="center"/>
    </xf>
    <xf numFmtId="0" fontId="2" fillId="0" borderId="1" xfId="0" applyFont="1" applyBorder="1" applyAlignment="1">
      <alignment horizontal="left" vertical="center"/>
    </xf>
    <xf numFmtId="0" fontId="2" fillId="0" borderId="0" xfId="0" applyFont="1" applyAlignment="1">
      <alignment horizontal="center" wrapText="1"/>
    </xf>
    <xf numFmtId="0" fontId="2" fillId="0" borderId="0" xfId="0" applyFont="1" applyAlignment="1">
      <alignment horizontal="left" vertical="center"/>
    </xf>
    <xf numFmtId="0" fontId="2" fillId="0" borderId="1" xfId="0" applyFont="1" applyBorder="1" applyAlignment="1">
      <alignment horizontal="left" vertical="center" wrapText="1"/>
    </xf>
    <xf numFmtId="0" fontId="2" fillId="0" borderId="0" xfId="0" applyFont="1" applyAlignment="1">
      <alignment horizontal="left"/>
    </xf>
    <xf numFmtId="0" fontId="2" fillId="0" borderId="0" xfId="0" applyFont="1" applyAlignment="1">
      <alignment wrapText="1"/>
    </xf>
    <xf numFmtId="0" fontId="0" fillId="19" borderId="0" xfId="0" applyFill="1"/>
    <xf numFmtId="0" fontId="29" fillId="19" borderId="0" xfId="0" applyFont="1" applyFill="1"/>
    <xf numFmtId="0" fontId="30" fillId="20" borderId="0" xfId="0" applyFont="1" applyFill="1"/>
    <xf numFmtId="0" fontId="31" fillId="0" borderId="0" xfId="0" applyFont="1"/>
    <xf numFmtId="0" fontId="5" fillId="0" borderId="3" xfId="0" applyFont="1" applyBorder="1"/>
    <xf numFmtId="9" fontId="5" fillId="0" borderId="3" xfId="0" applyNumberFormat="1" applyFont="1" applyBorder="1" applyAlignment="1">
      <alignment horizontal="center"/>
    </xf>
    <xf numFmtId="168" fontId="5" fillId="0" borderId="3" xfId="0" applyNumberFormat="1" applyFont="1" applyBorder="1" applyAlignment="1">
      <alignment horizontal="center"/>
    </xf>
    <xf numFmtId="22" fontId="9" fillId="0" borderId="1" xfId="0" applyNumberFormat="1" applyFont="1" applyBorder="1" applyAlignment="1">
      <alignment horizontal="center"/>
    </xf>
    <xf numFmtId="0" fontId="32" fillId="20" borderId="0" xfId="0" applyFont="1" applyFill="1"/>
    <xf numFmtId="0" fontId="9" fillId="20" borderId="0" xfId="0" applyFont="1" applyFill="1" applyAlignment="1">
      <alignment horizontal="center"/>
    </xf>
    <xf numFmtId="0" fontId="9" fillId="20" borderId="0" xfId="0" applyFont="1" applyFill="1"/>
    <xf numFmtId="0" fontId="34" fillId="19" borderId="0" xfId="0" applyFont="1" applyFill="1"/>
    <xf numFmtId="0" fontId="9" fillId="10" borderId="1" xfId="0" applyFont="1" applyFill="1" applyBorder="1" applyAlignment="1">
      <alignment horizontal="center"/>
    </xf>
    <xf numFmtId="0" fontId="9" fillId="21" borderId="1" xfId="0" applyFont="1" applyFill="1" applyBorder="1" applyAlignment="1">
      <alignment horizontal="center"/>
    </xf>
    <xf numFmtId="167" fontId="5" fillId="0" borderId="3" xfId="0" applyNumberFormat="1" applyFont="1" applyBorder="1" applyAlignment="1">
      <alignment horizontal="center"/>
    </xf>
    <xf numFmtId="0" fontId="5" fillId="0" borderId="2" xfId="0" applyFont="1" applyBorder="1"/>
    <xf numFmtId="4" fontId="5" fillId="0" borderId="3" xfId="0" applyNumberFormat="1" applyFont="1" applyBorder="1" applyAlignment="1">
      <alignment horizontal="center"/>
    </xf>
    <xf numFmtId="0" fontId="5" fillId="0" borderId="4" xfId="0" applyFont="1" applyBorder="1"/>
    <xf numFmtId="0" fontId="6" fillId="12" borderId="1" xfId="0" applyFont="1" applyFill="1" applyBorder="1" applyAlignment="1">
      <alignment horizontal="center" vertical="center"/>
    </xf>
    <xf numFmtId="0" fontId="5" fillId="0" borderId="1" xfId="0" applyFont="1" applyBorder="1" applyAlignment="1">
      <alignment horizontal="center" vertical="center"/>
    </xf>
    <xf numFmtId="0" fontId="4" fillId="12" borderId="2" xfId="0" applyFont="1" applyFill="1" applyBorder="1"/>
    <xf numFmtId="168" fontId="4" fillId="6" borderId="1" xfId="0" applyNumberFormat="1" applyFont="1" applyFill="1" applyBorder="1" applyAlignment="1">
      <alignment horizontal="center"/>
    </xf>
    <xf numFmtId="14" fontId="5" fillId="0" borderId="6" xfId="0" applyNumberFormat="1" applyFont="1" applyBorder="1" applyAlignment="1">
      <alignment horizontal="center"/>
    </xf>
    <xf numFmtId="14" fontId="5" fillId="0" borderId="4" xfId="0" applyNumberFormat="1" applyFont="1" applyBorder="1" applyAlignment="1">
      <alignment horizontal="center"/>
    </xf>
    <xf numFmtId="0" fontId="36" fillId="0" borderId="0" xfId="0" applyFont="1" applyAlignment="1">
      <alignment vertical="center"/>
    </xf>
    <xf numFmtId="166" fontId="35" fillId="2" borderId="1" xfId="0" applyNumberFormat="1" applyFont="1" applyFill="1" applyBorder="1" applyAlignment="1">
      <alignment horizontal="center" vertical="center"/>
    </xf>
    <xf numFmtId="168" fontId="35" fillId="2" borderId="1" xfId="0" applyNumberFormat="1" applyFont="1" applyFill="1" applyBorder="1" applyAlignment="1">
      <alignment horizontal="center" vertical="center"/>
    </xf>
    <xf numFmtId="0" fontId="14" fillId="21" borderId="1" xfId="0" applyFont="1" applyFill="1" applyBorder="1" applyAlignment="1">
      <alignment horizontal="center"/>
    </xf>
    <xf numFmtId="0" fontId="0" fillId="0" borderId="7" xfId="0" applyBorder="1"/>
    <xf numFmtId="0" fontId="0" fillId="19" borderId="0" xfId="0" applyFill="1" applyAlignment="1">
      <alignment horizontal="center"/>
    </xf>
    <xf numFmtId="0" fontId="23" fillId="12" borderId="2" xfId="0" applyFont="1" applyFill="1" applyBorder="1"/>
    <xf numFmtId="0" fontId="23" fillId="12" borderId="3" xfId="0" applyFont="1" applyFill="1" applyBorder="1"/>
    <xf numFmtId="0" fontId="23" fillId="12" borderId="3" xfId="0" applyFont="1" applyFill="1" applyBorder="1" applyAlignment="1">
      <alignment horizontal="center"/>
    </xf>
    <xf numFmtId="0" fontId="0" fillId="0" borderId="5" xfId="0" applyBorder="1"/>
    <xf numFmtId="0" fontId="0" fillId="0" borderId="1" xfId="0" applyBorder="1" applyAlignment="1">
      <alignment horizontal="center"/>
    </xf>
    <xf numFmtId="0" fontId="37" fillId="0" borderId="1" xfId="0" applyFont="1" applyBorder="1" applyAlignment="1">
      <alignment horizontal="center"/>
    </xf>
    <xf numFmtId="9" fontId="37" fillId="0" borderId="1" xfId="0" applyNumberFormat="1" applyFont="1" applyBorder="1" applyAlignment="1">
      <alignment horizontal="center"/>
    </xf>
    <xf numFmtId="0" fontId="42" fillId="12" borderId="3" xfId="0" applyFont="1" applyFill="1" applyBorder="1" applyAlignment="1">
      <alignment horizontal="center"/>
    </xf>
    <xf numFmtId="9" fontId="42" fillId="12" borderId="3" xfId="0" applyNumberFormat="1" applyFont="1" applyFill="1" applyBorder="1" applyAlignment="1">
      <alignment horizontal="center"/>
    </xf>
    <xf numFmtId="0" fontId="2" fillId="0" borderId="1" xfId="0" applyFont="1" applyBorder="1" applyAlignment="1">
      <alignment horizontal="center"/>
    </xf>
    <xf numFmtId="9" fontId="2" fillId="0" borderId="1" xfId="0" applyNumberFormat="1" applyFont="1" applyBorder="1" applyAlignment="1">
      <alignment horizontal="center"/>
    </xf>
    <xf numFmtId="9" fontId="2" fillId="0" borderId="0" xfId="0" applyNumberFormat="1" applyFont="1" applyAlignment="1">
      <alignment horizontal="center"/>
    </xf>
    <xf numFmtId="0" fontId="23" fillId="12" borderId="4" xfId="0" applyFont="1" applyFill="1" applyBorder="1"/>
    <xf numFmtId="0" fontId="0" fillId="20" borderId="0" xfId="0" applyFill="1" applyAlignment="1">
      <alignment horizontal="center"/>
    </xf>
    <xf numFmtId="168" fontId="0" fillId="19" borderId="0" xfId="0" applyNumberFormat="1" applyFill="1" applyAlignment="1">
      <alignment horizontal="center"/>
    </xf>
    <xf numFmtId="168" fontId="0" fillId="20" borderId="0" xfId="0" applyNumberFormat="1" applyFill="1" applyAlignment="1">
      <alignment horizontal="center"/>
    </xf>
    <xf numFmtId="168" fontId="0" fillId="0" borderId="0" xfId="0" applyNumberFormat="1" applyAlignment="1">
      <alignment horizontal="center"/>
    </xf>
    <xf numFmtId="168" fontId="23" fillId="12" borderId="3" xfId="0" applyNumberFormat="1" applyFont="1" applyFill="1" applyBorder="1" applyAlignment="1">
      <alignment horizontal="center"/>
    </xf>
    <xf numFmtId="168" fontId="0" fillId="0" borderId="1" xfId="0" applyNumberFormat="1" applyBorder="1" applyAlignment="1">
      <alignment horizontal="center"/>
    </xf>
    <xf numFmtId="168" fontId="23" fillId="12" borderId="4" xfId="0" applyNumberFormat="1" applyFont="1" applyFill="1" applyBorder="1" applyAlignment="1">
      <alignment horizontal="center"/>
    </xf>
    <xf numFmtId="168" fontId="0" fillId="0" borderId="6" xfId="0" applyNumberFormat="1" applyBorder="1" applyAlignment="1">
      <alignment horizontal="center"/>
    </xf>
    <xf numFmtId="0" fontId="38" fillId="12" borderId="1" xfId="0" applyFont="1" applyFill="1" applyBorder="1"/>
    <xf numFmtId="0" fontId="38" fillId="12" borderId="1" xfId="0" applyFont="1" applyFill="1" applyBorder="1" applyAlignment="1">
      <alignment horizontal="center"/>
    </xf>
    <xf numFmtId="9" fontId="38" fillId="12" borderId="1" xfId="0" applyNumberFormat="1" applyFont="1" applyFill="1" applyBorder="1" applyAlignment="1">
      <alignment horizontal="center"/>
    </xf>
    <xf numFmtId="0" fontId="37" fillId="0" borderId="1" xfId="0" applyFont="1" applyBorder="1"/>
    <xf numFmtId="0" fontId="37" fillId="0" borderId="31" xfId="0" applyFont="1" applyBorder="1" applyAlignment="1">
      <alignment vertical="center"/>
    </xf>
    <xf numFmtId="0" fontId="37" fillId="0" borderId="32" xfId="0" applyFont="1" applyBorder="1" applyAlignment="1">
      <alignment vertical="center"/>
    </xf>
    <xf numFmtId="0" fontId="37" fillId="0" borderId="26" xfId="0" applyFont="1" applyBorder="1" applyAlignment="1">
      <alignment vertical="center" wrapText="1"/>
    </xf>
    <xf numFmtId="0" fontId="37" fillId="0" borderId="22" xfId="0" applyFont="1" applyBorder="1" applyAlignment="1">
      <alignment vertical="center" wrapText="1"/>
    </xf>
    <xf numFmtId="0" fontId="37" fillId="0" borderId="30" xfId="0" applyFont="1" applyBorder="1" applyAlignment="1">
      <alignment vertical="center" wrapText="1"/>
    </xf>
    <xf numFmtId="0" fontId="37" fillId="0" borderId="29" xfId="0" applyFont="1" applyBorder="1" applyAlignment="1">
      <alignment vertical="center" wrapText="1"/>
    </xf>
    <xf numFmtId="0" fontId="37" fillId="0" borderId="54" xfId="0" applyFont="1" applyBorder="1" applyAlignment="1">
      <alignment vertical="center"/>
    </xf>
    <xf numFmtId="0" fontId="37" fillId="0" borderId="55" xfId="0" applyFont="1" applyBorder="1" applyAlignment="1">
      <alignment vertical="center"/>
    </xf>
    <xf numFmtId="168" fontId="1" fillId="22" borderId="1" xfId="2" applyNumberFormat="1" applyBorder="1" applyAlignment="1">
      <alignment horizontal="center" vertical="center"/>
    </xf>
    <xf numFmtId="168" fontId="5" fillId="0" borderId="1" xfId="0" applyNumberFormat="1" applyFont="1" applyBorder="1"/>
    <xf numFmtId="0" fontId="51" fillId="17" borderId="36" xfId="0" applyFont="1" applyFill="1" applyBorder="1"/>
    <xf numFmtId="0" fontId="54" fillId="15" borderId="51" xfId="0" applyFont="1" applyFill="1" applyBorder="1" applyAlignment="1">
      <alignment horizontal="center" vertical="center"/>
    </xf>
    <xf numFmtId="0" fontId="51" fillId="8" borderId="51" xfId="0" applyFont="1" applyFill="1" applyBorder="1" applyAlignment="1">
      <alignment horizontal="left" vertical="center"/>
    </xf>
    <xf numFmtId="3" fontId="51" fillId="8" borderId="51" xfId="0" applyNumberFormat="1" applyFont="1" applyFill="1" applyBorder="1" applyAlignment="1">
      <alignment horizontal="center" vertical="center"/>
    </xf>
    <xf numFmtId="170" fontId="51" fillId="8" borderId="51" xfId="0" applyNumberFormat="1" applyFont="1" applyFill="1" applyBorder="1" applyAlignment="1">
      <alignment horizontal="center" vertical="center"/>
    </xf>
    <xf numFmtId="0" fontId="55" fillId="16" borderId="51" xfId="0" applyFont="1" applyFill="1" applyBorder="1" applyAlignment="1">
      <alignment horizontal="center" vertical="center"/>
    </xf>
    <xf numFmtId="3" fontId="55" fillId="16" borderId="51" xfId="0" applyNumberFormat="1" applyFont="1" applyFill="1" applyBorder="1" applyAlignment="1">
      <alignment horizontal="center" vertical="center"/>
    </xf>
    <xf numFmtId="170" fontId="55" fillId="16" borderId="51" xfId="0" applyNumberFormat="1" applyFont="1" applyFill="1" applyBorder="1" applyAlignment="1">
      <alignment horizontal="center" vertical="center"/>
    </xf>
    <xf numFmtId="3" fontId="51" fillId="8" borderId="51" xfId="0" applyNumberFormat="1" applyFont="1" applyFill="1" applyBorder="1" applyAlignment="1">
      <alignment horizontal="right" vertical="center"/>
    </xf>
    <xf numFmtId="170" fontId="51" fillId="8" borderId="51" xfId="0" applyNumberFormat="1" applyFont="1" applyFill="1" applyBorder="1" applyAlignment="1">
      <alignment horizontal="right" vertical="center"/>
    </xf>
    <xf numFmtId="173" fontId="51" fillId="8" borderId="51" xfId="0" applyNumberFormat="1" applyFont="1" applyFill="1" applyBorder="1" applyAlignment="1">
      <alignment horizontal="right" vertical="center"/>
    </xf>
    <xf numFmtId="168" fontId="57" fillId="23" borderId="3" xfId="0" applyNumberFormat="1" applyFont="1" applyFill="1" applyBorder="1" applyAlignment="1">
      <alignment horizontal="center"/>
    </xf>
    <xf numFmtId="0" fontId="57" fillId="23" borderId="4" xfId="0" applyFont="1" applyFill="1" applyBorder="1" applyAlignment="1">
      <alignment horizontal="center"/>
    </xf>
    <xf numFmtId="0" fontId="7" fillId="24" borderId="1" xfId="0" applyFont="1" applyFill="1" applyBorder="1"/>
    <xf numFmtId="0" fontId="36" fillId="25" borderId="1" xfId="0" applyFont="1" applyFill="1" applyBorder="1"/>
    <xf numFmtId="0" fontId="36" fillId="26" borderId="1" xfId="0" applyFont="1" applyFill="1" applyBorder="1"/>
    <xf numFmtId="0" fontId="36" fillId="26" borderId="1" xfId="0" applyFont="1" applyFill="1" applyBorder="1" applyAlignment="1">
      <alignment horizontal="center"/>
    </xf>
    <xf numFmtId="0" fontId="62" fillId="26" borderId="1" xfId="0" applyFont="1" applyFill="1" applyBorder="1" applyAlignment="1">
      <alignment horizontal="center"/>
    </xf>
    <xf numFmtId="0" fontId="36" fillId="25" borderId="1" xfId="0" applyFont="1" applyFill="1" applyBorder="1" applyAlignment="1">
      <alignment horizontal="center"/>
    </xf>
    <xf numFmtId="0" fontId="62" fillId="25" borderId="1" xfId="0" applyFont="1" applyFill="1" applyBorder="1" applyAlignment="1">
      <alignment horizontal="center"/>
    </xf>
    <xf numFmtId="0" fontId="7" fillId="24" borderId="1" xfId="0" applyFont="1" applyFill="1" applyBorder="1" applyAlignment="1">
      <alignment horizontal="center"/>
    </xf>
    <xf numFmtId="0" fontId="63" fillId="25" borderId="1" xfId="0" applyFont="1" applyFill="1" applyBorder="1" applyAlignment="1">
      <alignment horizontal="center"/>
    </xf>
    <xf numFmtId="0" fontId="63" fillId="26" borderId="1" xfId="0" applyFont="1" applyFill="1" applyBorder="1" applyAlignment="1">
      <alignment horizontal="center"/>
    </xf>
    <xf numFmtId="0" fontId="59" fillId="0" borderId="1" xfId="0" applyFont="1" applyBorder="1"/>
    <xf numFmtId="0" fontId="59" fillId="0" borderId="1" xfId="0" applyFont="1" applyBorder="1" applyAlignment="1">
      <alignment horizontal="center"/>
    </xf>
    <xf numFmtId="0" fontId="60" fillId="0" borderId="1" xfId="0" applyFont="1" applyBorder="1"/>
    <xf numFmtId="0" fontId="60" fillId="0" borderId="1" xfId="0" applyFont="1" applyBorder="1" applyAlignment="1">
      <alignment horizontal="center"/>
    </xf>
    <xf numFmtId="0" fontId="61" fillId="25" borderId="1" xfId="0" applyFont="1" applyFill="1" applyBorder="1" applyAlignment="1">
      <alignment horizontal="center"/>
    </xf>
    <xf numFmtId="0" fontId="61" fillId="26" borderId="1" xfId="0" applyFont="1" applyFill="1" applyBorder="1" applyAlignment="1">
      <alignment horizontal="center"/>
    </xf>
    <xf numFmtId="0" fontId="0" fillId="0" borderId="0" xfId="0" applyAlignment="1">
      <alignment vertical="center"/>
    </xf>
    <xf numFmtId="0" fontId="5" fillId="0" borderId="0" xfId="0" applyFont="1" applyAlignment="1">
      <alignment vertical="center"/>
    </xf>
    <xf numFmtId="0" fontId="0" fillId="0" borderId="1" xfId="0" applyBorder="1" applyAlignment="1">
      <alignment horizontal="center" vertical="center"/>
    </xf>
    <xf numFmtId="0" fontId="59" fillId="0" borderId="1" xfId="0" applyFont="1" applyBorder="1" applyAlignment="1">
      <alignment horizontal="center" vertical="center"/>
    </xf>
    <xf numFmtId="0" fontId="60" fillId="0" borderId="1" xfId="0" applyFont="1" applyBorder="1" applyAlignment="1">
      <alignment horizontal="center" vertical="center"/>
    </xf>
    <xf numFmtId="0" fontId="8" fillId="12" borderId="56" xfId="0" applyFont="1" applyFill="1" applyBorder="1" applyAlignment="1">
      <alignment horizontal="left" vertical="center" wrapText="1"/>
    </xf>
    <xf numFmtId="0" fontId="9" fillId="0" borderId="57" xfId="0" applyFont="1" applyBorder="1"/>
    <xf numFmtId="0" fontId="9" fillId="0" borderId="58" xfId="0" applyFont="1" applyBorder="1"/>
    <xf numFmtId="0" fontId="8" fillId="12" borderId="1" xfId="0" applyFont="1" applyFill="1" applyBorder="1" applyAlignment="1">
      <alignment horizontal="center" vertical="center" wrapText="1"/>
    </xf>
    <xf numFmtId="0" fontId="8" fillId="12" borderId="1" xfId="0" applyFont="1" applyFill="1" applyBorder="1" applyAlignment="1">
      <alignment horizontal="left" vertical="center" wrapText="1"/>
    </xf>
    <xf numFmtId="168" fontId="9" fillId="0" borderId="1" xfId="0" applyNumberFormat="1" applyFont="1" applyBorder="1"/>
    <xf numFmtId="0" fontId="69" fillId="0" borderId="1" xfId="0" applyFont="1" applyBorder="1" applyAlignment="1">
      <alignment horizontal="center"/>
    </xf>
    <xf numFmtId="0" fontId="70" fillId="0" borderId="1" xfId="0" applyFont="1" applyBorder="1" applyAlignment="1">
      <alignment horizontal="center"/>
    </xf>
    <xf numFmtId="0" fontId="67" fillId="24" borderId="1" xfId="0" applyFont="1" applyFill="1" applyBorder="1" applyAlignment="1">
      <alignment horizontal="center"/>
    </xf>
    <xf numFmtId="0" fontId="69" fillId="0" borderId="1" xfId="0" applyFont="1" applyBorder="1" applyAlignment="1">
      <alignment horizontal="center" vertical="center"/>
    </xf>
    <xf numFmtId="0" fontId="70" fillId="0" borderId="1" xfId="0" applyFont="1" applyBorder="1" applyAlignment="1">
      <alignment horizontal="center" vertical="center"/>
    </xf>
    <xf numFmtId="0" fontId="71" fillId="25" borderId="1" xfId="0" applyFont="1" applyFill="1" applyBorder="1" applyAlignment="1">
      <alignment horizontal="center"/>
    </xf>
    <xf numFmtId="0" fontId="37" fillId="0" borderId="0" xfId="0" applyFont="1"/>
    <xf numFmtId="166" fontId="38" fillId="12" borderId="2" xfId="0" applyNumberFormat="1" applyFont="1" applyFill="1" applyBorder="1" applyAlignment="1">
      <alignment horizontal="left"/>
    </xf>
    <xf numFmtId="0" fontId="38" fillId="12" borderId="3" xfId="0" applyFont="1" applyFill="1" applyBorder="1"/>
    <xf numFmtId="0" fontId="38" fillId="12" borderId="4" xfId="0" applyFont="1" applyFill="1" applyBorder="1"/>
    <xf numFmtId="166" fontId="37" fillId="0" borderId="2" xfId="0" applyNumberFormat="1" applyFont="1" applyBorder="1" applyAlignment="1">
      <alignment horizontal="left"/>
    </xf>
    <xf numFmtId="0" fontId="37" fillId="0" borderId="3" xfId="0" applyFont="1" applyBorder="1"/>
    <xf numFmtId="0" fontId="37" fillId="0" borderId="4" xfId="0" applyFont="1" applyBorder="1"/>
    <xf numFmtId="166" fontId="37" fillId="0" borderId="5" xfId="0" applyNumberFormat="1" applyFont="1" applyBorder="1" applyAlignment="1">
      <alignment horizontal="left"/>
    </xf>
    <xf numFmtId="0" fontId="37" fillId="0" borderId="6" xfId="0" applyFont="1" applyBorder="1"/>
    <xf numFmtId="0" fontId="37" fillId="0" borderId="8" xfId="0" applyFont="1" applyBorder="1"/>
    <xf numFmtId="166" fontId="37" fillId="0" borderId="0" xfId="0" applyNumberFormat="1" applyFont="1" applyAlignment="1">
      <alignment horizontal="left"/>
    </xf>
    <xf numFmtId="0" fontId="37" fillId="0" borderId="0" xfId="0" applyFont="1" applyAlignment="1">
      <alignment horizontal="center"/>
    </xf>
    <xf numFmtId="166" fontId="37" fillId="0" borderId="0" xfId="0" applyNumberFormat="1" applyFont="1" applyAlignment="1">
      <alignment horizontal="center"/>
    </xf>
    <xf numFmtId="0" fontId="38" fillId="12" borderId="3" xfId="0" applyFont="1" applyFill="1" applyBorder="1" applyAlignment="1">
      <alignment horizontal="center"/>
    </xf>
    <xf numFmtId="0" fontId="37" fillId="0" borderId="3" xfId="0" applyFont="1" applyBorder="1" applyAlignment="1">
      <alignment horizontal="center"/>
    </xf>
    <xf numFmtId="0" fontId="37" fillId="0" borderId="8" xfId="0" applyFont="1" applyBorder="1" applyAlignment="1">
      <alignment horizontal="center"/>
    </xf>
    <xf numFmtId="0" fontId="38" fillId="12" borderId="2" xfId="0" applyFont="1" applyFill="1" applyBorder="1"/>
    <xf numFmtId="0" fontId="38" fillId="12" borderId="4" xfId="0" applyFont="1" applyFill="1" applyBorder="1" applyAlignment="1">
      <alignment horizontal="center"/>
    </xf>
    <xf numFmtId="0" fontId="37" fillId="0" borderId="5" xfId="0" applyFont="1" applyBorder="1"/>
    <xf numFmtId="0" fontId="37" fillId="0" borderId="6" xfId="0" applyFont="1" applyBorder="1" applyAlignment="1">
      <alignment horizontal="center"/>
    </xf>
    <xf numFmtId="0" fontId="37" fillId="0" borderId="7" xfId="0" applyFont="1" applyBorder="1"/>
    <xf numFmtId="0" fontId="37" fillId="0" borderId="9" xfId="0" applyFont="1" applyBorder="1" applyAlignment="1">
      <alignment horizontal="center"/>
    </xf>
    <xf numFmtId="9" fontId="37" fillId="0" borderId="0" xfId="0" applyNumberFormat="1" applyFont="1" applyAlignment="1">
      <alignment horizontal="center"/>
    </xf>
    <xf numFmtId="0" fontId="37" fillId="0" borderId="0" xfId="0" applyFont="1" applyAlignment="1">
      <alignment vertical="center"/>
    </xf>
    <xf numFmtId="0" fontId="0" fillId="0" borderId="8" xfId="0" applyBorder="1" applyAlignment="1">
      <alignment horizontal="center"/>
    </xf>
    <xf numFmtId="166" fontId="38" fillId="12" borderId="1" xfId="0" applyNumberFormat="1" applyFont="1" applyFill="1" applyBorder="1" applyAlignment="1">
      <alignment horizontal="center"/>
    </xf>
    <xf numFmtId="166" fontId="37" fillId="0" borderId="1" xfId="0" applyNumberFormat="1" applyFont="1" applyBorder="1" applyAlignment="1">
      <alignment horizontal="center"/>
    </xf>
    <xf numFmtId="0" fontId="0" fillId="0" borderId="6" xfId="0" applyBorder="1" applyAlignment="1">
      <alignment horizontal="center"/>
    </xf>
    <xf numFmtId="0" fontId="0" fillId="0" borderId="9" xfId="0" applyBorder="1" applyAlignment="1">
      <alignment horizontal="center"/>
    </xf>
    <xf numFmtId="172" fontId="78" fillId="0" borderId="1" xfId="0" applyNumberFormat="1" applyFont="1" applyBorder="1" applyAlignment="1">
      <alignment horizontal="center"/>
    </xf>
    <xf numFmtId="0" fontId="36" fillId="0" borderId="0" xfId="0" applyFont="1"/>
    <xf numFmtId="0" fontId="35" fillId="15" borderId="51" xfId="0" applyFont="1" applyFill="1" applyBorder="1" applyAlignment="1">
      <alignment horizontal="center" vertical="center"/>
    </xf>
    <xf numFmtId="0" fontId="78" fillId="8" borderId="51" xfId="0" applyFont="1" applyFill="1" applyBorder="1" applyAlignment="1">
      <alignment horizontal="left" vertical="center"/>
    </xf>
    <xf numFmtId="0" fontId="78" fillId="8" borderId="51" xfId="0" applyFont="1" applyFill="1" applyBorder="1" applyAlignment="1">
      <alignment horizontal="center" vertical="center"/>
    </xf>
    <xf numFmtId="0" fontId="35" fillId="15" borderId="1" xfId="0" applyFont="1" applyFill="1" applyBorder="1" applyAlignment="1">
      <alignment horizontal="center" vertical="center"/>
    </xf>
    <xf numFmtId="0" fontId="78" fillId="8" borderId="1" xfId="0" applyFont="1" applyFill="1" applyBorder="1" applyAlignment="1">
      <alignment horizontal="center" vertical="center"/>
    </xf>
    <xf numFmtId="173" fontId="78" fillId="8" borderId="1" xfId="0" applyNumberFormat="1" applyFont="1" applyFill="1" applyBorder="1" applyAlignment="1">
      <alignment horizontal="center" vertical="center"/>
    </xf>
    <xf numFmtId="0" fontId="35" fillId="15" borderId="59" xfId="0" applyFont="1" applyFill="1" applyBorder="1" applyAlignment="1">
      <alignment horizontal="center" vertical="center"/>
    </xf>
    <xf numFmtId="0" fontId="78" fillId="8" borderId="38" xfId="0" applyFont="1" applyFill="1" applyBorder="1" applyAlignment="1">
      <alignment horizontal="center" vertical="center"/>
    </xf>
    <xf numFmtId="0" fontId="36" fillId="0" borderId="1" xfId="0" applyFont="1" applyBorder="1"/>
    <xf numFmtId="0" fontId="36" fillId="0" borderId="6" xfId="0" applyFont="1" applyBorder="1"/>
    <xf numFmtId="174" fontId="78" fillId="8" borderId="1" xfId="0" applyNumberFormat="1" applyFont="1" applyFill="1" applyBorder="1" applyAlignment="1">
      <alignment horizontal="center" vertical="center"/>
    </xf>
    <xf numFmtId="0" fontId="36" fillId="0" borderId="1" xfId="0" applyFont="1" applyBorder="1" applyAlignment="1">
      <alignment horizontal="center"/>
    </xf>
    <xf numFmtId="0" fontId="35" fillId="20" borderId="0" xfId="0" applyFont="1" applyFill="1"/>
    <xf numFmtId="166" fontId="35" fillId="24" borderId="1" xfId="0" applyNumberFormat="1" applyFont="1" applyFill="1" applyBorder="1" applyAlignment="1">
      <alignment horizontal="left"/>
    </xf>
    <xf numFmtId="0" fontId="35" fillId="24" borderId="1" xfId="0" applyFont="1" applyFill="1" applyBorder="1"/>
    <xf numFmtId="166" fontId="36" fillId="0" borderId="1" xfId="0" applyNumberFormat="1" applyFont="1" applyBorder="1" applyAlignment="1">
      <alignment horizontal="left"/>
    </xf>
    <xf numFmtId="166" fontId="36" fillId="0" borderId="0" xfId="0" applyNumberFormat="1" applyFont="1" applyAlignment="1">
      <alignment horizontal="left"/>
    </xf>
    <xf numFmtId="166" fontId="35" fillId="20" borderId="0" xfId="0" applyNumberFormat="1" applyFont="1" applyFill="1" applyAlignment="1">
      <alignment horizontal="left"/>
    </xf>
    <xf numFmtId="166" fontId="36" fillId="0" borderId="0" xfId="0" applyNumberFormat="1" applyFont="1"/>
    <xf numFmtId="0" fontId="85" fillId="25" borderId="1" xfId="0" applyFont="1" applyFill="1" applyBorder="1" applyAlignment="1">
      <alignment horizontal="center"/>
    </xf>
    <xf numFmtId="0" fontId="57" fillId="23" borderId="0" xfId="0" applyFont="1" applyFill="1"/>
    <xf numFmtId="0" fontId="5" fillId="0" borderId="7" xfId="0" applyFont="1" applyBorder="1"/>
    <xf numFmtId="0" fontId="5" fillId="0" borderId="8" xfId="0" applyFont="1" applyBorder="1"/>
    <xf numFmtId="0" fontId="42" fillId="12" borderId="2" xfId="0" applyFont="1" applyFill="1" applyBorder="1"/>
    <xf numFmtId="0" fontId="42" fillId="12" borderId="4" xfId="0" applyFont="1" applyFill="1" applyBorder="1" applyAlignment="1">
      <alignment horizontal="center"/>
    </xf>
    <xf numFmtId="0" fontId="2" fillId="0" borderId="1" xfId="0" applyFont="1" applyBorder="1"/>
    <xf numFmtId="0" fontId="35" fillId="24" borderId="1" xfId="0" applyFont="1" applyFill="1" applyBorder="1" applyAlignment="1">
      <alignment horizontal="center"/>
    </xf>
    <xf numFmtId="166" fontId="35" fillId="20" borderId="1" xfId="0" applyNumberFormat="1" applyFont="1" applyFill="1" applyBorder="1" applyAlignment="1">
      <alignment horizontal="left"/>
    </xf>
    <xf numFmtId="0" fontId="71" fillId="26" borderId="1" xfId="0" applyFont="1" applyFill="1" applyBorder="1" applyAlignment="1">
      <alignment horizontal="center"/>
    </xf>
    <xf numFmtId="0" fontId="85" fillId="26" borderId="1" xfId="0" applyFont="1" applyFill="1" applyBorder="1" applyAlignment="1">
      <alignment horizontal="center"/>
    </xf>
    <xf numFmtId="0" fontId="5" fillId="0" borderId="60" xfId="0" applyFont="1" applyBorder="1" applyAlignment="1">
      <alignment vertical="center"/>
    </xf>
    <xf numFmtId="0" fontId="5" fillId="0" borderId="61" xfId="0" applyFont="1" applyBorder="1" applyAlignment="1">
      <alignment vertical="center"/>
    </xf>
    <xf numFmtId="0" fontId="5" fillId="0" borderId="61" xfId="0" applyFont="1" applyBorder="1" applyAlignment="1">
      <alignment horizontal="center" vertical="center"/>
    </xf>
    <xf numFmtId="14" fontId="5" fillId="0" borderId="61" xfId="0" applyNumberFormat="1" applyFont="1" applyBorder="1" applyAlignment="1">
      <alignment horizontal="center" vertical="center"/>
    </xf>
    <xf numFmtId="167" fontId="5" fillId="0" borderId="61" xfId="0" applyNumberFormat="1" applyFont="1" applyBorder="1" applyAlignment="1">
      <alignment horizontal="center" vertical="center"/>
    </xf>
    <xf numFmtId="168" fontId="5" fillId="0" borderId="61" xfId="0" applyNumberFormat="1" applyFont="1" applyBorder="1" applyAlignment="1">
      <alignment horizontal="center" vertical="center"/>
    </xf>
    <xf numFmtId="168" fontId="64" fillId="20" borderId="61" xfId="0" applyNumberFormat="1" applyFont="1" applyFill="1" applyBorder="1" applyAlignment="1">
      <alignment horizontal="center" vertical="center"/>
    </xf>
    <xf numFmtId="0" fontId="64" fillId="20" borderId="25" xfId="0" applyFont="1" applyFill="1" applyBorder="1" applyAlignment="1">
      <alignment horizontal="center" vertical="center"/>
    </xf>
    <xf numFmtId="0" fontId="5" fillId="0" borderId="4" xfId="0" applyFont="1" applyBorder="1" applyAlignment="1">
      <alignment horizontal="center"/>
    </xf>
    <xf numFmtId="0" fontId="0" fillId="0" borderId="60" xfId="0" applyBorder="1"/>
    <xf numFmtId="0" fontId="0" fillId="0" borderId="61" xfId="0" applyBorder="1"/>
    <xf numFmtId="0" fontId="0" fillId="0" borderId="25" xfId="0" applyBorder="1"/>
    <xf numFmtId="167" fontId="5" fillId="0" borderId="8" xfId="0" applyNumberFormat="1" applyFont="1" applyBorder="1" applyAlignment="1">
      <alignment horizontal="center"/>
    </xf>
    <xf numFmtId="14" fontId="5" fillId="0" borderId="7" xfId="0" applyNumberFormat="1" applyFont="1" applyBorder="1" applyAlignment="1">
      <alignment horizontal="center"/>
    </xf>
    <xf numFmtId="9" fontId="5" fillId="0" borderId="8" xfId="0" applyNumberFormat="1" applyFont="1" applyBorder="1" applyAlignment="1">
      <alignment horizontal="center"/>
    </xf>
    <xf numFmtId="166" fontId="37" fillId="0" borderId="7" xfId="0" applyNumberFormat="1" applyFont="1" applyBorder="1" applyAlignment="1">
      <alignment horizontal="left"/>
    </xf>
    <xf numFmtId="0" fontId="37" fillId="0" borderId="9" xfId="0" applyFont="1" applyBorder="1"/>
    <xf numFmtId="0" fontId="5" fillId="0" borderId="3" xfId="0" applyFont="1" applyBorder="1" applyAlignment="1">
      <alignment horizontal="center" vertical="center"/>
    </xf>
    <xf numFmtId="0" fontId="5" fillId="0" borderId="8" xfId="0" applyFont="1" applyBorder="1" applyAlignment="1">
      <alignment horizontal="center" vertical="center"/>
    </xf>
    <xf numFmtId="0" fontId="5" fillId="0" borderId="60" xfId="0" applyFont="1" applyBorder="1"/>
    <xf numFmtId="0" fontId="5" fillId="0" borderId="61" xfId="0" applyFont="1" applyBorder="1"/>
    <xf numFmtId="14" fontId="5" fillId="0" borderId="61" xfId="0" applyNumberFormat="1" applyFont="1" applyBorder="1" applyAlignment="1">
      <alignment horizontal="center"/>
    </xf>
    <xf numFmtId="167" fontId="5" fillId="0" borderId="61" xfId="0" applyNumberFormat="1" applyFont="1" applyBorder="1" applyAlignment="1">
      <alignment horizontal="center"/>
    </xf>
    <xf numFmtId="0" fontId="5" fillId="0" borderId="61" xfId="0" applyFont="1" applyBorder="1" applyAlignment="1">
      <alignment horizontal="center"/>
    </xf>
    <xf numFmtId="168" fontId="5" fillId="0" borderId="61" xfId="0" applyNumberFormat="1" applyFont="1" applyBorder="1" applyAlignment="1">
      <alignment horizontal="center"/>
    </xf>
    <xf numFmtId="0" fontId="5" fillId="0" borderId="9" xfId="0" applyFont="1" applyBorder="1" applyAlignment="1">
      <alignment horizontal="center"/>
    </xf>
    <xf numFmtId="0" fontId="66" fillId="0" borderId="1" xfId="0" applyFont="1" applyBorder="1" applyAlignment="1">
      <alignment horizontal="center" wrapText="1"/>
    </xf>
    <xf numFmtId="0" fontId="58" fillId="0" borderId="1" xfId="0" applyFont="1" applyBorder="1" applyAlignment="1">
      <alignment horizontal="center" wrapText="1"/>
    </xf>
    <xf numFmtId="0" fontId="68" fillId="20" borderId="6" xfId="0" applyFont="1" applyFill="1" applyBorder="1" applyAlignment="1">
      <alignment horizontal="center"/>
    </xf>
    <xf numFmtId="0" fontId="68" fillId="20" borderId="13" xfId="0" applyFont="1" applyFill="1" applyBorder="1" applyAlignment="1">
      <alignment horizontal="center"/>
    </xf>
    <xf numFmtId="0" fontId="68" fillId="20" borderId="5" xfId="0" applyFont="1" applyFill="1" applyBorder="1" applyAlignment="1">
      <alignment horizontal="center"/>
    </xf>
    <xf numFmtId="0" fontId="65" fillId="23" borderId="6" xfId="0" applyFont="1" applyFill="1" applyBorder="1" applyAlignment="1">
      <alignment horizontal="center"/>
    </xf>
    <xf numFmtId="0" fontId="65" fillId="23" borderId="13" xfId="0" applyFont="1" applyFill="1" applyBorder="1" applyAlignment="1">
      <alignment horizontal="center"/>
    </xf>
    <xf numFmtId="0" fontId="65" fillId="23" borderId="5" xfId="0" applyFont="1" applyFill="1" applyBorder="1" applyAlignment="1">
      <alignment horizontal="center"/>
    </xf>
    <xf numFmtId="0" fontId="66" fillId="0" borderId="6" xfId="0" applyFont="1" applyBorder="1" applyAlignment="1">
      <alignment horizontal="center" vertical="center" wrapText="1"/>
    </xf>
    <xf numFmtId="0" fontId="58" fillId="0" borderId="13" xfId="0" applyFont="1" applyBorder="1" applyAlignment="1">
      <alignment horizontal="center" vertical="center" wrapText="1"/>
    </xf>
    <xf numFmtId="0" fontId="58" fillId="0" borderId="5" xfId="0" applyFont="1" applyBorder="1" applyAlignment="1">
      <alignment horizontal="center" vertical="center" wrapText="1"/>
    </xf>
    <xf numFmtId="0" fontId="68" fillId="20" borderId="6" xfId="0" applyFont="1" applyFill="1" applyBorder="1" applyAlignment="1">
      <alignment horizontal="center" vertical="center"/>
    </xf>
    <xf numFmtId="0" fontId="68" fillId="20" borderId="13" xfId="0" applyFont="1" applyFill="1" applyBorder="1" applyAlignment="1">
      <alignment horizontal="center" vertical="center"/>
    </xf>
    <xf numFmtId="0" fontId="68" fillId="20" borderId="5" xfId="0" applyFont="1" applyFill="1" applyBorder="1" applyAlignment="1">
      <alignment horizontal="center" vertical="center"/>
    </xf>
    <xf numFmtId="0" fontId="9" fillId="8" borderId="6" xfId="0" applyFont="1" applyFill="1" applyBorder="1" applyAlignment="1">
      <alignment horizontal="center" vertical="center" wrapText="1"/>
    </xf>
    <xf numFmtId="0" fontId="9" fillId="8" borderId="13" xfId="0" applyFont="1" applyFill="1" applyBorder="1" applyAlignment="1">
      <alignment horizontal="center" vertical="center" wrapText="1"/>
    </xf>
    <xf numFmtId="0" fontId="9" fillId="8" borderId="5" xfId="0" applyFont="1" applyFill="1" applyBorder="1" applyAlignment="1">
      <alignment horizontal="center" vertical="center" wrapText="1"/>
    </xf>
    <xf numFmtId="0" fontId="8" fillId="6" borderId="17" xfId="0" applyFont="1" applyFill="1" applyBorder="1" applyAlignment="1">
      <alignment horizontal="center"/>
    </xf>
    <xf numFmtId="0" fontId="8" fillId="6" borderId="16" xfId="0" applyFont="1" applyFill="1" applyBorder="1" applyAlignment="1">
      <alignment horizontal="center"/>
    </xf>
    <xf numFmtId="0" fontId="11" fillId="7" borderId="24" xfId="0" applyFont="1" applyFill="1" applyBorder="1" applyAlignment="1">
      <alignment horizontal="center" vertical="center"/>
    </xf>
    <xf numFmtId="0" fontId="11" fillId="7" borderId="23" xfId="0" applyFont="1" applyFill="1" applyBorder="1" applyAlignment="1">
      <alignment horizontal="center" vertical="center"/>
    </xf>
    <xf numFmtId="0" fontId="11" fillId="7" borderId="23" xfId="0" applyFont="1" applyFill="1" applyBorder="1" applyAlignment="1">
      <alignment horizontal="center" vertical="center" wrapText="1"/>
    </xf>
    <xf numFmtId="0" fontId="11" fillId="7" borderId="22" xfId="0" applyFont="1" applyFill="1" applyBorder="1" applyAlignment="1">
      <alignment horizontal="center" vertical="center"/>
    </xf>
    <xf numFmtId="0" fontId="9" fillId="8" borderId="6" xfId="0" applyFont="1" applyFill="1" applyBorder="1" applyAlignment="1">
      <alignment horizontal="center" vertical="center"/>
    </xf>
    <xf numFmtId="0" fontId="9" fillId="8" borderId="13" xfId="0" applyFont="1" applyFill="1" applyBorder="1" applyAlignment="1">
      <alignment horizontal="center" vertical="center"/>
    </xf>
    <xf numFmtId="0" fontId="9" fillId="8" borderId="5" xfId="0" applyFont="1" applyFill="1" applyBorder="1" applyAlignment="1">
      <alignment horizontal="center" vertical="center"/>
    </xf>
    <xf numFmtId="0" fontId="30" fillId="20" borderId="0" xfId="0" applyFont="1" applyFill="1" applyAlignment="1">
      <alignment horizontal="center"/>
    </xf>
    <xf numFmtId="0" fontId="31" fillId="0" borderId="6" xfId="0" applyFont="1" applyBorder="1" applyAlignment="1">
      <alignment horizontal="center"/>
    </xf>
    <xf numFmtId="0" fontId="31" fillId="0" borderId="13" xfId="0" applyFont="1" applyBorder="1" applyAlignment="1">
      <alignment horizontal="center"/>
    </xf>
    <xf numFmtId="0" fontId="31" fillId="0" borderId="5" xfId="0" applyFont="1" applyBorder="1" applyAlignment="1">
      <alignment horizontal="center"/>
    </xf>
    <xf numFmtId="0" fontId="37" fillId="0" borderId="24" xfId="0" applyFont="1" applyBorder="1" applyAlignment="1">
      <alignment horizontal="center" vertical="center" wrapText="1"/>
    </xf>
    <xf numFmtId="0" fontId="37" fillId="0" borderId="22" xfId="0" applyFont="1" applyBorder="1" applyAlignment="1">
      <alignment horizontal="center" vertical="center" wrapText="1"/>
    </xf>
    <xf numFmtId="0" fontId="43" fillId="12" borderId="18" xfId="0" applyFont="1" applyFill="1" applyBorder="1" applyAlignment="1">
      <alignment horizontal="center" vertical="center" wrapText="1"/>
    </xf>
    <xf numFmtId="0" fontId="43" fillId="12" borderId="27" xfId="0" applyFont="1" applyFill="1" applyBorder="1" applyAlignment="1">
      <alignment horizontal="center" vertical="center" wrapText="1"/>
    </xf>
    <xf numFmtId="0" fontId="43" fillId="12" borderId="25" xfId="0" applyFont="1" applyFill="1" applyBorder="1" applyAlignment="1">
      <alignment horizontal="center" vertical="center" wrapText="1"/>
    </xf>
    <xf numFmtId="0" fontId="43" fillId="12" borderId="29" xfId="0" applyFont="1" applyFill="1" applyBorder="1" applyAlignment="1">
      <alignment horizontal="center" vertical="center" wrapText="1"/>
    </xf>
    <xf numFmtId="0" fontId="37" fillId="0" borderId="25"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28" xfId="0" applyFont="1" applyBorder="1" applyAlignment="1">
      <alignment horizontal="center" vertical="center"/>
    </xf>
    <xf numFmtId="0" fontId="37" fillId="0" borderId="29" xfId="0" applyFont="1" applyBorder="1" applyAlignment="1">
      <alignment horizontal="center" vertical="center"/>
    </xf>
    <xf numFmtId="0" fontId="37" fillId="0" borderId="1" xfId="0" applyFont="1" applyBorder="1" applyAlignment="1">
      <alignment horizontal="center" vertical="center"/>
    </xf>
    <xf numFmtId="0" fontId="37" fillId="0" borderId="1" xfId="0" applyFont="1" applyBorder="1" applyAlignment="1">
      <alignment horizontal="center" vertical="center" wrapText="1"/>
    </xf>
    <xf numFmtId="0" fontId="8" fillId="12" borderId="28" xfId="0" applyFont="1" applyFill="1" applyBorder="1" applyAlignment="1">
      <alignment horizontal="center" vertical="center" wrapText="1"/>
    </xf>
    <xf numFmtId="0" fontId="8" fillId="12" borderId="36" xfId="0" applyFont="1" applyFill="1" applyBorder="1" applyAlignment="1">
      <alignment horizontal="center" vertical="center" wrapText="1"/>
    </xf>
    <xf numFmtId="0" fontId="2" fillId="0" borderId="1" xfId="0" applyFont="1" applyBorder="1" applyAlignment="1">
      <alignment horizontal="center" vertical="center"/>
    </xf>
    <xf numFmtId="0" fontId="8" fillId="12" borderId="18" xfId="0" applyFont="1" applyFill="1" applyBorder="1" applyAlignment="1">
      <alignment horizontal="center" vertical="center" wrapText="1"/>
    </xf>
    <xf numFmtId="0" fontId="2" fillId="0" borderId="0" xfId="0" applyFont="1" applyAlignment="1">
      <alignment horizontal="center" vertical="center"/>
    </xf>
    <xf numFmtId="0" fontId="2" fillId="0" borderId="1" xfId="0" applyFont="1" applyBorder="1" applyAlignment="1">
      <alignment horizontal="left" vertical="center"/>
    </xf>
    <xf numFmtId="0" fontId="2" fillId="0" borderId="36" xfId="0" applyFont="1" applyBorder="1" applyAlignment="1">
      <alignment horizontal="center" vertical="center" wrapText="1"/>
    </xf>
    <xf numFmtId="0" fontId="2" fillId="18" borderId="52" xfId="0" applyFont="1" applyFill="1" applyBorder="1" applyAlignment="1">
      <alignment horizontal="left" vertical="center" wrapText="1"/>
    </xf>
    <xf numFmtId="0" fontId="2" fillId="18" borderId="7" xfId="0" applyFont="1" applyFill="1" applyBorder="1" applyAlignment="1">
      <alignment horizontal="left" vertical="center" wrapText="1"/>
    </xf>
    <xf numFmtId="0" fontId="44" fillId="13" borderId="36" xfId="0" applyFont="1" applyFill="1" applyBorder="1" applyAlignment="1">
      <alignment horizontal="center" vertical="center"/>
    </xf>
    <xf numFmtId="0" fontId="28" fillId="14" borderId="36" xfId="0" applyFont="1" applyFill="1" applyBorder="1" applyAlignment="1">
      <alignment horizontal="center" vertical="center" wrapText="1"/>
    </xf>
    <xf numFmtId="0" fontId="48" fillId="8" borderId="38" xfId="0" applyFont="1" applyFill="1" applyBorder="1" applyAlignment="1">
      <alignment horizontal="center" vertical="center"/>
    </xf>
    <xf numFmtId="0" fontId="48" fillId="8" borderId="37" xfId="0" applyFont="1" applyFill="1" applyBorder="1" applyAlignment="1">
      <alignment horizontal="center" vertical="center"/>
    </xf>
    <xf numFmtId="0" fontId="49" fillId="8" borderId="37" xfId="0" applyFont="1" applyFill="1" applyBorder="1" applyAlignment="1">
      <alignment horizontal="center" vertical="center"/>
    </xf>
    <xf numFmtId="0" fontId="50" fillId="8" borderId="37" xfId="0" applyFont="1" applyFill="1" applyBorder="1" applyAlignment="1">
      <alignment horizontal="center" vertical="center"/>
    </xf>
    <xf numFmtId="0" fontId="49" fillId="8" borderId="39" xfId="0" applyFont="1" applyFill="1" applyBorder="1" applyAlignment="1">
      <alignment horizontal="center" vertical="center"/>
    </xf>
    <xf numFmtId="0" fontId="45" fillId="15" borderId="40" xfId="0" applyFont="1" applyFill="1" applyBorder="1" applyAlignment="1">
      <alignment horizontal="center" vertical="center"/>
    </xf>
    <xf numFmtId="0" fontId="45" fillId="15" borderId="41" xfId="0" applyFont="1" applyFill="1" applyBorder="1" applyAlignment="1">
      <alignment horizontal="center" vertical="center"/>
    </xf>
    <xf numFmtId="0" fontId="45" fillId="15" borderId="42" xfId="0" applyFont="1" applyFill="1" applyBorder="1" applyAlignment="1">
      <alignment horizontal="center" vertical="center"/>
    </xf>
    <xf numFmtId="3" fontId="46" fillId="13" borderId="43" xfId="0" applyNumberFormat="1" applyFont="1" applyFill="1" applyBorder="1" applyAlignment="1">
      <alignment horizontal="center" vertical="center"/>
    </xf>
    <xf numFmtId="3" fontId="46" fillId="13" borderId="44" xfId="0" applyNumberFormat="1" applyFont="1" applyFill="1" applyBorder="1" applyAlignment="1">
      <alignment horizontal="center" vertical="center"/>
    </xf>
    <xf numFmtId="3" fontId="46" fillId="13" borderId="45" xfId="0" applyNumberFormat="1" applyFont="1" applyFill="1" applyBorder="1" applyAlignment="1">
      <alignment horizontal="center" vertical="center"/>
    </xf>
    <xf numFmtId="3" fontId="46" fillId="13" borderId="46" xfId="0" applyNumberFormat="1" applyFont="1" applyFill="1" applyBorder="1" applyAlignment="1">
      <alignment horizontal="center" vertical="center"/>
    </xf>
    <xf numFmtId="3" fontId="46" fillId="13" borderId="36" xfId="0" applyNumberFormat="1" applyFont="1" applyFill="1" applyBorder="1" applyAlignment="1">
      <alignment horizontal="center" vertical="center"/>
    </xf>
    <xf numFmtId="3" fontId="46" fillId="13" borderId="47" xfId="0" applyNumberFormat="1" applyFont="1" applyFill="1" applyBorder="1" applyAlignment="1">
      <alignment horizontal="center" vertical="center"/>
    </xf>
    <xf numFmtId="3" fontId="46" fillId="13" borderId="48" xfId="0" applyNumberFormat="1" applyFont="1" applyFill="1" applyBorder="1" applyAlignment="1">
      <alignment horizontal="center" vertical="center"/>
    </xf>
    <xf numFmtId="3" fontId="46" fillId="13" borderId="49" xfId="0" applyNumberFormat="1" applyFont="1" applyFill="1" applyBorder="1" applyAlignment="1">
      <alignment horizontal="center" vertical="center"/>
    </xf>
    <xf numFmtId="3" fontId="46" fillId="13" borderId="50" xfId="0" applyNumberFormat="1" applyFont="1" applyFill="1" applyBorder="1" applyAlignment="1">
      <alignment horizontal="center" vertical="center"/>
    </xf>
    <xf numFmtId="0" fontId="48" fillId="15" borderId="40" xfId="0" applyFont="1" applyFill="1" applyBorder="1" applyAlignment="1">
      <alignment horizontal="center" vertical="center"/>
    </xf>
    <xf numFmtId="0" fontId="48" fillId="15" borderId="41" xfId="0" applyFont="1" applyFill="1" applyBorder="1" applyAlignment="1">
      <alignment horizontal="center" vertical="center"/>
    </xf>
    <xf numFmtId="0" fontId="48" fillId="15" borderId="42" xfId="0" applyFont="1" applyFill="1" applyBorder="1" applyAlignment="1">
      <alignment horizontal="center" vertical="center"/>
    </xf>
    <xf numFmtId="170" fontId="47" fillId="13" borderId="43" xfId="0" applyNumberFormat="1" applyFont="1" applyFill="1" applyBorder="1" applyAlignment="1">
      <alignment horizontal="center" vertical="center"/>
    </xf>
    <xf numFmtId="170" fontId="47" fillId="13" borderId="44" xfId="0" applyNumberFormat="1" applyFont="1" applyFill="1" applyBorder="1" applyAlignment="1">
      <alignment horizontal="center" vertical="center"/>
    </xf>
    <xf numFmtId="170" fontId="47" fillId="13" borderId="45" xfId="0" applyNumberFormat="1" applyFont="1" applyFill="1" applyBorder="1" applyAlignment="1">
      <alignment horizontal="center" vertical="center"/>
    </xf>
    <xf numFmtId="170" fontId="47" fillId="13" borderId="46" xfId="0" applyNumberFormat="1" applyFont="1" applyFill="1" applyBorder="1" applyAlignment="1">
      <alignment horizontal="center" vertical="center"/>
    </xf>
    <xf numFmtId="170" fontId="47" fillId="13" borderId="36" xfId="0" applyNumberFormat="1" applyFont="1" applyFill="1" applyBorder="1" applyAlignment="1">
      <alignment horizontal="center" vertical="center"/>
    </xf>
    <xf numFmtId="170" fontId="47" fillId="13" borderId="47" xfId="0" applyNumberFormat="1" applyFont="1" applyFill="1" applyBorder="1" applyAlignment="1">
      <alignment horizontal="center" vertical="center"/>
    </xf>
    <xf numFmtId="170" fontId="47" fillId="13" borderId="48" xfId="0" applyNumberFormat="1" applyFont="1" applyFill="1" applyBorder="1" applyAlignment="1">
      <alignment horizontal="center" vertical="center"/>
    </xf>
    <xf numFmtId="170" fontId="47" fillId="13" borderId="49" xfId="0" applyNumberFormat="1" applyFont="1" applyFill="1" applyBorder="1" applyAlignment="1">
      <alignment horizontal="center" vertical="center"/>
    </xf>
    <xf numFmtId="170" fontId="47" fillId="13" borderId="50" xfId="0" applyNumberFormat="1" applyFont="1" applyFill="1" applyBorder="1" applyAlignment="1">
      <alignment horizontal="center" vertical="center"/>
    </xf>
    <xf numFmtId="170" fontId="52" fillId="13" borderId="43" xfId="0" applyNumberFormat="1" applyFont="1" applyFill="1" applyBorder="1" applyAlignment="1">
      <alignment horizontal="center" vertical="center"/>
    </xf>
    <xf numFmtId="170" fontId="52" fillId="13" borderId="44" xfId="0" applyNumberFormat="1" applyFont="1" applyFill="1" applyBorder="1" applyAlignment="1">
      <alignment horizontal="center" vertical="center"/>
    </xf>
    <xf numFmtId="170" fontId="52" fillId="13" borderId="45" xfId="0" applyNumberFormat="1" applyFont="1" applyFill="1" applyBorder="1" applyAlignment="1">
      <alignment horizontal="center" vertical="center"/>
    </xf>
    <xf numFmtId="170" fontId="52" fillId="13" borderId="46" xfId="0" applyNumberFormat="1" applyFont="1" applyFill="1" applyBorder="1" applyAlignment="1">
      <alignment horizontal="center" vertical="center"/>
    </xf>
    <xf numFmtId="170" fontId="52" fillId="13" borderId="36" xfId="0" applyNumberFormat="1" applyFont="1" applyFill="1" applyBorder="1" applyAlignment="1">
      <alignment horizontal="center" vertical="center"/>
    </xf>
    <xf numFmtId="170" fontId="52" fillId="13" borderId="47" xfId="0" applyNumberFormat="1" applyFont="1" applyFill="1" applyBorder="1" applyAlignment="1">
      <alignment horizontal="center" vertical="center"/>
    </xf>
    <xf numFmtId="170" fontId="52" fillId="13" borderId="48" xfId="0" applyNumberFormat="1" applyFont="1" applyFill="1" applyBorder="1" applyAlignment="1">
      <alignment horizontal="center" vertical="center"/>
    </xf>
    <xf numFmtId="170" fontId="52" fillId="13" borderId="49" xfId="0" applyNumberFormat="1" applyFont="1" applyFill="1" applyBorder="1" applyAlignment="1">
      <alignment horizontal="center" vertical="center"/>
    </xf>
    <xf numFmtId="170" fontId="52" fillId="13" borderId="50" xfId="0" applyNumberFormat="1" applyFont="1" applyFill="1" applyBorder="1" applyAlignment="1">
      <alignment horizontal="center" vertical="center"/>
    </xf>
    <xf numFmtId="3" fontId="52" fillId="13" borderId="43" xfId="0" applyNumberFormat="1" applyFont="1" applyFill="1" applyBorder="1" applyAlignment="1">
      <alignment horizontal="center" vertical="center"/>
    </xf>
    <xf numFmtId="3" fontId="52" fillId="13" borderId="44" xfId="0" applyNumberFormat="1" applyFont="1" applyFill="1" applyBorder="1" applyAlignment="1">
      <alignment horizontal="center" vertical="center"/>
    </xf>
    <xf numFmtId="3" fontId="52" fillId="13" borderId="45" xfId="0" applyNumberFormat="1" applyFont="1" applyFill="1" applyBorder="1" applyAlignment="1">
      <alignment horizontal="center" vertical="center"/>
    </xf>
    <xf numFmtId="3" fontId="52" fillId="13" borderId="46" xfId="0" applyNumberFormat="1" applyFont="1" applyFill="1" applyBorder="1" applyAlignment="1">
      <alignment horizontal="center" vertical="center"/>
    </xf>
    <xf numFmtId="3" fontId="52" fillId="13" borderId="36" xfId="0" applyNumberFormat="1" applyFont="1" applyFill="1" applyBorder="1" applyAlignment="1">
      <alignment horizontal="center" vertical="center"/>
    </xf>
    <xf numFmtId="3" fontId="52" fillId="13" borderId="47" xfId="0" applyNumberFormat="1" applyFont="1" applyFill="1" applyBorder="1" applyAlignment="1">
      <alignment horizontal="center" vertical="center"/>
    </xf>
    <xf numFmtId="3" fontId="52" fillId="13" borderId="48" xfId="0" applyNumberFormat="1" applyFont="1" applyFill="1" applyBorder="1" applyAlignment="1">
      <alignment horizontal="center" vertical="center"/>
    </xf>
    <xf numFmtId="3" fontId="52" fillId="13" borderId="49" xfId="0" applyNumberFormat="1" applyFont="1" applyFill="1" applyBorder="1" applyAlignment="1">
      <alignment horizontal="center" vertical="center"/>
    </xf>
    <xf numFmtId="3" fontId="52" fillId="13" borderId="50" xfId="0" applyNumberFormat="1" applyFont="1" applyFill="1" applyBorder="1" applyAlignment="1">
      <alignment horizontal="center" vertical="center"/>
    </xf>
    <xf numFmtId="164" fontId="44" fillId="13" borderId="43" xfId="0" applyNumberFormat="1" applyFont="1" applyFill="1" applyBorder="1" applyAlignment="1">
      <alignment horizontal="center" vertical="center"/>
    </xf>
    <xf numFmtId="164" fontId="44" fillId="13" borderId="44" xfId="0" applyNumberFormat="1" applyFont="1" applyFill="1" applyBorder="1" applyAlignment="1">
      <alignment horizontal="center" vertical="center"/>
    </xf>
    <xf numFmtId="164" fontId="44" fillId="13" borderId="45" xfId="0" applyNumberFormat="1" applyFont="1" applyFill="1" applyBorder="1" applyAlignment="1">
      <alignment horizontal="center" vertical="center"/>
    </xf>
    <xf numFmtId="164" fontId="44" fillId="13" borderId="46" xfId="0" applyNumberFormat="1" applyFont="1" applyFill="1" applyBorder="1" applyAlignment="1">
      <alignment horizontal="center" vertical="center"/>
    </xf>
    <xf numFmtId="164" fontId="44" fillId="13" borderId="36" xfId="0" applyNumberFormat="1" applyFont="1" applyFill="1" applyBorder="1" applyAlignment="1">
      <alignment horizontal="center" vertical="center"/>
    </xf>
    <xf numFmtId="164" fontId="44" fillId="13" borderId="47" xfId="0" applyNumberFormat="1" applyFont="1" applyFill="1" applyBorder="1" applyAlignment="1">
      <alignment horizontal="center" vertical="center"/>
    </xf>
    <xf numFmtId="164" fontId="44" fillId="13" borderId="48" xfId="0" applyNumberFormat="1" applyFont="1" applyFill="1" applyBorder="1" applyAlignment="1">
      <alignment horizontal="center" vertical="center"/>
    </xf>
    <xf numFmtId="164" fontId="44" fillId="13" borderId="49" xfId="0" applyNumberFormat="1" applyFont="1" applyFill="1" applyBorder="1" applyAlignment="1">
      <alignment horizontal="center" vertical="center"/>
    </xf>
    <xf numFmtId="164" fontId="44" fillId="13" borderId="50" xfId="0" applyNumberFormat="1" applyFont="1" applyFill="1" applyBorder="1" applyAlignment="1">
      <alignment horizontal="center" vertical="center"/>
    </xf>
    <xf numFmtId="49" fontId="44" fillId="13" borderId="43" xfId="0" applyNumberFormat="1" applyFont="1" applyFill="1" applyBorder="1" applyAlignment="1">
      <alignment horizontal="center" vertical="center"/>
    </xf>
    <xf numFmtId="49" fontId="44" fillId="13" borderId="44" xfId="0" applyNumberFormat="1" applyFont="1" applyFill="1" applyBorder="1" applyAlignment="1">
      <alignment horizontal="center" vertical="center"/>
    </xf>
    <xf numFmtId="49" fontId="44" fillId="13" borderId="45" xfId="0" applyNumberFormat="1" applyFont="1" applyFill="1" applyBorder="1" applyAlignment="1">
      <alignment horizontal="center" vertical="center"/>
    </xf>
    <xf numFmtId="49" fontId="44" fillId="13" borderId="46" xfId="0" applyNumberFormat="1" applyFont="1" applyFill="1" applyBorder="1" applyAlignment="1">
      <alignment horizontal="center" vertical="center"/>
    </xf>
    <xf numFmtId="49" fontId="44" fillId="13" borderId="36" xfId="0" applyNumberFormat="1" applyFont="1" applyFill="1" applyBorder="1" applyAlignment="1">
      <alignment horizontal="center" vertical="center"/>
    </xf>
    <xf numFmtId="49" fontId="44" fillId="13" borderId="47" xfId="0" applyNumberFormat="1" applyFont="1" applyFill="1" applyBorder="1" applyAlignment="1">
      <alignment horizontal="center" vertical="center"/>
    </xf>
    <xf numFmtId="49" fontId="44" fillId="13" borderId="48" xfId="0" applyNumberFormat="1" applyFont="1" applyFill="1" applyBorder="1" applyAlignment="1">
      <alignment horizontal="center" vertical="center"/>
    </xf>
    <xf numFmtId="49" fontId="44" fillId="13" borderId="49" xfId="0" applyNumberFormat="1" applyFont="1" applyFill="1" applyBorder="1" applyAlignment="1">
      <alignment horizontal="center" vertical="center"/>
    </xf>
    <xf numFmtId="49" fontId="44" fillId="13" borderId="50" xfId="0" applyNumberFormat="1" applyFont="1" applyFill="1" applyBorder="1" applyAlignment="1">
      <alignment horizontal="center" vertical="center"/>
    </xf>
    <xf numFmtId="173" fontId="44" fillId="13" borderId="43" xfId="0" applyNumberFormat="1" applyFont="1" applyFill="1" applyBorder="1" applyAlignment="1">
      <alignment horizontal="center" vertical="center"/>
    </xf>
    <xf numFmtId="173" fontId="44" fillId="13" borderId="44" xfId="0" applyNumberFormat="1" applyFont="1" applyFill="1" applyBorder="1" applyAlignment="1">
      <alignment horizontal="center" vertical="center"/>
    </xf>
    <xf numFmtId="173" fontId="44" fillId="13" borderId="45" xfId="0" applyNumberFormat="1" applyFont="1" applyFill="1" applyBorder="1" applyAlignment="1">
      <alignment horizontal="center" vertical="center"/>
    </xf>
    <xf numFmtId="173" fontId="44" fillId="13" borderId="46" xfId="0" applyNumberFormat="1" applyFont="1" applyFill="1" applyBorder="1" applyAlignment="1">
      <alignment horizontal="center" vertical="center"/>
    </xf>
    <xf numFmtId="173" fontId="44" fillId="13" borderId="36" xfId="0" applyNumberFormat="1" applyFont="1" applyFill="1" applyBorder="1" applyAlignment="1">
      <alignment horizontal="center" vertical="center"/>
    </xf>
    <xf numFmtId="173" fontId="44" fillId="13" borderId="47" xfId="0" applyNumberFormat="1" applyFont="1" applyFill="1" applyBorder="1" applyAlignment="1">
      <alignment horizontal="center" vertical="center"/>
    </xf>
    <xf numFmtId="173" fontId="44" fillId="13" borderId="48" xfId="0" applyNumberFormat="1" applyFont="1" applyFill="1" applyBorder="1" applyAlignment="1">
      <alignment horizontal="center" vertical="center"/>
    </xf>
    <xf numFmtId="173" fontId="44" fillId="13" borderId="49" xfId="0" applyNumberFormat="1" applyFont="1" applyFill="1" applyBorder="1" applyAlignment="1">
      <alignment horizontal="center" vertical="center"/>
    </xf>
    <xf numFmtId="173" fontId="44" fillId="13" borderId="50" xfId="0" applyNumberFormat="1" applyFont="1" applyFill="1" applyBorder="1" applyAlignment="1">
      <alignment horizontal="center" vertical="center"/>
    </xf>
    <xf numFmtId="0" fontId="53" fillId="14" borderId="36" xfId="0" applyFont="1" applyFill="1" applyBorder="1" applyAlignment="1">
      <alignment horizontal="left" vertical="center"/>
    </xf>
    <xf numFmtId="0" fontId="54" fillId="15" borderId="51" xfId="0" applyFont="1" applyFill="1" applyBorder="1" applyAlignment="1">
      <alignment horizontal="center" vertical="center"/>
    </xf>
    <xf numFmtId="0" fontId="51" fillId="8" borderId="51" xfId="0" applyFont="1" applyFill="1" applyBorder="1" applyAlignment="1">
      <alignment horizontal="left" vertical="center"/>
    </xf>
    <xf numFmtId="174" fontId="51" fillId="8" borderId="51" xfId="0" applyNumberFormat="1" applyFont="1" applyFill="1" applyBorder="1" applyAlignment="1">
      <alignment horizontal="right" vertical="center"/>
    </xf>
    <xf numFmtId="0" fontId="47" fillId="14" borderId="36" xfId="0" applyFont="1" applyFill="1" applyBorder="1" applyAlignment="1">
      <alignment horizontal="left" vertical="center"/>
    </xf>
    <xf numFmtId="0" fontId="56" fillId="13" borderId="36" xfId="0" applyFont="1" applyFill="1" applyBorder="1" applyAlignment="1">
      <alignment horizontal="center" vertical="center"/>
    </xf>
    <xf numFmtId="0" fontId="15" fillId="13" borderId="36" xfId="0" applyFont="1" applyFill="1" applyBorder="1" applyAlignment="1">
      <alignment horizontal="left" vertical="center"/>
    </xf>
    <xf numFmtId="0" fontId="0" fillId="0" borderId="0" xfId="0"/>
    <xf numFmtId="0" fontId="25" fillId="14" borderId="36" xfId="0" applyFont="1" applyFill="1" applyBorder="1" applyAlignment="1">
      <alignment horizontal="left" vertical="center"/>
    </xf>
    <xf numFmtId="0" fontId="23" fillId="0" borderId="0" xfId="0" applyFont="1"/>
    <xf numFmtId="0" fontId="11" fillId="12" borderId="1" xfId="0" applyFont="1" applyFill="1" applyBorder="1" applyAlignment="1">
      <alignment horizontal="center" vertical="center" wrapText="1"/>
    </xf>
    <xf numFmtId="0" fontId="51" fillId="0" borderId="36" xfId="0" applyFont="1" applyBorder="1" applyAlignment="1">
      <alignment horizontal="center" wrapText="1"/>
    </xf>
    <xf numFmtId="0" fontId="75" fillId="13" borderId="36" xfId="0" applyFont="1" applyFill="1" applyBorder="1" applyAlignment="1">
      <alignment horizontal="center" vertical="center"/>
    </xf>
    <xf numFmtId="0" fontId="84" fillId="0" borderId="0" xfId="0" applyFont="1" applyAlignment="1">
      <alignment horizontal="center"/>
    </xf>
    <xf numFmtId="0" fontId="79" fillId="14" borderId="36" xfId="0" applyFont="1" applyFill="1" applyBorder="1" applyAlignment="1">
      <alignment horizontal="center" vertical="center" wrapText="1"/>
    </xf>
    <xf numFmtId="0" fontId="80" fillId="0" borderId="0" xfId="0" applyFont="1"/>
    <xf numFmtId="0" fontId="76" fillId="8" borderId="38" xfId="0" applyFont="1" applyFill="1" applyBorder="1" applyAlignment="1">
      <alignment horizontal="center" vertical="center"/>
    </xf>
    <xf numFmtId="0" fontId="36" fillId="0" borderId="0" xfId="0" applyFont="1"/>
    <xf numFmtId="0" fontId="77" fillId="8" borderId="37" xfId="0" applyFont="1" applyFill="1" applyBorder="1" applyAlignment="1">
      <alignment horizontal="center" vertical="center"/>
    </xf>
    <xf numFmtId="0" fontId="81" fillId="8" borderId="37" xfId="0" applyFont="1" applyFill="1" applyBorder="1" applyAlignment="1">
      <alignment horizontal="center" vertical="center"/>
    </xf>
    <xf numFmtId="0" fontId="76" fillId="15" borderId="40" xfId="0" applyFont="1" applyFill="1" applyBorder="1" applyAlignment="1">
      <alignment horizontal="center" vertical="center"/>
    </xf>
    <xf numFmtId="173" fontId="35" fillId="13" borderId="43" xfId="0" applyNumberFormat="1" applyFont="1" applyFill="1" applyBorder="1" applyAlignment="1">
      <alignment horizontal="center" vertical="center"/>
    </xf>
    <xf numFmtId="0" fontId="79" fillId="14" borderId="36" xfId="0" applyFont="1" applyFill="1" applyBorder="1" applyAlignment="1">
      <alignment horizontal="left" vertical="center"/>
    </xf>
    <xf numFmtId="0" fontId="35" fillId="13" borderId="43" xfId="0" applyFont="1" applyFill="1" applyBorder="1" applyAlignment="1">
      <alignment horizontal="center" vertical="center"/>
    </xf>
    <xf numFmtId="3" fontId="81" fillId="13" borderId="43" xfId="0" applyNumberFormat="1" applyFont="1" applyFill="1" applyBorder="1" applyAlignment="1">
      <alignment horizontal="center" vertical="center"/>
    </xf>
    <xf numFmtId="0" fontId="78" fillId="8" borderId="1" xfId="0" applyFont="1" applyFill="1" applyBorder="1" applyAlignment="1">
      <alignment horizontal="left" vertical="center"/>
    </xf>
    <xf numFmtId="0" fontId="36" fillId="0" borderId="1" xfId="0" applyFont="1" applyBorder="1"/>
    <xf numFmtId="0" fontId="36" fillId="0" borderId="6" xfId="0" applyFont="1" applyBorder="1"/>
    <xf numFmtId="0" fontId="82" fillId="13" borderId="36" xfId="0" applyFont="1" applyFill="1" applyBorder="1" applyAlignment="1">
      <alignment horizontal="center" vertical="center"/>
    </xf>
    <xf numFmtId="0" fontId="35" fillId="15" borderId="59" xfId="0" applyFont="1" applyFill="1" applyBorder="1" applyAlignment="1">
      <alignment horizontal="center" vertical="center"/>
    </xf>
    <xf numFmtId="0" fontId="36" fillId="0" borderId="36" xfId="0" applyFont="1" applyBorder="1"/>
    <xf numFmtId="0" fontId="35" fillId="24" borderId="1" xfId="0" applyFont="1" applyFill="1" applyBorder="1" applyAlignment="1">
      <alignment horizontal="center"/>
    </xf>
    <xf numFmtId="0" fontId="36" fillId="0" borderId="1" xfId="0" applyFont="1" applyBorder="1" applyAlignment="1">
      <alignment horizontal="center"/>
    </xf>
    <xf numFmtId="0" fontId="86" fillId="0" borderId="0" xfId="0" applyFont="1" applyAlignment="1">
      <alignment horizontal="center" wrapText="1"/>
    </xf>
    <xf numFmtId="0" fontId="83" fillId="0" borderId="0" xfId="0" applyFont="1" applyAlignment="1">
      <alignment horizontal="center" wrapText="1"/>
    </xf>
    <xf numFmtId="0" fontId="36" fillId="0" borderId="6" xfId="0" applyFont="1" applyBorder="1" applyAlignment="1">
      <alignment horizontal="center"/>
    </xf>
    <xf numFmtId="0" fontId="36" fillId="0" borderId="13" xfId="0" applyFont="1" applyBorder="1" applyAlignment="1">
      <alignment horizontal="center"/>
    </xf>
    <xf numFmtId="0" fontId="36" fillId="0" borderId="5" xfId="0" applyFont="1" applyBorder="1" applyAlignment="1">
      <alignment horizontal="center"/>
    </xf>
    <xf numFmtId="0" fontId="20" fillId="13" borderId="36" xfId="0" applyFont="1" applyFill="1" applyBorder="1" applyAlignment="1">
      <alignment horizontal="left" vertical="center"/>
    </xf>
    <xf numFmtId="0" fontId="28" fillId="14" borderId="36" xfId="0" applyFont="1" applyFill="1" applyBorder="1" applyAlignment="1">
      <alignment horizontal="left" vertical="center"/>
    </xf>
    <xf numFmtId="0" fontId="27" fillId="0" borderId="0" xfId="0" applyFont="1"/>
    <xf numFmtId="0" fontId="26" fillId="14" borderId="36" xfId="0" applyFont="1" applyFill="1" applyBorder="1" applyAlignment="1">
      <alignment horizontal="left" vertical="center"/>
    </xf>
    <xf numFmtId="0" fontId="72" fillId="20" borderId="0" xfId="0" applyFont="1" applyFill="1" applyAlignment="1">
      <alignment horizontal="center"/>
    </xf>
    <xf numFmtId="0" fontId="73" fillId="0" borderId="0" xfId="0" applyFont="1" applyAlignment="1">
      <alignment horizontal="center"/>
    </xf>
    <xf numFmtId="0" fontId="65" fillId="19" borderId="0" xfId="0" applyFont="1" applyFill="1" applyAlignment="1">
      <alignment horizontal="center" vertical="center"/>
    </xf>
    <xf numFmtId="0" fontId="72" fillId="20" borderId="1" xfId="0" applyFont="1" applyFill="1" applyBorder="1" applyAlignment="1">
      <alignment horizontal="center" vertical="center"/>
    </xf>
    <xf numFmtId="0" fontId="73" fillId="0" borderId="1" xfId="0" applyFont="1" applyBorder="1" applyAlignment="1">
      <alignment horizontal="center"/>
    </xf>
    <xf numFmtId="0" fontId="72" fillId="20" borderId="1" xfId="0" applyFont="1" applyFill="1" applyBorder="1" applyAlignment="1">
      <alignment horizontal="center" vertical="center" wrapText="1"/>
    </xf>
    <xf numFmtId="0" fontId="65" fillId="19" borderId="1" xfId="0" applyFont="1" applyFill="1" applyBorder="1" applyAlignment="1">
      <alignment horizontal="center" vertical="center"/>
    </xf>
    <xf numFmtId="0" fontId="74" fillId="0" borderId="1" xfId="0" applyFont="1" applyBorder="1" applyAlignment="1">
      <alignment horizontal="center" vertical="center"/>
    </xf>
    <xf numFmtId="0" fontId="41" fillId="0" borderId="18" xfId="0" applyFont="1" applyBorder="1" applyAlignment="1">
      <alignment horizontal="center" vertical="center" wrapText="1"/>
    </xf>
    <xf numFmtId="0" fontId="41" fillId="0" borderId="53" xfId="0" applyFont="1" applyBorder="1" applyAlignment="1">
      <alignment horizontal="center" vertical="center" wrapText="1"/>
    </xf>
    <xf numFmtId="0" fontId="41" fillId="0" borderId="27" xfId="0" applyFont="1" applyBorder="1" applyAlignment="1">
      <alignment horizontal="center" vertical="center" wrapText="1"/>
    </xf>
    <xf numFmtId="0" fontId="40" fillId="20" borderId="28" xfId="0" applyFont="1" applyFill="1" applyBorder="1" applyAlignment="1">
      <alignment horizontal="center" vertical="center" wrapText="1"/>
    </xf>
    <xf numFmtId="0" fontId="40" fillId="20" borderId="36" xfId="0" applyFont="1" applyFill="1" applyBorder="1" applyAlignment="1">
      <alignment horizontal="center" vertical="center" wrapText="1"/>
    </xf>
    <xf numFmtId="0" fontId="40" fillId="20" borderId="29" xfId="0" applyFont="1" applyFill="1" applyBorder="1" applyAlignment="1">
      <alignment horizontal="center" vertical="center" wrapText="1"/>
    </xf>
    <xf numFmtId="0" fontId="39" fillId="19" borderId="18" xfId="0" applyFont="1" applyFill="1" applyBorder="1" applyAlignment="1">
      <alignment horizontal="center" vertical="center"/>
    </xf>
    <xf numFmtId="0" fontId="39" fillId="19" borderId="53" xfId="0" applyFont="1" applyFill="1" applyBorder="1" applyAlignment="1">
      <alignment horizontal="center" vertical="center"/>
    </xf>
    <xf numFmtId="0" fontId="39" fillId="19" borderId="27" xfId="0" applyFont="1" applyFill="1" applyBorder="1" applyAlignment="1">
      <alignment horizontal="center" vertical="center"/>
    </xf>
  </cellXfs>
  <cellStyles count="3">
    <cellStyle name="60% - Accent1" xfId="2" builtinId="32"/>
    <cellStyle name="Normal" xfId="0" builtinId="0"/>
    <cellStyle name="Normal 2" xfId="1" xr:uid="{7E35E4ED-43F8-4C5C-9767-5748FE1328D5}"/>
  </cellStyles>
  <dxfs count="470">
    <dxf>
      <font>
        <b/>
        <color rgb="FF16A34A"/>
      </font>
      <fill>
        <patternFill patternType="solid">
          <bgColor rgb="FFDCFCE7"/>
        </patternFill>
      </fill>
    </dxf>
    <dxf>
      <font>
        <b/>
        <color rgb="FF92400E"/>
      </font>
      <fill>
        <patternFill patternType="solid">
          <bgColor rgb="FFFEF3C7"/>
        </patternFill>
      </fill>
    </dxf>
    <dxf>
      <font>
        <b/>
        <color rgb="FFC2410C"/>
      </font>
      <fill>
        <patternFill patternType="solid">
          <bgColor rgb="FFFFEDD5"/>
        </patternFill>
      </fill>
    </dxf>
    <dxf>
      <font>
        <b/>
        <color rgb="FFDC2626"/>
      </font>
      <fill>
        <patternFill patternType="solid">
          <bgColor rgb="FFFEE2E2"/>
        </patternFill>
      </fill>
    </dxf>
    <dxf>
      <font>
        <color rgb="FF008000"/>
      </font>
    </dxf>
    <dxf>
      <font>
        <color rgb="FFC00000"/>
      </font>
    </dxf>
    <dxf>
      <font>
        <color rgb="FF008000"/>
      </font>
    </dxf>
    <dxf>
      <font>
        <color rgb="FFC00000"/>
      </font>
    </dxf>
    <dxf>
      <font>
        <color rgb="FF008000"/>
      </font>
    </dxf>
    <dxf>
      <font>
        <color rgb="FFC00000"/>
      </font>
    </dxf>
    <dxf>
      <font>
        <color rgb="FF008000"/>
      </font>
    </dxf>
    <dxf>
      <font>
        <color rgb="FFC00000"/>
      </font>
    </dxf>
    <dxf>
      <font>
        <color rgb="FF008000"/>
      </font>
    </dxf>
    <dxf>
      <font>
        <color rgb="FFC00000"/>
      </font>
    </dxf>
    <dxf>
      <font>
        <color rgb="FF008000"/>
      </font>
    </dxf>
    <dxf>
      <font>
        <color rgb="FFC00000"/>
      </font>
    </dxf>
    <dxf>
      <font>
        <color rgb="FF9C0006"/>
      </font>
    </dxf>
    <dxf>
      <font>
        <color rgb="FF006100"/>
      </font>
    </dxf>
    <dxf>
      <font>
        <color rgb="FF008000"/>
      </font>
    </dxf>
    <dxf>
      <font>
        <color rgb="FFC00000"/>
      </font>
    </dxf>
    <dxf>
      <font>
        <color rgb="FF008000"/>
      </font>
    </dxf>
    <dxf>
      <font>
        <color rgb="FFC00000"/>
      </font>
    </dxf>
    <dxf>
      <fill>
        <patternFill patternType="solid">
          <bgColor rgb="FFE7E6E6"/>
        </patternFill>
      </fill>
    </dxf>
    <dxf>
      <fill>
        <patternFill patternType="solid">
          <bgColor rgb="FFFFF2CC"/>
        </patternFill>
      </fill>
    </dxf>
    <dxf>
      <fill>
        <patternFill patternType="solid">
          <bgColor rgb="FFE6F0FF"/>
        </patternFill>
      </fill>
    </dxf>
    <dxf>
      <font>
        <strike val="0"/>
        <outline val="0"/>
        <shadow val="0"/>
        <u val="none"/>
        <vertAlign val="baseline"/>
        <sz val="9"/>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rlito"/>
        <scheme val="none"/>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rlito"/>
        <scheme val="none"/>
      </font>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rlito"/>
        <scheme val="none"/>
      </font>
    </dxf>
    <dxf>
      <border>
        <bottom style="thin">
          <color indexed="64"/>
        </bottom>
      </border>
    </dxf>
    <dxf>
      <font>
        <strike val="0"/>
        <outline val="0"/>
        <shadow val="0"/>
        <u val="none"/>
        <vertAlign val="baseline"/>
        <sz val="9"/>
        <color theme="1" tint="4.9989318521683403E-2"/>
        <name val="Carlito"/>
        <scheme val="none"/>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rlito"/>
        <scheme val="none"/>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0"/>
        <name val="Carlito"/>
        <scheme val="none"/>
      </font>
    </dxf>
    <dxf>
      <font>
        <strike val="0"/>
        <outline val="0"/>
        <shadow val="0"/>
        <u val="none"/>
        <vertAlign val="baseline"/>
        <sz val="10"/>
        <name val="Carlito"/>
        <scheme val="none"/>
      </font>
    </dxf>
    <dxf>
      <font>
        <strike val="0"/>
        <outline val="0"/>
        <shadow val="0"/>
        <u val="none"/>
        <vertAlign val="baseline"/>
        <sz val="10"/>
        <name val="Carlito"/>
        <scheme val="none"/>
      </font>
    </dxf>
    <dxf>
      <font>
        <strike val="0"/>
        <outline val="0"/>
        <shadow val="0"/>
        <u val="none"/>
        <vertAlign val="baseline"/>
        <sz val="10"/>
        <name val="Carlito"/>
        <scheme val="none"/>
      </font>
    </dxf>
    <dxf>
      <font>
        <strike val="0"/>
        <outline val="0"/>
        <shadow val="0"/>
        <u val="none"/>
        <vertAlign val="baseline"/>
        <sz val="10"/>
        <name val="Carlito"/>
        <scheme val="none"/>
      </font>
    </dxf>
    <dxf>
      <font>
        <strike val="0"/>
        <outline val="0"/>
        <shadow val="0"/>
        <u val="none"/>
        <vertAlign val="baseline"/>
        <sz val="10"/>
        <name val="Carlito"/>
        <scheme val="none"/>
      </font>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Carlito"/>
        <scheme val="none"/>
      </font>
    </dxf>
    <dxf>
      <border>
        <bottom style="thin">
          <color indexed="64"/>
        </bottom>
      </border>
    </dxf>
    <dxf>
      <font>
        <strike val="0"/>
        <outline val="0"/>
        <shadow val="0"/>
        <u val="none"/>
        <vertAlign val="baseline"/>
        <sz val="10"/>
        <color theme="1" tint="4.9989318521683403E-2"/>
        <name val="Carlito"/>
        <scheme val="none"/>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0"/>
        <name val="Carlito"/>
        <scheme val="none"/>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rlito"/>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rlito"/>
        <scheme val="none"/>
      </font>
    </dxf>
    <dxf>
      <font>
        <strike val="0"/>
        <outline val="0"/>
        <shadow val="0"/>
        <u val="none"/>
        <vertAlign val="baseline"/>
        <sz val="10"/>
        <color theme="1" tint="4.9989318521683403E-2"/>
        <name val="Carlito"/>
        <scheme val="none"/>
      </font>
      <fill>
        <patternFill patternType="solid">
          <fgColor indexed="64"/>
          <bgColor rgb="FFFA4600"/>
        </patternFill>
      </fill>
      <border diagonalUp="0" diagonalDown="0" outline="0">
        <left style="thin">
          <color indexed="64"/>
        </left>
        <right style="thin">
          <color indexed="64"/>
        </right>
        <top/>
        <bottom/>
      </border>
    </dxf>
    <dxf>
      <font>
        <strike val="0"/>
        <outline val="0"/>
        <shadow val="0"/>
        <u val="none"/>
        <vertAlign val="baseline"/>
        <sz val="10"/>
        <name val="Carlito"/>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strike val="0"/>
        <outline val="0"/>
        <shadow val="0"/>
        <u val="none"/>
        <vertAlign val="baseline"/>
        <sz val="10"/>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0"/>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0"/>
        <name val="Carlito"/>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0"/>
        <name val="Carlito"/>
        <scheme val="none"/>
      </font>
      <border diagonalUp="0" diagonalDown="0">
        <left style="thin">
          <color indexed="64"/>
        </left>
        <right style="thin">
          <color indexed="64"/>
        </right>
        <top style="thin">
          <color indexed="64"/>
        </top>
        <bottom/>
        <vertical/>
        <horizontal/>
      </border>
    </dxf>
    <dxf>
      <font>
        <strike val="0"/>
        <outline val="0"/>
        <shadow val="0"/>
        <u val="none"/>
        <vertAlign val="baseline"/>
        <sz val="10"/>
        <name val="Carlito"/>
        <scheme val="none"/>
      </font>
      <border diagonalUp="0" diagonalDown="0">
        <left style="thin">
          <color indexed="64"/>
        </left>
        <right style="thin">
          <color indexed="64"/>
        </right>
        <top style="thin">
          <color indexed="64"/>
        </top>
        <bottom/>
        <vertical/>
        <horizontal/>
      </border>
    </dxf>
    <dxf>
      <font>
        <strike val="0"/>
        <outline val="0"/>
        <shadow val="0"/>
        <u val="none"/>
        <vertAlign val="baseline"/>
        <sz val="10"/>
        <name val="Carlito"/>
        <scheme val="none"/>
      </font>
      <border diagonalUp="0" diagonalDown="0">
        <left/>
        <right style="thin">
          <color indexed="64"/>
        </right>
        <top style="thin">
          <color indexed="64"/>
        </top>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Carlito"/>
        <scheme val="none"/>
      </font>
    </dxf>
    <dxf>
      <border>
        <bottom style="thin">
          <color indexed="64"/>
        </bottom>
      </border>
    </dxf>
    <dxf>
      <font>
        <strike val="0"/>
        <outline val="0"/>
        <shadow val="0"/>
        <u val="none"/>
        <vertAlign val="baseline"/>
        <sz val="10"/>
        <color theme="1" tint="4.9989318521683403E-2"/>
        <name val="Carlito"/>
        <scheme val="none"/>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0"/>
      </font>
      <border diagonalUp="0" diagonalDown="0">
        <left style="thin">
          <color indexed="64"/>
        </left>
        <right/>
        <top style="thin">
          <color indexed="64"/>
        </top>
        <bottom style="thin">
          <color indexed="64"/>
        </bottom>
        <vertical/>
        <horizontal/>
      </border>
    </dxf>
    <dxf>
      <font>
        <strike val="0"/>
        <outline val="0"/>
        <shadow val="0"/>
        <u val="none"/>
        <vertAlign val="baseline"/>
        <sz val="10"/>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font>
      <numFmt numFmtId="166" formatCode="[$-F800]dddd\,\ mmmm\ dd\,\ yyyy"/>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font>
    </dxf>
    <dxf>
      <border>
        <bottom style="thin">
          <color indexed="64"/>
        </bottom>
      </border>
    </dxf>
    <dxf>
      <font>
        <strike val="0"/>
        <outline val="0"/>
        <shadow val="0"/>
        <u val="none"/>
        <vertAlign val="baseline"/>
        <sz val="10"/>
        <color theme="1" tint="4.9989318521683403E-2"/>
        <name val="Carlito"/>
        <scheme val="none"/>
      </font>
      <fill>
        <patternFill patternType="solid">
          <fgColor indexed="64"/>
          <bgColor rgb="FFFA4600"/>
        </patternFill>
      </fill>
      <border diagonalUp="0" diagonalDown="0" outline="0">
        <left style="thin">
          <color indexed="64"/>
        </left>
        <right style="thin">
          <color indexed="64"/>
        </right>
        <top/>
        <bottom/>
      </border>
    </dxf>
    <dxf>
      <alignment horizontal="center" textRotation="0" indent="0" justifyLastLine="0" shrinkToFit="0" readingOrder="0"/>
      <border diagonalUp="0" diagonalDown="0" outline="0">
        <left style="thin">
          <color indexed="64"/>
        </left>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9"/>
        <color theme="1" tint="4.9989318521683403E-2"/>
        <name val="Aptos"/>
        <scheme val="none"/>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border diagonalUp="0" diagonalDown="0" outline="0">
        <left/>
        <right style="thin">
          <color indexed="64"/>
        </right>
        <top style="thin">
          <color indexed="64"/>
        </top>
        <bottom style="thin">
          <color indexed="64"/>
        </bottom>
      </border>
    </dxf>
    <dxf>
      <font>
        <strike val="0"/>
        <outline val="0"/>
        <shadow val="0"/>
        <u val="none"/>
        <vertAlign val="baseline"/>
        <sz val="9"/>
        <name val="Calibri"/>
        <family val="2"/>
        <scheme val="none"/>
      </font>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dxf>
    <dxf>
      <border>
        <bottom style="thin">
          <color indexed="64"/>
        </bottom>
      </border>
    </dxf>
    <dxf>
      <font>
        <strike val="0"/>
        <outline val="0"/>
        <shadow val="0"/>
        <u val="none"/>
        <vertAlign val="baseline"/>
        <sz val="9"/>
        <color theme="1" tint="4.9989318521683403E-2"/>
        <name val="Calibri"/>
        <family val="2"/>
        <scheme val="none"/>
      </font>
      <alignment vertical="center" textRotation="0" indent="0" justifyLastLine="0" shrinkToFit="0" readingOrder="0"/>
      <border diagonalUp="0" diagonalDown="0" outline="0">
        <left style="thin">
          <color indexed="64"/>
        </left>
        <right style="thin">
          <color indexed="64"/>
        </right>
        <top/>
        <bottom/>
      </border>
    </dxf>
    <dxf>
      <border diagonalUp="0" diagonalDown="0">
        <left style="thin">
          <color indexed="64"/>
        </left>
        <right/>
        <top/>
        <bottom/>
        <vertical/>
        <horizont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border diagonalUp="0" diagonalDown="0">
        <left/>
        <right style="thin">
          <color indexed="64"/>
        </right>
        <top/>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rlito"/>
        <scheme val="none"/>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9"/>
        <name val="Calibri"/>
        <family val="2"/>
        <scheme val="none"/>
      </font>
      <numFmt numFmtId="168" formatCode="&quot;$&quot;#,##0.00"/>
      <alignment horizontal="center" vertical="bottom"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name val="Calibri"/>
        <family val="2"/>
        <scheme val="none"/>
      </font>
      <numFmt numFmtId="168" formatCode="&quot;$&quot;#,##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border diagonalUp="0" diagonalDown="0" outline="0">
        <left style="medium">
          <color indexed="64"/>
        </left>
        <right style="medium">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9"/>
        <name val="Calibri"/>
        <family val="2"/>
        <scheme val="none"/>
      </font>
    </dxf>
    <dxf>
      <border>
        <bottom style="thin">
          <color indexed="64"/>
        </bottom>
      </border>
    </dxf>
    <dxf>
      <font>
        <b/>
        <i val="0"/>
        <strike val="0"/>
        <condense val="0"/>
        <extend val="0"/>
        <outline val="0"/>
        <shadow val="0"/>
        <u val="none"/>
        <vertAlign val="baseline"/>
        <sz val="9"/>
        <color theme="1" tint="4.9989318521683403E-2"/>
        <name val="Calibri"/>
        <family val="2"/>
        <scheme val="none"/>
      </font>
      <fill>
        <patternFill patternType="solid">
          <fgColor indexed="64"/>
          <bgColor rgb="FFFA4600"/>
        </patternFill>
      </fill>
      <alignment horizontal="left" vertical="bottom"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border diagonalUp="0" diagonalDown="0" outline="0">
        <left style="medium">
          <color indexed="64"/>
        </left>
        <right style="medium">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dxf>
    <dxf>
      <border>
        <bottom style="thin">
          <color indexed="64"/>
        </bottom>
      </border>
    </dxf>
    <dxf>
      <font>
        <b/>
        <strike val="0"/>
        <outline val="0"/>
        <shadow val="0"/>
        <u val="none"/>
        <vertAlign val="baseline"/>
        <sz val="9"/>
        <color theme="1" tint="4.9989318521683403E-2"/>
        <name val="Calibri"/>
        <family val="2"/>
        <scheme val="none"/>
      </font>
      <alignment vertical="center"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border diagonalUp="0" diagonalDown="0">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none"/>
      </font>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none"/>
      </font>
    </dxf>
    <dxf>
      <border>
        <bottom style="thin">
          <color indexed="64"/>
        </bottom>
      </border>
    </dxf>
    <dxf>
      <font>
        <strike val="0"/>
        <outline val="0"/>
        <shadow val="0"/>
        <u val="none"/>
        <vertAlign val="baseline"/>
        <sz val="9"/>
        <color theme="1" tint="4.9989318521683403E-2"/>
        <name val="Calibri"/>
        <family val="2"/>
        <scheme val="none"/>
      </font>
      <fill>
        <patternFill patternType="solid">
          <fgColor indexed="64"/>
          <bgColor rgb="FFFA4600"/>
        </patternFill>
      </fill>
      <alignment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numFmt numFmtId="164" formatCode="\$#,##0.00"/>
      <fill>
        <patternFill patternType="solid">
          <fgColor indexed="64"/>
          <bgColor rgb="FFF2F2F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4" formatCode="\$#,##0.00"/>
      <fill>
        <patternFill patternType="solid">
          <fgColor indexed="64"/>
          <bgColor rgb="FFE2F0D9"/>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4" formatCode="\$#,##0.00"/>
      <fill>
        <patternFill patternType="solid">
          <fgColor indexed="64"/>
          <bgColor rgb="FFD9EAF7"/>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4" formatCode="\$#,##0.00"/>
      <fill>
        <patternFill patternType="solid">
          <fgColor indexed="64"/>
          <bgColor rgb="FFF2F2F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4" formatCode="\$#,##0.00"/>
      <fill>
        <patternFill patternType="solid">
          <fgColor indexed="64"/>
          <bgColor rgb="FFE2F0D9"/>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4" formatCode="\$#,##0.00"/>
      <fill>
        <patternFill patternType="solid">
          <fgColor indexed="64"/>
          <bgColor rgb="FFD9EAF7"/>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numFmt numFmtId="166" formatCode="[$-F800]dddd\,\ mmmm\ dd\,\ yyyy"/>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name val="Calibri"/>
        <family val="2"/>
        <scheme val="major"/>
      </font>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major"/>
      </font>
    </dxf>
    <dxf>
      <border>
        <bottom style="thin">
          <color indexed="64"/>
        </bottom>
      </border>
    </dxf>
    <dxf>
      <font>
        <strike val="0"/>
        <outline val="0"/>
        <shadow val="0"/>
        <u val="none"/>
        <vertAlign val="baseline"/>
        <sz val="9"/>
        <name val="Calibri"/>
        <family val="2"/>
        <scheme val="major"/>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Carlito"/>
        <scheme val="none"/>
      </font>
      <numFmt numFmtId="164" formatCode="\$#,##0.00"/>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auto="1"/>
        <name val="Carlito"/>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numFmt numFmtId="164"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dxf>
    <dxf>
      <border>
        <bottom style="thin">
          <color indexed="64"/>
        </bottom>
      </border>
    </dxf>
    <dxf>
      <font>
        <b/>
        <i val="0"/>
        <strike val="0"/>
        <condense val="0"/>
        <extend val="0"/>
        <outline val="0"/>
        <shadow val="0"/>
        <u val="none"/>
        <vertAlign val="baseline"/>
        <sz val="9"/>
        <color theme="1" tint="4.9989318521683403E-2"/>
        <name val="Calibri"/>
        <family val="2"/>
        <scheme val="none"/>
      </font>
      <fill>
        <patternFill patternType="solid">
          <fgColor indexed="64"/>
          <bgColor rgb="FFFA460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Carlito"/>
        <scheme val="none"/>
      </font>
      <numFmt numFmtId="164" formatCode="\$#,##0.00"/>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auto="1"/>
        <name val="Carlito"/>
        <scheme val="none"/>
      </font>
      <numFmt numFmtId="164"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numFmt numFmtId="164"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rlito"/>
        <scheme val="none"/>
      </font>
    </dxf>
    <dxf>
      <border outline="0">
        <bottom style="thin">
          <color indexed="64"/>
        </bottom>
      </border>
    </dxf>
    <dxf>
      <font>
        <b/>
        <i val="0"/>
        <strike val="0"/>
        <condense val="0"/>
        <extend val="0"/>
        <outline val="0"/>
        <shadow val="0"/>
        <u val="none"/>
        <vertAlign val="baseline"/>
        <sz val="9"/>
        <color theme="1" tint="4.9989318521683403E-2"/>
        <name val="Calibri"/>
        <family val="2"/>
        <scheme val="none"/>
      </font>
      <fill>
        <patternFill patternType="solid">
          <fgColor indexed="64"/>
          <bgColor rgb="FFFA46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9"/>
      </font>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font>
      <alignment horizontal="center" textRotation="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family val="2"/>
      </font>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family val="2"/>
      </font>
    </dxf>
    <dxf>
      <border>
        <bottom style="thin">
          <color indexed="64"/>
        </bottom>
      </border>
    </dxf>
    <dxf>
      <font>
        <strike val="0"/>
        <outline val="0"/>
        <shadow val="0"/>
        <u val="none"/>
        <vertAlign val="baseline"/>
        <sz val="9"/>
        <color theme="1" tint="4.9989318521683403E-2"/>
        <name val="Calibri"/>
        <family val="2"/>
        <scheme val="none"/>
      </font>
      <fill>
        <patternFill patternType="solid">
          <fgColor indexed="64"/>
          <bgColor rgb="FFFA4600"/>
        </patternFill>
      </fill>
      <border diagonalUp="0" diagonalDown="0" outline="0">
        <left style="thin">
          <color indexed="64"/>
        </left>
        <right style="thin">
          <color indexed="64"/>
        </right>
        <top/>
        <bottom/>
      </border>
    </dxf>
    <dxf>
      <font>
        <strike val="0"/>
        <outline val="0"/>
        <shadow val="0"/>
        <u val="none"/>
        <vertAlign val="baseline"/>
        <sz val="9"/>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9" formatCode="d/mm/yyyy"/>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major"/>
      </font>
    </dxf>
    <dxf>
      <border>
        <bottom style="thin">
          <color indexed="64"/>
        </bottom>
      </border>
    </dxf>
    <dxf>
      <font>
        <strike val="0"/>
        <outline val="0"/>
        <shadow val="0"/>
        <u val="none"/>
        <vertAlign val="baseline"/>
        <sz val="9"/>
        <color theme="1" tint="4.9989318521683403E-2"/>
        <name val="Calibri"/>
        <family val="2"/>
        <scheme val="major"/>
      </font>
      <fill>
        <patternFill patternType="solid">
          <fgColor indexed="64"/>
          <bgColor rgb="FFFA460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67" formatCode="[$-F400]h:mm:ss\ AM/P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major"/>
      </font>
    </dxf>
    <dxf>
      <border>
        <bottom style="thin">
          <color indexed="64"/>
        </bottom>
      </border>
    </dxf>
    <dxf>
      <font>
        <b val="0"/>
        <strike val="0"/>
        <outline val="0"/>
        <shadow val="0"/>
        <u val="none"/>
        <vertAlign val="baseline"/>
        <sz val="9"/>
        <color theme="1" tint="4.9989318521683403E-2"/>
        <name val="Calibri"/>
        <family val="2"/>
        <scheme val="maj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0" formatCode="General"/>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167" formatCode="[$-F400]h:mm:ss\ AM/PM"/>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border diagonalUp="0" diagonalDown="0">
        <left/>
        <right style="thin">
          <color indexed="64"/>
        </right>
        <top/>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major"/>
      </font>
    </dxf>
    <dxf>
      <border>
        <bottom style="thin">
          <color indexed="64"/>
        </bottom>
      </border>
    </dxf>
    <dxf>
      <font>
        <strike val="0"/>
        <outline val="0"/>
        <shadow val="0"/>
        <u val="none"/>
        <vertAlign val="baseline"/>
        <sz val="9"/>
        <color theme="1" tint="4.9989318521683403E-2"/>
        <name val="Calibri"/>
        <family val="2"/>
        <scheme val="major"/>
      </font>
      <fill>
        <patternFill patternType="solid">
          <fgColor indexed="64"/>
          <bgColor rgb="FFFA4600"/>
        </patternFill>
      </fill>
      <border diagonalUp="0" diagonalDown="0" outline="0">
        <left style="thin">
          <color indexed="64"/>
        </left>
        <right style="thin">
          <color indexed="64"/>
        </right>
        <top/>
        <bottom/>
      </border>
    </dxf>
    <dxf>
      <font>
        <strike val="0"/>
        <outline val="0"/>
        <shadow val="0"/>
        <u val="none"/>
        <vertAlign val="baseline"/>
        <sz val="9"/>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major"/>
      </font>
    </dxf>
    <dxf>
      <border>
        <bottom style="thin">
          <color indexed="64"/>
        </bottom>
      </border>
    </dxf>
    <dxf>
      <font>
        <strike val="0"/>
        <outline val="0"/>
        <shadow val="0"/>
        <u val="none"/>
        <vertAlign val="baseline"/>
        <sz val="9"/>
        <color theme="1" tint="4.9989318521683403E-2"/>
        <name val="Calibri"/>
        <family val="2"/>
        <scheme val="maj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major"/>
      </font>
    </dxf>
    <dxf>
      <border>
        <bottom style="thin">
          <color indexed="64"/>
        </bottom>
      </border>
    </dxf>
    <dxf>
      <font>
        <strike val="0"/>
        <outline val="0"/>
        <shadow val="0"/>
        <u val="none"/>
        <vertAlign val="baseline"/>
        <sz val="9"/>
        <color theme="1" tint="4.9989318521683403E-2"/>
        <name val="Calibri"/>
        <family val="2"/>
        <scheme val="maj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9"/>
        <name val="Calibri"/>
        <family val="2"/>
        <scheme val="major"/>
      </font>
      <border diagonalUp="0" diagonalDown="0">
        <left style="thin">
          <color indexed="64"/>
        </left>
        <right/>
        <top style="thin">
          <color indexed="64"/>
        </top>
        <bottom style="thin">
          <color indexed="64"/>
        </bottom>
        <vertical/>
        <horizontal/>
      </border>
    </dxf>
    <dxf>
      <font>
        <strike val="0"/>
        <outline val="0"/>
        <shadow val="0"/>
        <u val="none"/>
        <vertAlign val="baseline"/>
        <sz val="9"/>
        <name val="Calibri"/>
        <family val="2"/>
        <scheme val="major"/>
      </font>
      <numFmt numFmtId="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9"/>
        <color auto="1"/>
        <name val="Calibri"/>
        <family val="2"/>
        <scheme val="major"/>
      </font>
      <numFmt numFmtId="0" formatCode="General"/>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auto="1"/>
        <name val="Calibri"/>
        <family val="2"/>
        <scheme val="major"/>
      </font>
    </dxf>
    <dxf>
      <border>
        <bottom style="thin">
          <color indexed="64"/>
        </bottom>
      </border>
    </dxf>
    <dxf>
      <font>
        <strike val="0"/>
        <outline val="0"/>
        <shadow val="0"/>
        <u val="none"/>
        <vertAlign val="baseline"/>
        <sz val="9"/>
        <color theme="1" tint="4.9989318521683403E-2"/>
        <name val="Calibri"/>
        <family val="2"/>
        <scheme val="maj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rgb="FFFFFFFF"/>
        <name val="Calibri"/>
        <family val="2"/>
        <scheme val="major"/>
      </font>
      <fill>
        <patternFill patternType="solid">
          <fgColor indexed="64"/>
          <bgColor rgb="FFFF4E00"/>
        </patternFill>
      </fill>
      <alignment horizontal="center"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rgb="FFFFFFFF"/>
        <name val="Calibri"/>
        <family val="2"/>
        <scheme val="major"/>
      </font>
      <numFmt numFmtId="168" formatCode="&quot;$&quot;#,##0.00"/>
      <fill>
        <patternFill patternType="solid">
          <fgColor indexed="64"/>
          <bgColor rgb="FFFF4E00"/>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167" formatCode="[$-F400]h:mm:ss\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general"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general"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general"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general"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general"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general"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auto="1"/>
        <name val="Calibri"/>
        <family val="2"/>
        <scheme val="major"/>
      </font>
      <alignment horizontal="general" vertical="center" textRotation="0" wrapText="0" indent="0" justifyLastLine="0" shrinkToFit="0" readingOrder="0"/>
      <border diagonalUp="0" diagonalDown="0">
        <left/>
        <right style="thin">
          <color indexed="64"/>
        </right>
        <top/>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major"/>
      </font>
      <alignment vertical="center" textRotation="0" indent="0" justifyLastLine="0" shrinkToFit="0" readingOrder="0"/>
    </dxf>
    <dxf>
      <border>
        <bottom style="thin">
          <color indexed="64"/>
        </bottom>
      </border>
    </dxf>
    <dxf>
      <font>
        <strike val="0"/>
        <outline val="0"/>
        <shadow val="0"/>
        <u val="none"/>
        <vertAlign val="baseline"/>
        <sz val="9"/>
        <color theme="1" tint="4.9989318521683403E-2"/>
        <name val="Calibri"/>
        <family val="2"/>
        <scheme val="maj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68"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dxf>
    <dxf>
      <font>
        <b val="0"/>
        <i val="0"/>
        <strike val="0"/>
        <condense val="0"/>
        <extend val="0"/>
        <outline val="0"/>
        <shadow val="0"/>
        <u val="none"/>
        <vertAlign val="baseline"/>
        <sz val="9"/>
        <color auto="1"/>
        <name val="Calibri"/>
        <family val="2"/>
        <scheme val="maj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67" formatCode="[$-F400]h:mm:ss\ AM/P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ajor"/>
      </font>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name val="Calibri"/>
        <family val="2"/>
        <scheme val="major"/>
      </font>
    </dxf>
    <dxf>
      <border>
        <bottom style="thin">
          <color indexed="64"/>
        </bottom>
      </border>
    </dxf>
    <dxf>
      <font>
        <strike val="0"/>
        <outline val="0"/>
        <shadow val="0"/>
        <u val="none"/>
        <vertAlign val="baseline"/>
        <sz val="9"/>
        <color theme="1" tint="4.9989318521683403E-2"/>
        <name val="Calibri"/>
        <family val="2"/>
        <scheme val="major"/>
      </font>
      <fill>
        <patternFill patternType="solid">
          <fgColor indexed="64"/>
          <bgColor rgb="FFFA4600"/>
        </patternFill>
      </fill>
      <border diagonalUp="0" diagonalDown="0" outline="0">
        <left style="thin">
          <color indexed="64"/>
        </left>
        <right style="thin">
          <color indexed="64"/>
        </right>
        <top/>
        <bottom/>
      </border>
    </dxf>
  </dxfs>
  <tableStyles count="0" defaultTableStyle="TableStyleMedium2" defaultPivotStyle="PivotStyleLight16"/>
  <colors>
    <mruColors>
      <color rgb="FFFA4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lang="en-AU"/>
              <a:t>Daily Forecast vs Actual ($)</a:t>
            </a:r>
          </a:p>
        </c:rich>
      </c:tx>
      <c:overlay val="1"/>
    </c:title>
    <c:autoTitleDeleted val="0"/>
    <c:plotArea>
      <c:layout/>
      <c:lineChart>
        <c:grouping val="standard"/>
        <c:varyColors val="1"/>
        <c:ser>
          <c:idx val="0"/>
          <c:order val="0"/>
          <c:tx>
            <c:v>Forecast</c:v>
          </c:tx>
          <c:marker>
            <c:symbol val="none"/>
          </c:marker>
          <c:cat>
            <c:strRef>
              <c:f>'Dashboard Data'!$A$2:$A$36</c:f>
              <c:strCache>
                <c:ptCount val="35"/>
                <c:pt idx="0">
                  <c:v>12 Jul</c:v>
                </c:pt>
                <c:pt idx="1">
                  <c:v>13 Jul</c:v>
                </c:pt>
                <c:pt idx="2">
                  <c:v>14 Jul</c:v>
                </c:pt>
                <c:pt idx="3">
                  <c:v>15 Jul</c:v>
                </c:pt>
                <c:pt idx="4">
                  <c:v>16 Jul</c:v>
                </c:pt>
                <c:pt idx="5">
                  <c:v>17 Jul</c:v>
                </c:pt>
                <c:pt idx="6">
                  <c:v>18 Jul</c:v>
                </c:pt>
                <c:pt idx="7">
                  <c:v>19 Jul</c:v>
                </c:pt>
                <c:pt idx="8">
                  <c:v>20 Jul</c:v>
                </c:pt>
                <c:pt idx="9">
                  <c:v>21 Jul</c:v>
                </c:pt>
                <c:pt idx="10">
                  <c:v>22 Jul</c:v>
                </c:pt>
                <c:pt idx="11">
                  <c:v>23 Jul</c:v>
                </c:pt>
                <c:pt idx="12">
                  <c:v>24 Jul</c:v>
                </c:pt>
                <c:pt idx="13">
                  <c:v>25 Jul</c:v>
                </c:pt>
                <c:pt idx="14">
                  <c:v>26 Jul</c:v>
                </c:pt>
                <c:pt idx="15">
                  <c:v>27 Jul</c:v>
                </c:pt>
                <c:pt idx="16">
                  <c:v>28 Jul</c:v>
                </c:pt>
                <c:pt idx="17">
                  <c:v>29 Jul</c:v>
                </c:pt>
                <c:pt idx="18">
                  <c:v>30 Jul</c:v>
                </c:pt>
                <c:pt idx="19">
                  <c:v>31 Jul</c:v>
                </c:pt>
                <c:pt idx="20">
                  <c:v>01 Aug</c:v>
                </c:pt>
                <c:pt idx="21">
                  <c:v>02 Aug</c:v>
                </c:pt>
                <c:pt idx="22">
                  <c:v>03 Aug</c:v>
                </c:pt>
                <c:pt idx="23">
                  <c:v>04 Aug</c:v>
                </c:pt>
                <c:pt idx="24">
                  <c:v>05 Aug</c:v>
                </c:pt>
                <c:pt idx="25">
                  <c:v>06 Aug</c:v>
                </c:pt>
                <c:pt idx="26">
                  <c:v>07 Aug</c:v>
                </c:pt>
                <c:pt idx="27">
                  <c:v>08 Aug</c:v>
                </c:pt>
                <c:pt idx="28">
                  <c:v>09 Aug</c:v>
                </c:pt>
                <c:pt idx="29">
                  <c:v>10 Aug</c:v>
                </c:pt>
                <c:pt idx="30">
                  <c:v>11 Aug</c:v>
                </c:pt>
                <c:pt idx="31">
                  <c:v>12 Aug</c:v>
                </c:pt>
                <c:pt idx="32">
                  <c:v>13 Aug</c:v>
                </c:pt>
                <c:pt idx="33">
                  <c:v>14 Aug</c:v>
                </c:pt>
                <c:pt idx="34">
                  <c:v>15 Aug</c:v>
                </c:pt>
              </c:strCache>
            </c:strRef>
          </c:cat>
          <c:val>
            <c:numRef>
              <c:f>'Dashboard Data'!$B$2:$B$36</c:f>
              <c:numCache>
                <c:formatCode>\$#,##0</c:formatCode>
                <c:ptCount val="35"/>
                <c:pt idx="0">
                  <c:v>2358.5</c:v>
                </c:pt>
                <c:pt idx="1">
                  <c:v>2828.5</c:v>
                </c:pt>
                <c:pt idx="2">
                  <c:v>2828.5</c:v>
                </c:pt>
                <c:pt idx="3">
                  <c:v>2828.5</c:v>
                </c:pt>
                <c:pt idx="4">
                  <c:v>2828.5</c:v>
                </c:pt>
                <c:pt idx="5">
                  <c:v>3725.2</c:v>
                </c:pt>
                <c:pt idx="6">
                  <c:v>1375.2</c:v>
                </c:pt>
                <c:pt idx="7">
                  <c:v>2134.6999999999998</c:v>
                </c:pt>
                <c:pt idx="8">
                  <c:v>62897.851999999948</c:v>
                </c:pt>
                <c:pt idx="9">
                  <c:v>18048.851999999948</c:v>
                </c:pt>
                <c:pt idx="10">
                  <c:v>18808.351999999948</c:v>
                </c:pt>
                <c:pt idx="11">
                  <c:v>18108.351999999948</c:v>
                </c:pt>
                <c:pt idx="12">
                  <c:v>19860.351999999948</c:v>
                </c:pt>
                <c:pt idx="13">
                  <c:v>20630.351999999948</c:v>
                </c:pt>
                <c:pt idx="14">
                  <c:v>21530.351999999948</c:v>
                </c:pt>
                <c:pt idx="15">
                  <c:v>21530.351999999948</c:v>
                </c:pt>
                <c:pt idx="16">
                  <c:v>21530.351999999948</c:v>
                </c:pt>
                <c:pt idx="17">
                  <c:v>21530.351999999948</c:v>
                </c:pt>
                <c:pt idx="18">
                  <c:v>21530.351999999948</c:v>
                </c:pt>
                <c:pt idx="19">
                  <c:v>21530.351999999948</c:v>
                </c:pt>
                <c:pt idx="20">
                  <c:v>20630.351999999948</c:v>
                </c:pt>
                <c:pt idx="21">
                  <c:v>20630.351999999948</c:v>
                </c:pt>
                <c:pt idx="22">
                  <c:v>21530.351999999948</c:v>
                </c:pt>
                <c:pt idx="23">
                  <c:v>21530.351999999948</c:v>
                </c:pt>
                <c:pt idx="24">
                  <c:v>21530.351999999948</c:v>
                </c:pt>
                <c:pt idx="25">
                  <c:v>21530.351999999948</c:v>
                </c:pt>
                <c:pt idx="26">
                  <c:v>21530.351999999948</c:v>
                </c:pt>
                <c:pt idx="27">
                  <c:v>21530.351999999948</c:v>
                </c:pt>
                <c:pt idx="28">
                  <c:v>21530.351999999948</c:v>
                </c:pt>
                <c:pt idx="29">
                  <c:v>21530.351999999948</c:v>
                </c:pt>
                <c:pt idx="30">
                  <c:v>21530.351999999948</c:v>
                </c:pt>
                <c:pt idx="31">
                  <c:v>6766.2</c:v>
                </c:pt>
                <c:pt idx="32">
                  <c:v>5247.2</c:v>
                </c:pt>
                <c:pt idx="33">
                  <c:v>3458</c:v>
                </c:pt>
                <c:pt idx="34">
                  <c:v>47967</c:v>
                </c:pt>
              </c:numCache>
            </c:numRef>
          </c:val>
          <c:smooth val="1"/>
          <c:extLst>
            <c:ext xmlns:c16="http://schemas.microsoft.com/office/drawing/2014/chart" uri="{C3380CC4-5D6E-409C-BE32-E72D297353CC}">
              <c16:uniqueId val="{00000000-7D8E-4703-9A9C-465F384BBADE}"/>
            </c:ext>
          </c:extLst>
        </c:ser>
        <c:ser>
          <c:idx val="1"/>
          <c:order val="1"/>
          <c:tx>
            <c:v>Actual</c:v>
          </c:tx>
          <c:marker>
            <c:symbol val="none"/>
          </c:marker>
          <c:cat>
            <c:strRef>
              <c:f>'Dashboard Data'!$A$2:$A$36</c:f>
              <c:strCache>
                <c:ptCount val="35"/>
                <c:pt idx="0">
                  <c:v>12 Jul</c:v>
                </c:pt>
                <c:pt idx="1">
                  <c:v>13 Jul</c:v>
                </c:pt>
                <c:pt idx="2">
                  <c:v>14 Jul</c:v>
                </c:pt>
                <c:pt idx="3">
                  <c:v>15 Jul</c:v>
                </c:pt>
                <c:pt idx="4">
                  <c:v>16 Jul</c:v>
                </c:pt>
                <c:pt idx="5">
                  <c:v>17 Jul</c:v>
                </c:pt>
                <c:pt idx="6">
                  <c:v>18 Jul</c:v>
                </c:pt>
                <c:pt idx="7">
                  <c:v>19 Jul</c:v>
                </c:pt>
                <c:pt idx="8">
                  <c:v>20 Jul</c:v>
                </c:pt>
                <c:pt idx="9">
                  <c:v>21 Jul</c:v>
                </c:pt>
                <c:pt idx="10">
                  <c:v>22 Jul</c:v>
                </c:pt>
                <c:pt idx="11">
                  <c:v>23 Jul</c:v>
                </c:pt>
                <c:pt idx="12">
                  <c:v>24 Jul</c:v>
                </c:pt>
                <c:pt idx="13">
                  <c:v>25 Jul</c:v>
                </c:pt>
                <c:pt idx="14">
                  <c:v>26 Jul</c:v>
                </c:pt>
                <c:pt idx="15">
                  <c:v>27 Jul</c:v>
                </c:pt>
                <c:pt idx="16">
                  <c:v>28 Jul</c:v>
                </c:pt>
                <c:pt idx="17">
                  <c:v>29 Jul</c:v>
                </c:pt>
                <c:pt idx="18">
                  <c:v>30 Jul</c:v>
                </c:pt>
                <c:pt idx="19">
                  <c:v>31 Jul</c:v>
                </c:pt>
                <c:pt idx="20">
                  <c:v>01 Aug</c:v>
                </c:pt>
                <c:pt idx="21">
                  <c:v>02 Aug</c:v>
                </c:pt>
                <c:pt idx="22">
                  <c:v>03 Aug</c:v>
                </c:pt>
                <c:pt idx="23">
                  <c:v>04 Aug</c:v>
                </c:pt>
                <c:pt idx="24">
                  <c:v>05 Aug</c:v>
                </c:pt>
                <c:pt idx="25">
                  <c:v>06 Aug</c:v>
                </c:pt>
                <c:pt idx="26">
                  <c:v>07 Aug</c:v>
                </c:pt>
                <c:pt idx="27">
                  <c:v>08 Aug</c:v>
                </c:pt>
                <c:pt idx="28">
                  <c:v>09 Aug</c:v>
                </c:pt>
                <c:pt idx="29">
                  <c:v>10 Aug</c:v>
                </c:pt>
                <c:pt idx="30">
                  <c:v>11 Aug</c:v>
                </c:pt>
                <c:pt idx="31">
                  <c:v>12 Aug</c:v>
                </c:pt>
                <c:pt idx="32">
                  <c:v>13 Aug</c:v>
                </c:pt>
                <c:pt idx="33">
                  <c:v>14 Aug</c:v>
                </c:pt>
                <c:pt idx="34">
                  <c:v>15 Aug</c:v>
                </c:pt>
              </c:strCache>
            </c:strRef>
          </c:cat>
          <c:val>
            <c:numRef>
              <c:f>'Dashboard Data'!$C$2:$C$36</c:f>
              <c:numCache>
                <c:formatCode>\$#,##0</c:formatCode>
                <c:ptCount val="35"/>
                <c:pt idx="0">
                  <c:v>2358.5</c:v>
                </c:pt>
                <c:pt idx="1">
                  <c:v>2828.5</c:v>
                </c:pt>
                <c:pt idx="2">
                  <c:v>2828.5</c:v>
                </c:pt>
                <c:pt idx="3">
                  <c:v>2828.5</c:v>
                </c:pt>
                <c:pt idx="4">
                  <c:v>3126.19</c:v>
                </c:pt>
                <c:pt idx="5">
                  <c:v>4119.3500000000004</c:v>
                </c:pt>
                <c:pt idx="6">
                  <c:v>1769.35</c:v>
                </c:pt>
                <c:pt idx="7">
                  <c:v>2528.85</c:v>
                </c:pt>
                <c:pt idx="8">
                  <c:v>12320.980000000001</c:v>
                </c:pt>
                <c:pt idx="9">
                  <c:v>13802.550000000001</c:v>
                </c:pt>
                <c:pt idx="10">
                  <c:v>12731.99</c:v>
                </c:pt>
                <c:pt idx="11">
                  <c:v>12614.95</c:v>
                </c:pt>
                <c:pt idx="12">
                  <c:v>14366.95</c:v>
                </c:pt>
                <c:pt idx="13">
                  <c:v>15486.800000000001</c:v>
                </c:pt>
                <c:pt idx="14">
                  <c:v>16396.7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mooth val="1"/>
          <c:extLst>
            <c:ext xmlns:c16="http://schemas.microsoft.com/office/drawing/2014/chart" uri="{C3380CC4-5D6E-409C-BE32-E72D297353CC}">
              <c16:uniqueId val="{00000001-7D8E-4703-9A9C-465F384BBADE}"/>
            </c:ext>
          </c:extLst>
        </c:ser>
        <c:dLbls>
          <c:showLegendKey val="0"/>
          <c:showVal val="0"/>
          <c:showCatName val="0"/>
          <c:showSerName val="0"/>
          <c:showPercent val="0"/>
          <c:showBubbleSize val="0"/>
        </c:dLbls>
        <c:smooth val="0"/>
        <c:axId val="48650112"/>
        <c:axId val="48672768"/>
      </c:lineChart>
      <c:catAx>
        <c:axId val="48650112"/>
        <c:scaling>
          <c:orientation val="minMax"/>
        </c:scaling>
        <c:delete val="0"/>
        <c:axPos val="b"/>
        <c:majorGridlines>
          <c:spPr>
            <a:ln w="9525">
              <a:solidFill>
                <a:srgbClr val="CCCCCC"/>
              </a:solidFill>
              <a:prstDash val="dash"/>
            </a:ln>
          </c:spPr>
        </c:majorGridlines>
        <c:numFmt formatCode="General" sourceLinked="1"/>
        <c:majorTickMark val="none"/>
        <c:minorTickMark val="none"/>
        <c:tickLblPos val="nextTo"/>
        <c:txPr>
          <a:bodyPr anchorCtr="1"/>
          <a:lstStyle/>
          <a:p>
            <a:pPr>
              <a:defRPr sz="600"/>
            </a:pPr>
            <a:endParaRPr lang="en-US"/>
          </a:p>
        </c:txPr>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numFmt formatCode="\$#,##0" sourceLinked="1"/>
        <c:majorTickMark val="none"/>
        <c:minorTickMark val="none"/>
        <c:tickLblPos val="nextTo"/>
        <c:txPr>
          <a:bodyPr anchorCtr="1"/>
          <a:lstStyle/>
          <a:p>
            <a:pPr>
              <a:defRPr sz="600"/>
            </a:pPr>
            <a:endParaRPr lang="en-US"/>
          </a:p>
        </c:txPr>
        <c:crossAx val="48650112"/>
        <c:crosses val="autoZero"/>
        <c:crossBetween val="between"/>
      </c:valAx>
    </c:plotArea>
    <c:legend>
      <c:legendPos val="b"/>
      <c:overlay val="0"/>
    </c:legend>
    <c:plotVisOnly val="1"/>
    <c:dispBlanksAs val="gap"/>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0</xdr:colOff>
      <xdr:row>23</xdr:row>
      <xdr:rowOff>0</xdr:rowOff>
    </xdr:from>
    <xdr:to>
      <xdr:col>12</xdr:col>
      <xdr:colOff>0</xdr:colOff>
      <xdr:row>40</xdr:row>
      <xdr:rowOff>0</xdr:rowOff>
    </xdr:to>
    <xdr:graphicFrame macro="">
      <xdr:nvGraphicFramePr>
        <xdr:cNvPr id="2" name="Chart">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 xr16:uid="{00000000-0016-0000-0000-000000000000}" autoFormatId="16" applyNumberFormats="0" applyBorderFormats="0" applyFontFormats="0" applyPatternFormats="0" applyAlignmentFormats="0" applyWidthHeightFormats="0">
  <queryTableRefresh nextId="29">
    <queryTableFields count="12">
      <queryTableField id="7" name="Company" tableColumnId="7"/>
      <queryTableField id="8" name="Hirer" tableColumnId="8"/>
      <queryTableField id="9" name="Company + Hirer Key" tableColumnId="9"/>
      <queryTableField id="12" name="Barcode" tableColumnId="12"/>
      <queryTableField id="13" name="Original Description" tableColumnId="13"/>
      <queryTableField id="14" name="On Hire Date" tableColumnId="14"/>
      <queryTableField id="15" name="On Hire Time" tableColumnId="15"/>
      <queryTableField id="16" name="Days On Hire" tableColumnId="16"/>
      <queryTableField id="27" name="Daily Hire Rate" tableColumnId="2"/>
      <queryTableField id="25" name="Replacement Fee" tableColumnId="1"/>
      <queryTableField id="5" name="Age Bucket" tableColumnId="5"/>
      <queryTableField id="6" name="Daily Return Target"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9" xr16:uid="{00000000-0016-0000-0100-000001000000}" autoFormatId="16" applyNumberFormats="0" applyBorderFormats="0" applyFontFormats="0" applyPatternFormats="0" applyAlignmentFormats="0" applyWidthHeightFormats="0">
  <queryTableRefresh nextId="34">
    <queryTableFields count="15">
      <queryTableField id="6" name="Company" tableColumnId="6"/>
      <queryTableField id="7" name="Hirer" tableColumnId="7"/>
      <queryTableField id="26" name="Asset Type ID" tableColumnId="2"/>
      <queryTableField id="27" name="Radio Type" tableColumnId="3"/>
      <queryTableField id="28" name="Radio Group" tableColumnId="8"/>
      <queryTableField id="10" name="Barcode" tableColumnId="10"/>
      <queryTableField id="11" name="Original Description" tableColumnId="11"/>
      <queryTableField id="12" name="Item Status" tableColumnId="12"/>
      <queryTableField id="13" name="On Hire Date" tableColumnId="13"/>
      <queryTableField id="14" name="On Hire Time" tableColumnId="14"/>
      <queryTableField id="15" name="Days On Hire" tableColumnId="15"/>
      <queryTableField id="4" name="Age Bucket" tableColumnId="4"/>
      <queryTableField id="29" name="Daily Hire Rate" tableColumnId="9"/>
      <queryTableField id="16" name="Replacement Cost" tableColumnId="1"/>
      <queryTableField id="5" name="Daily Return Target"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13" xr16:uid="{00000000-0016-0000-0300-000003000000}" autoFormatId="16" applyNumberFormats="0" applyBorderFormats="0" applyFontFormats="0" applyPatternFormats="0" applyAlignmentFormats="0" applyWidthHeightFormats="0">
  <queryTableRefresh nextId="38">
    <queryTableFields count="36">
      <queryTableField id="1" name="Cost Priority" tableColumnId="1"/>
      <queryTableField id="2" name="Idle Status" tableColumnId="2"/>
      <queryTableField id="3" name="Usage Status" tableColumnId="3"/>
      <queryTableField id="4" name="Recommendation" tableColumnId="4"/>
      <queryTableField id="5" name="Current Charge Status" tableColumnId="5"/>
      <queryTableField id="6" name="Plant Equipment Group" tableColumnId="6"/>
      <queryTableField id="36" name="Asset Type ID" tableColumnId="36"/>
      <queryTableField id="7" name="Product Variant ID" tableColumnId="7"/>
      <queryTableField id="8" name="Product" tableColumnId="8"/>
      <queryTableField id="9" name="Product Family" tableColumnId="9"/>
      <queryTableField id="10" name="Item Description" tableColumnId="10"/>
      <queryTableField id="11" name="Barcode" tableColumnId="11"/>
      <queryTableField id="12" name="Item Status" tableColumnId="12"/>
      <queryTableField id="13" name="Company" tableColumnId="13"/>
      <queryTableField id="14" name="Hirer" tableColumnId="14"/>
      <queryTableField id="15" name="Site Plant Equipment Date" tableColumnId="15"/>
      <queryTableField id="16" name="Site Plant Equipment Time" tableColumnId="16"/>
      <queryTableField id="17" name="Days On Site Plant Equipment" tableColumnId="17"/>
      <queryTableField id="18" name="Tool Store" tableColumnId="18"/>
      <queryTableField id="19" name="Storage Unit" tableColumnId="19"/>
      <queryTableField id="20" name="Owner" tableColumnId="20"/>
      <queryTableField id="21" name="Daily Client Cost" tableColumnId="21"/>
      <queryTableField id="22" name="Weekly Client Cost" tableColumnId="22"/>
      <queryTableField id="23" name="Monthly Client Cost" tableColumnId="23"/>
      <queryTableField id="24" name="Cost While On Site Plant Equipment" tableColumnId="24"/>
      <queryTableField id="25" name="Idle Cost Exposure Since Last Use" tableColumnId="25"/>
      <queryTableField id="26" name="Has Been Used" tableColumnId="26"/>
      <queryTableField id="27" name="Total Transactions" tableColumnId="27"/>
      <queryTableField id="28" name="Unique Hirers" tableColumnId="28"/>
      <queryTableField id="29" name="First Hire Start Date" tableColumnId="29"/>
      <queryTableField id="30" name="Last Hire Start Date" tableColumnId="30"/>
      <queryTableField id="31" name="Last Hire End Date" tableColumnId="31"/>
      <queryTableField id="32" name="Last Used Date" tableColumnId="32"/>
      <queryTableField id="33" name="Days Since Last Use" tableColumnId="33"/>
      <queryTableField id="34" name="Report Start Date" tableColumnId="34"/>
      <queryTableField id="35" name="Report End Date" tableColumnId="3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14" xr16:uid="{00000000-0016-0000-0400-000004000000}" autoFormatId="16" applyNumberFormats="0" applyBorderFormats="0" applyFontFormats="0" applyPatternFormats="0" applyAlignmentFormats="0" applyWidthHeightFormats="0">
  <queryTableRefresh nextId="27">
    <queryTableFields count="12">
      <queryTableField id="5" name="Company" tableColumnId="5"/>
      <queryTableField id="6" name="Hirer" tableColumnId="6"/>
      <queryTableField id="25" name="Asset Type ID" tableColumnId="1"/>
      <queryTableField id="12" name="Item Description" tableColumnId="12"/>
      <queryTableField id="13" name="Barcode" tableColumnId="13"/>
      <queryTableField id="14" name="Item Status" tableColumnId="14"/>
      <queryTableField id="15" name="On Hire Date" tableColumnId="15"/>
      <queryTableField id="16" name="On Hire Time" tableColumnId="16"/>
      <queryTableField id="17" name="Days On Hire" tableColumnId="17"/>
      <queryTableField id="21" name="Daily Client Cost" tableColumnId="21"/>
      <queryTableField id="22" name="Weekly Client Cost" tableColumnId="22"/>
      <queryTableField id="24" name="Current Allocation Cost To Date" tableColumnId="2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2" xr16:uid="{00000000-0016-0000-0500-000005000000}" autoFormatId="16" applyNumberFormats="0" applyBorderFormats="0" applyFontFormats="0" applyPatternFormats="0" applyAlignmentFormats="0" applyWidthHeightFormats="0">
  <queryTableRefresh nextId="30">
    <queryTableFields count="15">
      <queryTableField id="6" name="Company" tableColumnId="6"/>
      <queryTableField id="7" name="Hirer" tableColumnId="7"/>
      <queryTableField id="8" name="Barcode" tableColumnId="8"/>
      <queryTableField id="9" name="Milwaukee Group" tableColumnId="9"/>
      <queryTableField id="10" name="On Hire Date" tableColumnId="10"/>
      <queryTableField id="11" name="On Hire Time" tableColumnId="11"/>
      <queryTableField id="12" name="Days On Hire" tableColumnId="12"/>
      <queryTableField id="13" name="Daily Client Cost" tableColumnId="1"/>
      <queryTableField id="14" name="Weekly Client Cost" tableColumnId="2"/>
      <queryTableField id="15" name="Current On-Hire Cost To Date" tableColumnId="3"/>
      <queryTableField id="16" name="Replacement Cost" tableColumnId="13"/>
      <queryTableField id="4" name="Age Bucket" tableColumnId="4"/>
      <queryTableField id="5" name="Daily Return Target" tableColumnId="5"/>
      <queryTableField id="28" name="Milwaukee Model" tableColumnId="14"/>
      <queryTableField id="29" name="Market Replacement Price" tableColumnId="1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1" xr16:uid="{00000000-0016-0000-0600-000006000000}" autoFormatId="16" applyNumberFormats="0" applyBorderFormats="0" applyFontFormats="0" applyPatternFormats="0" applyAlignmentFormats="0" applyWidthHeightFormats="0">
  <queryTableRefresh nextId="52">
    <queryTableFields count="9">
      <queryTableField id="30" name="Company" tableColumnId="23"/>
      <queryTableField id="31" name="Hirer" tableColumnId="24"/>
      <queryTableField id="32" name="Barcode" tableColumnId="25"/>
      <queryTableField id="16" name="Milwaukee Group" tableColumnId="16"/>
      <queryTableField id="33" name="On Hire Date" tableColumnId="26"/>
      <queryTableField id="34" name="On Hire Time" tableColumnId="27"/>
      <queryTableField id="17" name="Days On Hire" tableColumnId="17"/>
      <queryTableField id="28" name="Age Bucket" tableColumnId="21"/>
      <queryTableField id="29" name="Daily Return Target"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00000000-0016-0000-0700-000007000000}" autoFormatId="16" applyNumberFormats="0" applyBorderFormats="0" applyFontFormats="0" applyPatternFormats="0" applyAlignmentFormats="0" applyWidthHeightFormats="0">
  <queryTableRefresh nextId="48">
    <queryTableFields count="18">
      <queryTableField id="26" name="Report Start Date" tableColumnId="26"/>
      <queryTableField id="27" name="Report End Date" tableColumnId="27"/>
      <queryTableField id="28" name="Days In Report Period" tableColumnId="28"/>
      <queryTableField id="38" name="Storage Unit" tableColumnId="1"/>
      <queryTableField id="16" name="Equipment Group" tableColumnId="16"/>
      <queryTableField id="46" name="Asset Type ID" tableColumnId="5"/>
      <queryTableField id="17" name="Total Qty" tableColumnId="17"/>
      <queryTableField id="18" name="Qty On Hire" tableColumnId="18"/>
      <queryTableField id="19" name="Qty Available" tableColumnId="19"/>
      <queryTableField id="20" name="Live Utilisation %" tableColumnId="20"/>
      <queryTableField id="39" name="Unit Daily Rate (Avg)" tableColumnId="2"/>
      <queryTableField id="40" name="Daily Hire Value On Hire" tableColumnId="3"/>
      <queryTableField id="41" name="Est Period Hire Value" tableColumnId="4"/>
      <queryTableField id="21" name="Total Transactions" tableColumnId="21"/>
      <queryTableField id="34" name="Unique Assets Used" tableColumnId="30"/>
      <queryTableField id="35" name="Unique Hirers" tableColumnId="31"/>
      <queryTableField id="29" name="Period Utilisation %" tableColumnId="29"/>
      <queryTableField id="25" name="Recommendation" tableColumnId="2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98BDBB5-8EE8-4202-A394-DFA826B273DA}" autoFormatId="0" applyNumberFormats="0" applyBorderFormats="0" applyFontFormats="1" applyPatternFormats="1" applyAlignmentFormats="0" applyWidthHeightFormats="0">
  <queryTableRefresh nextId="9">
    <queryTableFields count="8">
      <queryTableField id="1" name="Asset Number" tableColumnId="9"/>
      <queryTableField id="2" name="Description" tableColumnId="10"/>
      <queryTableField id="3" name="Product Variant" tableColumnId="11"/>
      <queryTableField id="4" name="Status" tableColumnId="12"/>
      <queryTableField id="5" name="Company" tableColumnId="13"/>
      <queryTableField id="6" name="Hirer" tableColumnId="14"/>
      <queryTableField id="7" name="On-Hire Date" tableColumnId="15"/>
      <queryTableField id="8" name="Variance" tableColumnId="1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 xr16:uid="{ED9AE2F6-27E4-4FF2-98F3-B247FDBA1DC2}" autoFormatId="0" applyNumberFormats="0" applyBorderFormats="0" applyFontFormats="1" applyPatternFormats="1" applyAlignmentFormats="0" applyWidthHeightFormats="0">
  <queryTableRefresh nextId="5">
    <queryTableFields count="4">
      <queryTableField id="1" name="Date" tableColumnId="5"/>
      <queryTableField id="2" name="Storage Unit" tableColumnId="6"/>
      <queryTableField id="3" name="Items Sighted" tableColumnId="7"/>
      <queryTableField id="4" name="Counted By" tableColumnId="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F5BAF6C8-1774-4DF0-8A94-3A24599551A2}" autoFormatId="0" applyNumberFormats="0" applyBorderFormats="0" applyFontFormats="1" applyPatternFormats="1" applyAlignmentFormats="0" applyWidthHeightFormats="0">
  <queryTableRefresh preserveSortFilterLayout="0" nextId="8">
    <queryTableFields count="7">
      <queryTableField id="1" name="Storage Unit" tableColumnId="8"/>
      <queryTableField id="2" name="SKU" tableColumnId="9"/>
      <queryTableField id="3" name="Description" tableColumnId="10"/>
      <queryTableField id="4" name="Available Qty" tableColumnId="11"/>
      <queryTableField id="5" name="Minimum Qty" tableColumnId="12"/>
      <queryTableField id="6" name="Reorder Qty" tableColumnId="13"/>
      <queryTableField id="7" name="Status"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6BD05C10-4C3E-4830-A5D9-75F638FA6384}" autoFormatId="0" applyNumberFormats="0" applyBorderFormats="0" applyFontFormats="1" applyPatternFormats="1" applyAlignmentFormats="0" applyWidthHeightFormats="0">
  <queryTableRefresh preserveSortFilterLayout="0" nextId="8">
    <queryTableFields count="7">
      <queryTableField id="1" name="Description" tableColumnId="8"/>
      <queryTableField id="2" name="Available Stock" tableColumnId="9"/>
      <queryTableField id="3" name="Total Taken" tableColumnId="10"/>
      <queryTableField id="4" name="Total Returned" tableColumnId="11"/>
      <queryTableField id="5" name="Unique Companies" tableColumnId="12"/>
      <queryTableField id="6" name="Unique Hirers" tableColumnId="13"/>
      <queryTableField id="7" name="Utilisation %"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7FFBA743-2A4A-446A-A91D-E9D655E7F967}" autoFormatId="0" applyNumberFormats="0" applyBorderFormats="0" applyFontFormats="1" applyPatternFormats="1" applyAlignmentFormats="0" applyWidthHeightFormats="0">
  <queryTableRefresh preserveSortFilterLayout="0" nextId="7">
    <queryTableFields count="6">
      <queryTableField id="1" name="Company" tableColumnId="7"/>
      <queryTableField id="2" name="Hirer" tableColumnId="8"/>
      <queryTableField id="3" name="Description" tableColumnId="9"/>
      <queryTableField id="4" name="Qty Taken" tableColumnId="10"/>
      <queryTableField id="5" name="Sales Date" tableColumnId="11"/>
      <queryTableField id="6" name="Sales Time" tableColumnId="1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8F0635D1-FEAD-451D-AB82-75A238EC6B25}" autoFormatId="0" applyNumberFormats="0" applyBorderFormats="0" applyFontFormats="1" applyPatternFormats="1" applyAlignmentFormats="0" applyWidthHeightFormats="0">
  <queryTableRefresh preserveSortFilterLayout="0" nextId="9">
    <queryTableFields count="8">
      <queryTableField id="1" name="Company" tableColumnId="9"/>
      <queryTableField id="2" name="Unique Hirers" tableColumnId="10"/>
      <queryTableField id="3" name="Transactions" tableColumnId="11"/>
      <queryTableField id="4" name="Items On Hire" tableColumnId="12"/>
      <queryTableField id="5" name="Cumulative Days On Hire" tableColumnId="13"/>
      <queryTableField id="6" name="Est. Hire Spend $" tableColumnId="14"/>
      <queryTableField id="7" name="Consumables Qty" tableColumnId="15"/>
      <queryTableField id="8" name="Spend per Hirer $" tableColumnId="1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34DE8761-8773-45AD-88E6-1DEAD68602F1}" autoFormatId="0" applyNumberFormats="0" applyBorderFormats="0" applyFontFormats="1" applyPatternFormats="1" applyAlignmentFormats="0" applyWidthHeightFormats="0">
  <queryTableRefresh preserveSortFilterLayout="0" nextId="7">
    <queryTableFields count="6">
      <queryTableField id="1" name="Storage Unit" tableColumnId="7"/>
      <queryTableField id="2" name="Items" tableColumnId="8"/>
      <queryTableField id="3" name="Sighted &lt;= 3 Days" tableColumnId="9"/>
      <queryTableField id="4" name="Sighted &lt;= 7 Days" tableColumnId="10"/>
      <queryTableField id="5" name="% Sighted &lt;= 7 Days" tableColumnId="11"/>
      <queryTableField id="6" name="Status"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D2C038-3281-48A4-A421-7ACBAAAFF9C6}" name="Gas_Monitors_Onhire" displayName="Gas_Monitors_Onhire" ref="A1:L9" tableType="queryTable" totalsRowShown="0" headerRowDxfId="469" dataDxfId="467" headerRowBorderDxfId="468" tableBorderDxfId="466" totalsRowBorderDxfId="465">
  <autoFilter ref="A1:L9" xr:uid="{95D2C038-3281-48A4-A421-7ACBAAAFF9C6}"/>
  <tableColumns count="12">
    <tableColumn id="7" xr3:uid="{5A4ED9E7-401E-45D5-BF31-9F557B6CA911}" uniqueName="7" name="Company" queryTableFieldId="7" dataDxfId="464"/>
    <tableColumn id="8" xr3:uid="{B6558435-3C23-4B9F-A996-696F7B6BAEB9}" uniqueName="8" name="Hirer" queryTableFieldId="8" dataDxfId="463"/>
    <tableColumn id="9" xr3:uid="{73A47A2D-B9B2-4923-A8EC-F04878B4A1D6}" uniqueName="9" name="Company + Hirer Key" queryTableFieldId="9" dataDxfId="462"/>
    <tableColumn id="12" xr3:uid="{3E4822DB-8A8E-42B9-BD87-278BEFB95174}" uniqueName="12" name="Barcode" queryTableFieldId="12" dataDxfId="461"/>
    <tableColumn id="13" xr3:uid="{E0BEB26A-FA05-4790-853B-F9C220244162}" uniqueName="13" name="Original Description" queryTableFieldId="13" dataDxfId="460"/>
    <tableColumn id="14" xr3:uid="{B3ED2F9A-12E1-4746-93EB-CB952440819C}" uniqueName="14" name="On Hire Date" queryTableFieldId="14" dataDxfId="459"/>
    <tableColumn id="15" xr3:uid="{ABDB0878-914F-4B67-9ECC-2430E2DF58C0}" uniqueName="15" name="On Hire Time" queryTableFieldId="15" dataDxfId="458"/>
    <tableColumn id="16" xr3:uid="{1508848D-F973-442D-9CCD-1503356502F0}" uniqueName="16" name="Days On Hire" queryTableFieldId="16" dataDxfId="457"/>
    <tableColumn id="2" xr3:uid="{0EDD9A89-F16A-4F97-BF44-C71B8AB067E1}" uniqueName="2" name="Daily Hire Rate" queryTableFieldId="27" dataDxfId="456"/>
    <tableColumn id="1" xr3:uid="{20755695-3800-4D40-B756-D8A166BF7A17}" uniqueName="1" name="Replacement Fee" queryTableFieldId="25" dataDxfId="455"/>
    <tableColumn id="5" xr3:uid="{60FB57B6-498D-48D7-8DDE-F63C035D756E}" uniqueName="5" name="Age Bucket" queryTableFieldId="5" dataDxfId="454"/>
    <tableColumn id="6" xr3:uid="{EFADD054-72F3-4E9E-BD02-8DEBF9AE2F96}" uniqueName="6" name="Daily Return Target" queryTableFieldId="6" dataDxfId="453"/>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052AD8-ABC4-4BAB-BB29-8FDD08B5A5EA}" name="Radios_Onhire" displayName="Radios_Onhire" ref="A1:O75" tableType="queryTable" totalsRowShown="0" headerRowDxfId="452" dataDxfId="450" headerRowBorderDxfId="451" tableBorderDxfId="449" totalsRowBorderDxfId="448">
  <autoFilter ref="A1:O75" xr:uid="{43052AD8-ABC4-4BAB-BB29-8FDD08B5A5EA}"/>
  <sortState xmlns:xlrd2="http://schemas.microsoft.com/office/spreadsheetml/2017/richdata2" ref="A2:O75">
    <sortCondition ref="A1:A75"/>
  </sortState>
  <tableColumns count="15">
    <tableColumn id="6" xr3:uid="{89452FDE-93BA-4323-A2A7-D3784EC476BE}" uniqueName="6" name="Company" queryTableFieldId="6" dataDxfId="447"/>
    <tableColumn id="7" xr3:uid="{E77D77B3-9FE4-4F6C-B00C-750F4092BCE0}" uniqueName="7" name="Hirer" queryTableFieldId="7" dataDxfId="446"/>
    <tableColumn id="2" xr3:uid="{DC43C2BB-FE88-47F6-82EF-1778A57103A4}" uniqueName="2" name="Asset Type ID" queryTableFieldId="26" dataDxfId="445"/>
    <tableColumn id="3" xr3:uid="{6B53D5FE-C229-4F15-9C9B-CA13432F2009}" uniqueName="3" name="Radio Type" queryTableFieldId="27" dataDxfId="444"/>
    <tableColumn id="8" xr3:uid="{DEEEED86-A1F1-4000-8F5C-AAA0BB77FEE2}" uniqueName="8" name="Radio Group" queryTableFieldId="28" dataDxfId="443"/>
    <tableColumn id="10" xr3:uid="{C4083278-68E7-4D8B-A39F-45DBF3CE00C7}" uniqueName="10" name="Barcode" queryTableFieldId="10" dataDxfId="442"/>
    <tableColumn id="11" xr3:uid="{FBCE9A01-6759-4D62-B3C3-DC0CACEB2566}" uniqueName="11" name="Original Description" queryTableFieldId="11" dataDxfId="441"/>
    <tableColumn id="12" xr3:uid="{BCBC6DF0-A669-43E9-95E8-40B15EE469BC}" uniqueName="12" name="Item Status" queryTableFieldId="12" dataDxfId="440"/>
    <tableColumn id="13" xr3:uid="{5963C8E3-D098-4687-B288-2E04A6E9969C}" uniqueName="13" name="On Hire Date" queryTableFieldId="13" dataDxfId="439"/>
    <tableColumn id="14" xr3:uid="{984B3856-E325-403A-9BAB-81AEFC767E12}" uniqueName="14" name="On Hire Time" queryTableFieldId="14" dataDxfId="438"/>
    <tableColumn id="15" xr3:uid="{802FDA88-D7CA-48EE-AA4E-AB24F46E0568}" uniqueName="15" name="Days On Hire" queryTableFieldId="15" dataDxfId="437"/>
    <tableColumn id="4" xr3:uid="{C0F089EE-20A6-433C-8DD0-388C6A02D2FA}" uniqueName="4" name="Age Bucket" queryTableFieldId="4" dataDxfId="436"/>
    <tableColumn id="9" xr3:uid="{074AECC2-A9D0-4925-BD3F-1392F7475D69}" uniqueName="9" name="Daily Hire Rate" queryTableFieldId="29" dataDxfId="435"/>
    <tableColumn id="1" xr3:uid="{B64F8645-2899-4755-8C88-C09BE5BC2498}" uniqueName="1" name="Replacement Cost" queryTableFieldId="16" dataDxfId="434"/>
    <tableColumn id="5" xr3:uid="{AA9C74FD-0738-41C9-9A1B-A1EF61E138ED}" uniqueName="5" name="Daily Return Target" queryTableFieldId="5" dataDxfId="433"/>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A4609AB-EA58-44EC-8215-52D06D80061E}" name="Tooling_Onhire__4" displayName="Tooling_Onhire__4" ref="A1:L14" totalsRowShown="0" headerRowDxfId="432" dataDxfId="430" headerRowBorderDxfId="431" tableBorderDxfId="429" totalsRowBorderDxfId="428">
  <autoFilter ref="A1:L14" xr:uid="{EA4609AB-EA58-44EC-8215-52D06D80061E}">
    <filterColumn colId="0">
      <filters>
        <filter val="Cement Australia Holdings Pty Ltd"/>
        <filter val="Dark Knight Engineering"/>
        <filter val="Dgh Engineering"/>
        <filter val="High Risk Solutions"/>
      </filters>
    </filterColumn>
  </autoFilter>
  <sortState xmlns:xlrd2="http://schemas.microsoft.com/office/spreadsheetml/2017/richdata2" ref="A2:L14">
    <sortCondition ref="A1:A14"/>
  </sortState>
  <tableColumns count="12">
    <tableColumn id="4" xr3:uid="{72364648-77C7-4AEE-8BB7-7F07AFAA21F1}" name="Company" dataDxfId="427"/>
    <tableColumn id="5" xr3:uid="{7257F9CC-60FE-4D34-9F03-EC3386028980}" name="Hirer" dataDxfId="426"/>
    <tableColumn id="13" xr3:uid="{7E0600B3-A9B7-423B-9750-E3DC6C9DF797}" name="Barcode" dataDxfId="425"/>
    <tableColumn id="12" xr3:uid="{AD03C26D-CBCF-4272-A099-9FB0E0501B82}" name="Item Description" dataDxfId="424"/>
    <tableColumn id="15" xr3:uid="{1D16247A-1451-424C-836D-F7A8A4759C0D}" name="On Hire Date" dataDxfId="423"/>
    <tableColumn id="16" xr3:uid="{D275A723-2AF2-4184-AA85-FE89FB74BC4B}" name="On Hire Time" dataDxfId="422"/>
    <tableColumn id="17" xr3:uid="{9907B942-4225-4846-B0F0-6224433C4148}" name="Days On Hire" dataDxfId="421"/>
    <tableColumn id="21" xr3:uid="{8D7C4947-6CA8-4997-BBD0-A2883E2773D3}" name="Daily Client Cost" dataDxfId="420"/>
    <tableColumn id="22" xr3:uid="{7FE6A6FD-BFE2-48A9-A016-5D75CC297C2A}" name="Weekly Client Cost" dataDxfId="419"/>
    <tableColumn id="24" xr3:uid="{93006548-81B2-4277-8B1F-3B7011692652}" name="Current On-Hire Cost To Date" dataDxfId="418"/>
    <tableColumn id="1" xr3:uid="{04A098A5-7E78-49D0-91C6-D5ACFF40FB9E}" name="Replacement Cost" dataDxfId="417"/>
    <tableColumn id="2" xr3:uid="{5CC5B004-242D-4515-B24F-327EA9429513}" name="Replacement Price Basis" dataDxfId="41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26D5E2C-66F6-4349-993C-E50D9BA7721F}" name="Tooling_Onhire__2" displayName="Tooling_Onhire__2" ref="A1:AJ214" tableType="queryTable" totalsRowShown="0" headerRowDxfId="415" dataDxfId="413" headerRowBorderDxfId="414" tableBorderDxfId="412" totalsRowBorderDxfId="411">
  <autoFilter ref="A1:AJ214" xr:uid="{326D5E2C-66F6-4349-993C-E50D9BA7721F}">
    <filterColumn colId="7">
      <filters>
        <filter val="BOOM105D"/>
        <filter val="BUCKETEXC_1000MMMUD"/>
        <filter val="BUCKETEXC_300MM"/>
        <filter val="BUCKETEXC_450MM"/>
        <filter val="BULLHOSESTD50MM(2IN)7.5M"/>
        <filter val="COMP1050D"/>
        <filter val="COMP185D"/>
        <filter val="CRANEBRICKCAGE1240MM"/>
        <filter val="DISTBOARD"/>
        <filter val="DISTBOARDLIFEGUARD16"/>
        <filter val="DISTBOARDLIFEGUARD17"/>
        <filter val="DISTBOARDLIFEGUARDLG34C1"/>
        <filter val="EXCAVATOR1.7T"/>
        <filter val="EXHAUSTFAN240V610MM"/>
        <filter val="FORKLIFT2.5TDIESEL"/>
        <filter val="FORKLIFT2.5TDIESELCONT"/>
        <filter val="FORKLIFT2.5TWROTD"/>
        <filter val="FORKLIFT3.5TDIESELCONT"/>
        <filter val="FORKLIFTREACHWB1.5TELEC"/>
        <filter val="FORKLIFTRT2.5T4WD"/>
        <filter val="FUELTRAILER1000LDBUNDED"/>
        <filter val="GENERATOR100KVAD"/>
        <filter val="GENERATOR160KVAD"/>
        <filter val="GENERATOR20KVAD"/>
        <filter val="GENERATOR30KVAD"/>
        <filter val="GENERATOR500KVAD"/>
        <filter val="GENERATOR60KVAD"/>
        <filter val="GENERATOR80KVAD"/>
        <filter val="HVACCSCRNCFORM16MM63A25M"/>
        <filter val="KIBBLEGROUT1M3"/>
        <filter val="KNUCKLE130D"/>
        <filter val="KNUCKLE45D"/>
        <filter val="KNUCKLE61D"/>
        <filter val="LEADEXT415V5PIN32AMP"/>
        <filter val="LEADEXT415V5PIN32AMPBRAID"/>
        <filter val="LEADEXT415V63AMP"/>
        <filter val="LIGHTTELE4HLED27KLM3MHYB"/>
        <filter val="LIGHTTLEDVRTMETRO"/>
        <filter val="LIGHTTOWERLED176KLMS"/>
        <filter val="LIGHTTOWERLEDCUBE154KLD"/>
        <filter val="LIGHTTOWERPODTRI"/>
        <filter val="PALLETTR1.8TELEC"/>
        <filter val="SCISSOR19EOP"/>
        <filter val="SCISSOR32EOP"/>
        <filter val="TELEHANDLER3T7M"/>
        <filter val="TOILETFWF"/>
        <filter val="TRAILERMINIEXCAVATOR&lt;4.5T"/>
        <filter val="TRAILERMOUNTEDBOOM10MDE"/>
        <filter val="WATERBLAST3000PSIDTRAILER"/>
        <filter val="WATERBLAST3000PSIPCOLD"/>
        <filter val="WATERCARTTRAILER950LTR"/>
        <filter val="WELD500A-DIESEL"/>
        <filter val="WELDERAIRVANTAGE500A"/>
        <filter val="WELDERAIRVANTAGE600A"/>
      </filters>
    </filterColumn>
  </autoFilter>
  <sortState xmlns:xlrd2="http://schemas.microsoft.com/office/spreadsheetml/2017/richdata2" ref="A2:AJ214">
    <sortCondition ref="K1:K214"/>
  </sortState>
  <tableColumns count="36">
    <tableColumn id="1" xr3:uid="{B66F0531-CC04-472C-8A24-A93A50409714}" uniqueName="1" name="Cost Priority" queryTableFieldId="1" dataDxfId="410"/>
    <tableColumn id="2" xr3:uid="{E95AC9B2-589C-4362-B234-D7399132F8E1}" uniqueName="2" name="Idle Status" queryTableFieldId="2" dataDxfId="409"/>
    <tableColumn id="3" xr3:uid="{A68174B8-C939-4DAE-B8F0-E25AD8485BCE}" uniqueName="3" name="Usage Status" queryTableFieldId="3" dataDxfId="408"/>
    <tableColumn id="4" xr3:uid="{9C898141-EF66-4EF9-BFA0-C69F9223507B}" uniqueName="4" name="Recommendation" queryTableFieldId="4" dataDxfId="407"/>
    <tableColumn id="5" xr3:uid="{D536908E-8237-4671-BFEF-D532FF19D55D}" uniqueName="5" name="Current Charge Status" queryTableFieldId="5" dataDxfId="406"/>
    <tableColumn id="6" xr3:uid="{3E6C57D5-DEC9-402F-93FC-26E834573D03}" uniqueName="6" name="Plant Equipment Group" queryTableFieldId="6" dataDxfId="405"/>
    <tableColumn id="36" xr3:uid="{CC4E6380-EB03-4B26-9C70-C7F62C05438F}" uniqueName="36" name="Asset Type ID" queryTableFieldId="36" dataDxfId="404"/>
    <tableColumn id="7" xr3:uid="{9DC4166F-1400-4616-8D2D-E1FD9BC04966}" uniqueName="7" name="Product Variant ID" queryTableFieldId="7" dataDxfId="403"/>
    <tableColumn id="8" xr3:uid="{86F14383-D2A9-4E01-8171-12B3766AF725}" uniqueName="8" name="Product" queryTableFieldId="8" dataDxfId="402"/>
    <tableColumn id="9" xr3:uid="{58368931-9FD0-48DD-A64C-D8866959DBA5}" uniqueName="9" name="Product Family" queryTableFieldId="9" dataDxfId="401"/>
    <tableColumn id="10" xr3:uid="{8A7FB3CB-E7C2-4AF7-91CE-73BB50295C03}" uniqueName="10" name="Item Description" queryTableFieldId="10" dataDxfId="400"/>
    <tableColumn id="11" xr3:uid="{1B0E339A-03B2-4FDC-A932-F6B5EE7B0E9B}" uniqueName="11" name="Barcode" queryTableFieldId="11" dataDxfId="399"/>
    <tableColumn id="12" xr3:uid="{329BEF22-81FD-470A-867A-7D73E869C058}" uniqueName="12" name="Item Status" queryTableFieldId="12" dataDxfId="398"/>
    <tableColumn id="13" xr3:uid="{B8DCBD99-4BAE-461D-BE19-3611A2D0B239}" uniqueName="13" name="Company" queryTableFieldId="13" dataDxfId="397"/>
    <tableColumn id="14" xr3:uid="{282E2F8E-D503-4950-845B-15415EF1C004}" uniqueName="14" name="Hirer" queryTableFieldId="14" dataDxfId="396"/>
    <tableColumn id="15" xr3:uid="{59FE62BC-EA16-44A7-ADE5-403B50BF79CD}" uniqueName="15" name="Site Plant Equipment Date" queryTableFieldId="15" dataDxfId="395"/>
    <tableColumn id="16" xr3:uid="{49C3D911-9BF2-4414-B3F0-D67AD4151AB4}" uniqueName="16" name="Site Plant Equipment Time" queryTableFieldId="16" dataDxfId="394"/>
    <tableColumn id="17" xr3:uid="{2012251A-8284-4936-A945-13008E2E95BD}" uniqueName="17" name="Days On Site Plant Equipment" queryTableFieldId="17" dataDxfId="393"/>
    <tableColumn id="18" xr3:uid="{1688E7DD-D9DD-475A-9BBD-BD33DF69570E}" uniqueName="18" name="Tool Store" queryTableFieldId="18" dataDxfId="392"/>
    <tableColumn id="19" xr3:uid="{DAC0573F-289B-4328-97B5-6D847989B952}" uniqueName="19" name="Storage Unit" queryTableFieldId="19" dataDxfId="391"/>
    <tableColumn id="20" xr3:uid="{3E1042C9-BCD5-4E7C-9567-49666E211B3D}" uniqueName="20" name="Owner" queryTableFieldId="20" dataDxfId="390"/>
    <tableColumn id="21" xr3:uid="{177411EC-A688-4E45-A3EE-4810D801F782}" uniqueName="21" name="Daily Client Cost" queryTableFieldId="21" dataDxfId="389"/>
    <tableColumn id="22" xr3:uid="{198C25DD-E501-4255-A14D-5D1A3F2299CD}" uniqueName="22" name="Weekly Client Cost" queryTableFieldId="22" dataDxfId="388"/>
    <tableColumn id="23" xr3:uid="{609037B4-3D0B-4749-965A-25DC2979532B}" uniqueName="23" name="Monthly Client Cost" queryTableFieldId="23" dataDxfId="387"/>
    <tableColumn id="24" xr3:uid="{A44C77FD-45B2-421C-8167-DB6ED2772949}" uniqueName="24" name="Cost While On Site Plant Equipment" queryTableFieldId="24" dataDxfId="386"/>
    <tableColumn id="25" xr3:uid="{E6B3202A-1A45-4FD5-B302-4BA3B6426FFA}" uniqueName="25" name="Idle Cost Exposure Since Last Use" queryTableFieldId="25" dataDxfId="385"/>
    <tableColumn id="26" xr3:uid="{EB58AC24-4D5F-42FF-9AF5-E59FDB6979E3}" uniqueName="26" name="Has Been Used" queryTableFieldId="26" dataDxfId="384"/>
    <tableColumn id="27" xr3:uid="{413C8023-8FA8-46F4-80CC-BD73EF88ABF6}" uniqueName="27" name="Total Transactions" queryTableFieldId="27" dataDxfId="383"/>
    <tableColumn id="28" xr3:uid="{39CBAE43-7B2C-4B57-BE89-FA8A4F22A9E4}" uniqueName="28" name="Unique Hirers" queryTableFieldId="28" dataDxfId="382"/>
    <tableColumn id="29" xr3:uid="{1365B070-3258-49DF-B7F9-37831A43BF60}" uniqueName="29" name="First Hire Start Date" queryTableFieldId="29" dataDxfId="381"/>
    <tableColumn id="30" xr3:uid="{588ECBD2-B093-4716-8394-6884C6897F56}" uniqueName="30" name="Last Hire Start Date" queryTableFieldId="30" dataDxfId="380"/>
    <tableColumn id="31" xr3:uid="{981CCE12-A3D0-42F7-8D9E-64D927724BCE}" uniqueName="31" name="Last Hire End Date" queryTableFieldId="31" dataDxfId="379"/>
    <tableColumn id="32" xr3:uid="{2C206FA4-9CAB-473B-9F01-23953A5812AB}" uniqueName="32" name="Last Used Date" queryTableFieldId="32" dataDxfId="378"/>
    <tableColumn id="33" xr3:uid="{D0BF0AE2-2C8F-4ACD-8E8F-A190F32E9B10}" uniqueName="33" name="Days Since Last Use" queryTableFieldId="33" dataDxfId="377"/>
    <tableColumn id="34" xr3:uid="{441EC074-2CF2-4E99-B06D-39A029BEC054}" uniqueName="34" name="Report Start Date" queryTableFieldId="34" dataDxfId="376"/>
    <tableColumn id="35" xr3:uid="{6561C8C6-120A-43C1-AC6E-46208A69C165}" uniqueName="35" name="Report End Date" queryTableFieldId="35" dataDxfId="375"/>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480B337-BC6D-4FF9-B2ED-9F20C1D9563C}" name="Tooling_Onhire__3" displayName="Tooling_Onhire__3" ref="A1:L50" tableType="queryTable" totalsRowShown="0" headerRowDxfId="374" dataDxfId="372" headerRowBorderDxfId="373" tableBorderDxfId="371" totalsRowBorderDxfId="370">
  <autoFilter ref="A1:L50" xr:uid="{E480B337-BC6D-4FF9-B2ED-9F20C1D9563C}"/>
  <sortState xmlns:xlrd2="http://schemas.microsoft.com/office/spreadsheetml/2017/richdata2" ref="A2:L50">
    <sortCondition ref="A1:A50"/>
  </sortState>
  <tableColumns count="12">
    <tableColumn id="5" xr3:uid="{76736F90-9ACD-4432-B566-33BDAAD4585B}" uniqueName="5" name="Company" queryTableFieldId="5" dataDxfId="369"/>
    <tableColumn id="6" xr3:uid="{F988CC4C-7EB9-44F2-B385-038EEE135BFD}" uniqueName="6" name="Hirer" queryTableFieldId="6" dataDxfId="368"/>
    <tableColumn id="1" xr3:uid="{7123CF08-7E83-4CFC-B1A0-1B0CD12B1EF4}" uniqueName="1" name="Asset Type ID" queryTableFieldId="25" dataDxfId="367"/>
    <tableColumn id="12" xr3:uid="{E1F747EF-FEAF-4B56-96E5-29B2F85078A1}" uniqueName="12" name="Item Description" queryTableFieldId="12" dataDxfId="366"/>
    <tableColumn id="13" xr3:uid="{4F2BDE02-1442-4C84-B941-7ADB94FFDC3B}" uniqueName="13" name="Barcode" queryTableFieldId="13" dataDxfId="365"/>
    <tableColumn id="14" xr3:uid="{60D96324-80D4-4086-ACF0-E05E5F136524}" uniqueName="14" name="Item Status" queryTableFieldId="14" dataDxfId="364"/>
    <tableColumn id="15" xr3:uid="{CAD95778-9B93-4EFF-8488-C07BE2E752CD}" uniqueName="15" name="On Hire Date" queryTableFieldId="15" dataDxfId="363"/>
    <tableColumn id="16" xr3:uid="{2B1C58E1-A94C-4161-85F3-2C8ECB3CBD42}" uniqueName="16" name="On Hire Time" queryTableFieldId="16" dataDxfId="362"/>
    <tableColumn id="17" xr3:uid="{772E075A-AACD-4809-8691-87F4D3702D8B}" uniqueName="17" name="Days On Hire" queryTableFieldId="17" dataDxfId="361"/>
    <tableColumn id="21" xr3:uid="{B0ABBB70-914F-4B56-BBEA-E13D0DA495C4}" uniqueName="21" name="Daily Client Cost" queryTableFieldId="21" dataDxfId="360"/>
    <tableColumn id="22" xr3:uid="{3D246AB4-E7D4-4907-A184-03ABFE881518}" uniqueName="22" name="Weekly Client Cost" queryTableFieldId="22" dataDxfId="359"/>
    <tableColumn id="24" xr3:uid="{CE8E4CBF-4D4A-4ED2-B679-6821CDF83FCA}" uniqueName="24" name="Current Allocation Cost To Date" queryTableFieldId="24" dataDxfId="358"/>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91D323B-689C-4534-A451-7A2994792D16}" name="RENTAL_STOCK__3" displayName="RENTAL_STOCK__3" ref="A1:O29" tableType="queryTable" totalsRowShown="0" headerRowDxfId="357" dataDxfId="355" headerRowBorderDxfId="356" tableBorderDxfId="354" totalsRowBorderDxfId="353">
  <autoFilter ref="A1:O29" xr:uid="{691D323B-689C-4534-A451-7A2994792D16}"/>
  <sortState xmlns:xlrd2="http://schemas.microsoft.com/office/spreadsheetml/2017/richdata2" ref="A2:O29">
    <sortCondition ref="A1:A29"/>
  </sortState>
  <tableColumns count="15">
    <tableColumn id="6" xr3:uid="{75601A9C-3576-431B-B2B1-B0E7B792032C}" uniqueName="6" name="Company" queryTableFieldId="6" dataDxfId="352"/>
    <tableColumn id="7" xr3:uid="{DCF280B9-54A1-4BCB-8EA5-BFD6C99BAE71}" uniqueName="7" name="Hirer" queryTableFieldId="7" dataDxfId="351"/>
    <tableColumn id="8" xr3:uid="{E59F2E7E-C294-4BB5-9731-D3A1B6CA106E}" uniqueName="8" name="Barcode" queryTableFieldId="8" dataDxfId="350"/>
    <tableColumn id="9" xr3:uid="{5616C830-DEFE-4C68-B2D2-4E60BE3D09DF}" uniqueName="9" name="Milwaukee Group" queryTableFieldId="9" dataDxfId="349"/>
    <tableColumn id="10" xr3:uid="{3D72CB70-DBDB-440A-87A0-EB4B4452BDD5}" uniqueName="10" name="On Hire Date" queryTableFieldId="10" dataDxfId="348"/>
    <tableColumn id="11" xr3:uid="{487CC397-76CA-45D5-9096-370F442EF7DD}" uniqueName="11" name="On Hire Time" queryTableFieldId="11" dataDxfId="347"/>
    <tableColumn id="12" xr3:uid="{89802B0A-FF12-43B3-AAAF-29E8518AA06B}" uniqueName="12" name="Days On Hire" queryTableFieldId="12" dataDxfId="346"/>
    <tableColumn id="1" xr3:uid="{EFF4CCBE-C81B-4B3B-9B70-98AF95FF5CC0}" uniqueName="1" name="Daily Client Cost" queryTableFieldId="13" dataDxfId="345"/>
    <tableColumn id="2" xr3:uid="{66CAE7F0-0BA9-459A-A536-577DEB393C40}" uniqueName="2" name="Weekly Client Cost" queryTableFieldId="14" dataDxfId="344"/>
    <tableColumn id="3" xr3:uid="{A5A2C8A2-8BA9-41AC-9F41-AADAB7DB1DC0}" uniqueName="3" name="Current On-Hire Cost To Date" queryTableFieldId="15" dataDxfId="343"/>
    <tableColumn id="13" xr3:uid="{73DD7B63-148B-4798-9E2B-86D72D0D054E}" uniqueName="13" name="Replacement Cost" queryTableFieldId="16" dataDxfId="342"/>
    <tableColumn id="4" xr3:uid="{5E8063E5-C1E4-4EE7-B582-7287535160FE}" uniqueName="4" name="Age Bucket" queryTableFieldId="4" dataDxfId="341"/>
    <tableColumn id="5" xr3:uid="{5E5D2A09-1944-41EB-A157-4EB16E9C73FA}" uniqueName="5" name="Daily Return Target" queryTableFieldId="5" dataDxfId="340"/>
    <tableColumn id="14" xr3:uid="{3601E093-323E-412B-BE3C-C44F1423C6D2}" uniqueName="14" name="Milwaukee Model" queryTableFieldId="28" dataDxfId="339"/>
    <tableColumn id="15" xr3:uid="{696B3357-048F-44DC-BC5F-06471D19BC5E}" uniqueName="15" name="Market Replacement Price" queryTableFieldId="29" dataDxfId="338"/>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3798B2-7C21-4FD3-A91B-B218F5FF0AA6}" name="RENTAL_STOCK__2" displayName="RENTAL_STOCK__2" ref="A1:I28" tableType="queryTable" totalsRowShown="0" headerRowDxfId="337" dataDxfId="335" headerRowBorderDxfId="336" tableBorderDxfId="334" totalsRowBorderDxfId="333">
  <autoFilter ref="A1:I28" xr:uid="{603798B2-7C21-4FD3-A91B-B218F5FF0AA6}"/>
  <tableColumns count="9">
    <tableColumn id="23" xr3:uid="{31FF1A19-39E9-45F3-9055-BA11BE1D0D2A}" uniqueName="23" name="Company" queryTableFieldId="30" dataDxfId="332"/>
    <tableColumn id="24" xr3:uid="{A2BAC4C1-4146-439E-8317-6CDCCD32D567}" uniqueName="24" name="Hirer" queryTableFieldId="31" dataDxfId="331"/>
    <tableColumn id="25" xr3:uid="{FB80F35D-6816-4108-ADA9-CD537A63F49D}" uniqueName="25" name="Barcode" queryTableFieldId="32" dataDxfId="330"/>
    <tableColumn id="16" xr3:uid="{15026BCD-E536-4FF6-B772-7518CC99F978}" uniqueName="16" name="Milwaukee Group" queryTableFieldId="16" dataDxfId="329"/>
    <tableColumn id="26" xr3:uid="{21F0B5DA-F1DC-4ED6-933C-4A10C1F60917}" uniqueName="26" name="On Hire Date" queryTableFieldId="33" dataDxfId="328"/>
    <tableColumn id="27" xr3:uid="{C1ED903B-E7FA-4910-B0CC-150BC323F051}" uniqueName="27" name="On Hire Time" queryTableFieldId="34" dataDxfId="327"/>
    <tableColumn id="17" xr3:uid="{07AC853D-C1C5-42A9-A7F8-8C6F56858BB2}" uniqueName="17" name="Days On Hire" queryTableFieldId="17" dataDxfId="326"/>
    <tableColumn id="21" xr3:uid="{69CA1B89-3BC5-4908-86E9-2F510443FA6A}" uniqueName="21" name="Age Bucket" queryTableFieldId="28" dataDxfId="325"/>
    <tableColumn id="22" xr3:uid="{143EC22C-6F36-4628-81F9-B59AE2408F44}" uniqueName="22" name="Daily Return Target" queryTableFieldId="29" dataDxfId="324"/>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5D1788A-7C1B-4880-A879-6B42F4A1FB72}" name="RENTAL_STOCK" displayName="RENTAL_STOCK" ref="A1:R940" tableType="queryTable" totalsRowShown="0" headerRowDxfId="323" dataDxfId="321" headerRowBorderDxfId="322" tableBorderDxfId="320" totalsRowBorderDxfId="319">
  <autoFilter ref="A1:R940" xr:uid="{65D1788A-7C1B-4880-A879-6B42F4A1FB72}"/>
  <tableColumns count="18">
    <tableColumn id="26" xr3:uid="{2E2CA2D0-DF69-4B1E-B670-21345EDA8057}" uniqueName="26" name="Report Start Date" queryTableFieldId="26" dataDxfId="318"/>
    <tableColumn id="27" xr3:uid="{06453715-0F75-4367-90A4-3CDF9556BCF6}" uniqueName="27" name="Report End Date" queryTableFieldId="27" dataDxfId="317"/>
    <tableColumn id="28" xr3:uid="{AB0DED59-D5E2-48B1-9DD1-9DAC0F88C87F}" uniqueName="28" name="Days In Report Period" queryTableFieldId="28" dataDxfId="316"/>
    <tableColumn id="1" xr3:uid="{4079112B-91EA-40B4-93D1-219F132C616A}" uniqueName="1" name="Storage Unit" queryTableFieldId="38" dataDxfId="315"/>
    <tableColumn id="16" xr3:uid="{58E306AD-B814-43CE-8C01-81A80D37817F}" uniqueName="16" name="Equipment Group" queryTableFieldId="16" dataDxfId="314"/>
    <tableColumn id="5" xr3:uid="{E044B7F6-BF9C-416A-920D-00710C30E19D}" uniqueName="5" name="Asset Type ID" queryTableFieldId="46" dataDxfId="313"/>
    <tableColumn id="17" xr3:uid="{B6C236E7-F240-4DF5-9FB2-03F18B8391ED}" uniqueName="17" name="Total Qty" queryTableFieldId="17" dataDxfId="312"/>
    <tableColumn id="18" xr3:uid="{F2228053-C27A-490E-AEC7-AB030D5C9861}" uniqueName="18" name="Qty On Hire" queryTableFieldId="18" dataDxfId="311"/>
    <tableColumn id="19" xr3:uid="{F1FBB107-9B57-422C-99A6-933EDEAB5B13}" uniqueName="19" name="Qty Available" queryTableFieldId="19" dataDxfId="310"/>
    <tableColumn id="20" xr3:uid="{CD598BCB-1781-42EF-A9DC-F67881F42F2C}" uniqueName="20" name="Live Utilisation %" queryTableFieldId="20" dataDxfId="309"/>
    <tableColumn id="2" xr3:uid="{CC1E7C7D-02DA-42AD-A3D9-D5522BE67616}" uniqueName="2" name="Unit Daily Rate (Avg)" queryTableFieldId="39" dataDxfId="308"/>
    <tableColumn id="3" xr3:uid="{549D03CC-D323-461A-B36C-336472BB85F9}" uniqueName="3" name="Daily Hire Value On Hire" queryTableFieldId="40" dataDxfId="307"/>
    <tableColumn id="4" xr3:uid="{E04A91F9-003C-42BF-9813-5770A0B739E7}" uniqueName="4" name="Est Period Hire Value" queryTableFieldId="41" dataDxfId="306"/>
    <tableColumn id="21" xr3:uid="{4891B12C-9065-4133-B5B9-E7F3A446335E}" uniqueName="21" name="Total Transactions" queryTableFieldId="21" dataDxfId="305"/>
    <tableColumn id="30" xr3:uid="{112F3A3C-3C18-42FB-B8EE-A9FDF2149B20}" uniqueName="30" name="Unique Assets Used" queryTableFieldId="34" dataDxfId="304"/>
    <tableColumn id="31" xr3:uid="{01CE81C0-EDC9-4F64-9075-073C66C0AA87}" uniqueName="31" name="Unique Hirers" queryTableFieldId="35" dataDxfId="303"/>
    <tableColumn id="29" xr3:uid="{4DF62ECA-DB75-4A8B-9F7D-9CB04CE45DF8}" uniqueName="29" name="Period Utilisation %" queryTableFieldId="29" dataDxfId="302"/>
    <tableColumn id="25" xr3:uid="{A603D4A7-E113-4467-8985-150197780086}" uniqueName="25" name="Recommendation" queryTableFieldId="25" dataDxfId="301"/>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AC62E9-9FFE-4167-8D3F-8604091C5E70}" name="ShutdownCostingTable" displayName="ShutdownCostingTable" ref="A15:P190" headerRowDxfId="300" dataDxfId="298" totalsRowDxfId="296" headerRowBorderDxfId="299" tableBorderDxfId="297">
  <tableColumns count="16">
    <tableColumn id="1" xr3:uid="{00000000-0010-0000-0000-000001000000}" name="Date" dataDxfId="295"/>
    <tableColumn id="2" xr3:uid="{00000000-0010-0000-0000-000002000000}" name="Status" dataDxfId="294"/>
    <tableColumn id="3" xr3:uid="{00000000-0010-0000-0000-000003000000}" name="Shift" dataDxfId="293"/>
    <tableColumn id="4" xr3:uid="{00000000-0010-0000-0000-000004000000}" name="Role" dataDxfId="292"/>
    <tableColumn id="5" xr3:uid="{00000000-0010-0000-0000-000005000000}" name="Name" dataDxfId="291"/>
    <tableColumn id="6" xr3:uid="{00000000-0010-0000-0000-000006000000}" name="Start" dataDxfId="290"/>
    <tableColumn id="7" xr3:uid="{00000000-0010-0000-0000-000007000000}" name="Finish" dataDxfId="289"/>
    <tableColumn id="8" xr3:uid="{00000000-0010-0000-0000-000008000000}" name="Hours Override / Note" dataDxfId="288"/>
    <tableColumn id="9" xr3:uid="{00000000-0010-0000-0000-000009000000}" name="Roster Hours" dataDxfId="287">
      <calculatedColumnFormula>IF(OR(H16="Fatigue Day",H16=""),IF(AND(ISNUMBER(F16),ISNUMBER(G16)),MOD(G16-F16,1)*24,0),IF(ISNUMBER(H16),H16,IF(H16="No Charge",IF(AND(ISNUMBER(F16),ISNUMBER(G16)),MOD(G16-F16,1)*24,0),0)))</calculatedColumnFormula>
    </tableColumn>
    <tableColumn id="10" xr3:uid="{00000000-0010-0000-0000-00000A000000}" name="Billable Hours" dataDxfId="286">
      <calculatedColumnFormula>IF(OR(H16="No Charge",H16="Fatigue Day"),0,I16)</calculatedColumnFormula>
    </tableColumn>
    <tableColumn id="11" xr3:uid="{00000000-0010-0000-0000-00000B000000}" name="Hourly Rate" dataDxfId="285"/>
    <tableColumn id="12" xr3:uid="{00000000-0010-0000-0000-00000C000000}" name="Labour Cost" dataDxfId="284">
      <calculatedColumnFormula>J16*K16</calculatedColumnFormula>
    </tableColumn>
    <tableColumn id="13" xr3:uid="{00000000-0010-0000-0000-00000D000000}" name="Accom Rate" dataDxfId="283"/>
    <tableColumn id="14" xr3:uid="{00000000-0010-0000-0000-00000E000000}" name="Accom Nights" dataDxfId="282">
      <calculatedColumnFormula>IF(M16&gt;0,1,0)</calculatedColumnFormula>
    </tableColumn>
    <tableColumn id="15" xr3:uid="{00000000-0010-0000-0000-00000F000000}" name="Accom Cost" dataDxfId="281">
      <calculatedColumnFormula>M16*N16</calculatedColumnFormula>
    </tableColumn>
    <tableColumn id="16" xr3:uid="{00000000-0010-0000-0000-000010000000}" name="Total Cost" dataDxfId="280">
      <calculatedColumnFormula>L16+O16</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1874C33-D03F-4B06-8126-174E50C9AEE0}" name="Table4" displayName="Table4" ref="A193:F198" totalsRowShown="0" headerRowDxfId="279" dataDxfId="277" headerRowBorderDxfId="278" tableBorderDxfId="276" totalsRowBorderDxfId="275">
  <autoFilter ref="A193:F198" xr:uid="{0AF5FA13-40A1-4C45-BEF7-E1430F338EF7}"/>
  <tableColumns count="6">
    <tableColumn id="1" xr3:uid="{6A5CB350-0E95-4EF2-9A3D-D179EF156A6C}" name="Role" dataDxfId="274"/>
    <tableColumn id="2" xr3:uid="{005312FB-8D72-4171-8E41-8EB4F288EBE7}" name="Roster Hours" dataDxfId="273">
      <calculatedColumnFormula>SUMIFS($I$16:$I$190,$D$16:$D$190,A194)</calculatedColumnFormula>
    </tableColumn>
    <tableColumn id="3" xr3:uid="{4ACE48FE-598F-4C6F-B9C3-1848BBB8B4E6}" name="Billable Hours" dataDxfId="272">
      <calculatedColumnFormula>SUMIFS($J$16:$J$190,$D$16:$D$190,A194)</calculatedColumnFormula>
    </tableColumn>
    <tableColumn id="4" xr3:uid="{BC5A7317-3DB8-4167-94AE-2767FC0CFBF5}" name="Labour Cost" dataDxfId="271">
      <calculatedColumnFormula>SUMIFS($L$16:$L$190,$D$16:$D$190,A194)</calculatedColumnFormula>
    </tableColumn>
    <tableColumn id="5" xr3:uid="{FB611684-47B0-4D28-A6DB-CB78F2D8D28F}" name="Accommodation" dataDxfId="270">
      <calculatedColumnFormula>SUMIFS($O$16:$O$190,$D$16:$D$190,A194)</calculatedColumnFormula>
    </tableColumn>
    <tableColumn id="6" xr3:uid="{FC80A343-B980-4473-B0C8-61C25F144C24}" name="Total Cost" dataDxfId="269">
      <calculatedColumnFormula>D194+E194</calculatedColumn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C57A6E1-FD81-4265-825D-01FB037E4A05}" name="Table5" displayName="Table5" ref="H193:M199" totalsRowShown="0" headerRowDxfId="268" dataDxfId="266" headerRowBorderDxfId="267" tableBorderDxfId="265" totalsRowBorderDxfId="264">
  <autoFilter ref="H193:M199" xr:uid="{FEDC498D-E3AF-4992-A141-3A781BC24B9C}"/>
  <tableColumns count="6">
    <tableColumn id="1" xr3:uid="{82ECF95E-2D96-42CD-B854-D888519BCF77}" name="Name" dataDxfId="263"/>
    <tableColumn id="2" xr3:uid="{A9853FC9-A584-4BD3-9EEA-14B359B7BC8D}" name="Roster Hours" dataDxfId="262">
      <calculatedColumnFormula>SUMIFS($I$16:$I$190,$E$16:$E$190,H194)</calculatedColumnFormula>
    </tableColumn>
    <tableColumn id="3" xr3:uid="{1E7BB306-76D7-44C5-A7E4-0D416F0893F1}" name="Billable Hours" dataDxfId="261">
      <calculatedColumnFormula>SUMIFS($J$16:$J$190,$E$16:$E$190,H194)</calculatedColumnFormula>
    </tableColumn>
    <tableColumn id="4" xr3:uid="{ACD6410F-76E0-4250-B1BD-ADB5EB9E0782}" name="Labour Cost" dataDxfId="260">
      <calculatedColumnFormula>SUMIFS($L$16:$L$190,$E$16:$E$190,H194)</calculatedColumnFormula>
    </tableColumn>
    <tableColumn id="5" xr3:uid="{F392AF20-D873-47BE-A69B-A27CF9E14D45}" name="Accom Nights" dataDxfId="259">
      <calculatedColumnFormula>SUMIFS($N$16:$N$190,$E$16:$E$190,H194)</calculatedColumnFormula>
    </tableColumn>
    <tableColumn id="6" xr3:uid="{660A8381-7B6B-446E-BAE0-FBB4385E75B8}" name="Total Cost" dataDxfId="258">
      <calculatedColumnFormula>D194+SUMIFS($O$16:$O$190,$E$16:$E$190,H194)</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ilyTrackingTable" displayName="DailyTrackingTable" ref="A1:AB38" headerRowDxfId="257" dataDxfId="255" totalsRowDxfId="253" headerRowBorderDxfId="256" tableBorderDxfId="254">
  <tableColumns count="28">
    <tableColumn id="1" xr3:uid="{00000000-0010-0000-0000-000001000000}" name="Date" dataDxfId="252"/>
    <tableColumn id="2" xr3:uid="{00000000-0010-0000-0000-000002000000}" name="Plant Equipment Hire F/C" dataDxfId="251"/>
    <tableColumn id="3" xr3:uid="{00000000-0010-0000-0000-000003000000}" name="Plant Equipment Hire Actual" dataDxfId="250"/>
    <tableColumn id="4" xr3:uid="{00000000-0010-0000-0000-000004000000}" name="Plant Equipment Hire Variance" dataDxfId="249"/>
    <tableColumn id="5" xr3:uid="{00000000-0010-0000-0000-000005000000}" name="Tooling Hire F/C" dataDxfId="248"/>
    <tableColumn id="6" xr3:uid="{00000000-0010-0000-0000-000006000000}" name="Tooling Hire Actual" dataDxfId="247"/>
    <tableColumn id="7" xr3:uid="{00000000-0010-0000-0000-000007000000}" name="Tooling Hire Variance" dataDxfId="246"/>
    <tableColumn id="8" xr3:uid="{00000000-0010-0000-0000-000008000000}" name="Radio Hire F/C" dataDxfId="245"/>
    <tableColumn id="9" xr3:uid="{00000000-0010-0000-0000-000009000000}" name="Radio Hire Actual" dataDxfId="244"/>
    <tableColumn id="10" xr3:uid="{00000000-0010-0000-0000-00000A000000}" name="Radio Hire Variance" dataDxfId="243"/>
    <tableColumn id="11" xr3:uid="{00000000-0010-0000-0000-00000B000000}" name="Gas Monitor Hire F/C" dataDxfId="242"/>
    <tableColumn id="12" xr3:uid="{00000000-0010-0000-0000-00000C000000}" name="Gas Monitor Hire Actual" dataDxfId="241"/>
    <tableColumn id="13" xr3:uid="{00000000-0010-0000-0000-00000D000000}" name="Gas Monitor Hire Variance" dataDxfId="240"/>
    <tableColumn id="23" xr3:uid="{00000000-0010-0000-0000-000017000000}" name="Personnel / Labour F/C" dataDxfId="239"/>
    <tableColumn id="24" xr3:uid="{00000000-0010-0000-0000-000018000000}" name="Personnel / Labour Actual" dataDxfId="238"/>
    <tableColumn id="25" xr3:uid="{00000000-0010-0000-0000-000019000000}" name="Personnel / Labour Variance" dataDxfId="237"/>
    <tableColumn id="26" xr3:uid="{00000000-0010-0000-0000-00001A000000}" name="Accommodation F/C" dataDxfId="236"/>
    <tableColumn id="27" xr3:uid="{00000000-0010-0000-0000-00001B000000}" name="Accommodation Actual" dataDxfId="235"/>
    <tableColumn id="28" xr3:uid="{00000000-0010-0000-0000-00001C000000}" name="Accommodation Variance" dataDxfId="234"/>
    <tableColumn id="29" xr3:uid="{00000000-0010-0000-0000-00001D000000}" name="Transport F/C" dataDxfId="233"/>
    <tableColumn id="30" xr3:uid="{00000000-0010-0000-0000-00001E000000}" name="Transport Actual" dataDxfId="232"/>
    <tableColumn id="31" xr3:uid="{00000000-0010-0000-0000-00001F000000}" name="Transport Variance" dataDxfId="231"/>
    <tableColumn id="32" xr3:uid="{00000000-0010-0000-0000-000020000000}" name="Damage Recovery F/C" dataDxfId="230"/>
    <tableColumn id="33" xr3:uid="{00000000-0010-0000-0000-000021000000}" name="Damage Recovery Actual" dataDxfId="229"/>
    <tableColumn id="34" xr3:uid="{00000000-0010-0000-0000-000022000000}" name="Damage Recovery Variance" dataDxfId="228"/>
    <tableColumn id="35" xr3:uid="{00000000-0010-0000-0000-000023000000}" name="Daily Forecast Total" dataDxfId="227"/>
    <tableColumn id="36" xr3:uid="{00000000-0010-0000-0000-000024000000}" name="Daily Actual Total" dataDxfId="226"/>
    <tableColumn id="37" xr3:uid="{00000000-0010-0000-0000-000025000000}" name="Daily Variance" dataDxfId="22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080F241-18C4-4B59-9990-202BC61E1A6F}" name="AssetRegisterTable2219" displayName="AssetRegisterTable2219" ref="A1:R164" headerRowDxfId="224" dataDxfId="222" totalsRowDxfId="220" headerRowBorderDxfId="223" tableBorderDxfId="221">
  <autoFilter ref="A1:R164" xr:uid="{00000000-0009-0000-0100-000012000000}"/>
  <sortState xmlns:xlrd2="http://schemas.microsoft.com/office/spreadsheetml/2017/richdata2" ref="A2:R164">
    <sortCondition ref="A1:A164"/>
  </sortState>
  <tableColumns count="18">
    <tableColumn id="1" xr3:uid="{00000000-0010-0000-0C00-000001000000}" name="Category" dataDxfId="219"/>
    <tableColumn id="3" xr3:uid="{00000000-0010-0000-0C00-000003000000}" name="Product Variant" dataDxfId="218"/>
    <tableColumn id="4" xr3:uid="{00000000-0010-0000-0C00-000004000000}" name="Description" dataDxfId="217"/>
    <tableColumn id="5" xr3:uid="{00000000-0010-0000-0C00-000005000000}" name="Qty" dataDxfId="216"/>
    <tableColumn id="6" xr3:uid="{00000000-0010-0000-0C00-000006000000}" name="Asset Number" dataDxfId="215"/>
    <tableColumn id="7" xr3:uid="{00000000-0010-0000-0C00-000007000000}" name="Branch / Supplier" dataDxfId="214"/>
    <tableColumn id="8" xr3:uid="{00000000-0010-0000-0C00-000008000000}" name="Daily Rate" dataDxfId="213"/>
    <tableColumn id="9" xr3:uid="{00000000-0010-0000-0C00-000009000000}" name="Rate Source" dataDxfId="212"/>
    <tableColumn id="10" xr3:uid="{00000000-0010-0000-0C00-00000A000000}" name="Date Received On Site" dataDxfId="211"/>
    <tableColumn id="11" xr3:uid="{00000000-0010-0000-0C00-00000B000000}" name="Start Hire" dataDxfId="210"/>
    <tableColumn id="12" xr3:uid="{00000000-0010-0000-0C00-00000C000000}" name="Finish Hire" dataDxfId="209"/>
    <tableColumn id="13" xr3:uid="{00000000-0010-0000-0C00-00000D000000}" name="Hire Days" dataDxfId="208">
      <calculatedColumnFormula>K2-J2+1</calculatedColumnFormula>
    </tableColumn>
    <tableColumn id="14" xr3:uid="{00000000-0010-0000-0C00-00000E000000}" name="Forecast Hire Value" dataDxfId="207">
      <calculatedColumnFormula>D2*G2*L2</calculatedColumnFormula>
    </tableColumn>
    <tableColumn id="15" xr3:uid="{00000000-0010-0000-0C00-00000F000000}" name="Status" dataDxfId="206"/>
    <tableColumn id="16" xr3:uid="{00000000-0010-0000-0C00-000010000000}" name="Off Hire Date" dataDxfId="205"/>
    <tableColumn id="17" xr3:uid="{00000000-0010-0000-0C00-000011000000}" name="Picked Up Date" dataDxfId="204"/>
    <tableColumn id="18" xr3:uid="{00000000-0010-0000-0C00-000012000000}" name="Returned To Branch" dataDxfId="203"/>
    <tableColumn id="19" xr3:uid="{00000000-0010-0000-0C00-000013000000}" name="Received By" dataDxfId="202"/>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0D000000}" name="BulkEquipmentTable" displayName="BulkEquipmentTable" ref="A181:G189" totalsRowShown="0" headerRowDxfId="201" dataDxfId="199" headerRowBorderDxfId="200" tableBorderDxfId="198" totalsRowBorderDxfId="197">
  <autoFilter ref="A181:G189" xr:uid="{00000000-0009-0000-0100-00005A000000}"/>
  <tableColumns count="7">
    <tableColumn id="1" xr3:uid="{00000000-0010-0000-0D00-000001000000}" name="Storage Unit" dataDxfId="196"/>
    <tableColumn id="2" xr3:uid="{00000000-0010-0000-0D00-000002000000}" name="Equipment Type" dataDxfId="195"/>
    <tableColumn id="3" xr3:uid="{00000000-0010-0000-0D00-000003000000}" name="Product Variant" dataDxfId="194"/>
    <tableColumn id="4" xr3:uid="{00000000-0010-0000-0D00-000004000000}" name="Description" dataDxfId="193"/>
    <tableColumn id="5" xr3:uid="{00000000-0010-0000-0D00-000005000000}" name="Qty On Site" dataDxfId="192"/>
    <tableColumn id="6" xr3:uid="{00000000-0010-0000-0D00-000006000000}" name="Daily Rate (Each)" dataDxfId="191"/>
    <tableColumn id="7" xr3:uid="{00000000-0010-0000-0D00-000007000000}" name="Daily Fleet Charge" dataDxfId="190"/>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3B342D-F3F2-496E-BBC1-B44B03F0B58F}" name="Table2" displayName="Table2" ref="A167:D178" totalsRowShown="0" headerRowDxfId="189" dataDxfId="187" headerRowBorderDxfId="188" tableBorderDxfId="186" totalsRowBorderDxfId="185">
  <autoFilter ref="A167:D178" xr:uid="{4F3B342D-F3F2-496E-BBC1-B44B03F0B58F}"/>
  <tableColumns count="4">
    <tableColumn id="1" xr3:uid="{A286A607-6D6D-438A-A05C-066B0461400B}" name="Category" dataDxfId="184"/>
    <tableColumn id="2" xr3:uid="{B458CD61-7565-4B10-BFF8-5C6D3E59714A}" name="Assets" dataDxfId="183"/>
    <tableColumn id="3" xr3:uid="{34432FB9-F2DF-4A67-A9C9-8B3764F1D054}" name="Daily Hire Value" dataDxfId="182"/>
    <tableColumn id="4" xr3:uid="{09803402-ECC6-41DA-88F9-BEF088ADD9FA}" name="23-Day Forecast" dataDxfId="181"/>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03D6945-EF3D-4DBF-BD4C-881B1E1A20BF}" name="K2_PlantVariance" displayName="K2_PlantVariance" ref="A4:H6" tableType="queryTable" totalsRowShown="0" headerRowDxfId="180" headerRowBorderDxfId="179" tableBorderDxfId="178" totalsRowBorderDxfId="177">
  <autoFilter ref="A4:H6" xr:uid="{903D6945-EF3D-4DBF-BD4C-881B1E1A20BF}"/>
  <tableColumns count="8">
    <tableColumn id="9" xr3:uid="{23A612A2-4FD9-435C-9AA2-68EE25D8AFE7}" uniqueName="9" name="Asset Number" queryTableFieldId="1" dataDxfId="176"/>
    <tableColumn id="10" xr3:uid="{54C44FB5-EE69-4562-8BF1-A3BDC37D918B}" uniqueName="10" name="Description" queryTableFieldId="2" dataDxfId="175"/>
    <tableColumn id="11" xr3:uid="{A9B9C458-9427-4BDE-8DCC-80FC6AF7FAB2}" uniqueName="11" name="Product Variant" queryTableFieldId="3" dataDxfId="174"/>
    <tableColumn id="12" xr3:uid="{EB92F66E-2C84-4DF9-A9BC-F9ACBAE492E2}" uniqueName="12" name="Status" queryTableFieldId="4" dataDxfId="173"/>
    <tableColumn id="13" xr3:uid="{594DAA5F-1002-4515-ADA8-403B86908FA7}" uniqueName="13" name="Company" queryTableFieldId="5" dataDxfId="172"/>
    <tableColumn id="14" xr3:uid="{F34E23B2-F972-458A-BF9A-915E6B301F35}" uniqueName="14" name="Hirer" queryTableFieldId="6" dataDxfId="171"/>
    <tableColumn id="15" xr3:uid="{9AA4F0A1-2EB2-469F-B544-62D32F6AE8EE}" uniqueName="15" name="On-Hire Date" queryTableFieldId="7" dataDxfId="170"/>
    <tableColumn id="16" xr3:uid="{207986AB-2DC4-4215-A52C-5B86DF54A108}" uniqueName="16" name="Variance" queryTableFieldId="8" dataDxfId="169"/>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60BBD91-C6CF-486E-A573-9F8EEA480B72}" name="K2EstimateTable" displayName="K2EstimateTable" ref="A1:I706" headerRowDxfId="168" dataDxfId="166" totalsRowDxfId="164" headerRowBorderDxfId="167" tableBorderDxfId="165">
  <autoFilter ref="A1:I706" xr:uid="{00000000-0009-0000-0100-000011000000}">
    <filterColumn colId="2">
      <filters>
        <filter val="Bow - Shackle - Alloy - 1t"/>
        <filter val="Bow - Shackle - Alloy - 2t"/>
        <filter val="Bow - Shackle - Alloy - 4t"/>
        <filter val="Bow Shackle - Alloy 3.25t"/>
      </filters>
    </filterColumn>
  </autoFilter>
  <tableColumns count="9">
    <tableColumn id="1" xr3:uid="{00000000-0010-0000-0D00-000001000000}" name="Storage Unit" dataDxfId="163"/>
    <tableColumn id="2" xr3:uid="{00000000-0010-0000-0D00-000002000000}" name="Product Variant" dataDxfId="162"/>
    <tableColumn id="3" xr3:uid="{00000000-0010-0000-0D00-000003000000}" name="Material Description" dataDxfId="161"/>
    <tableColumn id="4" xr3:uid="{00000000-0010-0000-0D00-000004000000}" name="2026 K2 Proposed Qty" dataDxfId="160"/>
    <tableColumn id="5" xr3:uid="{00000000-0010-0000-0D00-000005000000}" name="Daily Rate" dataDxfId="159"/>
    <tableColumn id="6" xr3:uid="{00000000-0010-0000-0D00-000006000000}" name="Hire Days" dataDxfId="158"/>
    <tableColumn id="7" xr3:uid="{00000000-0010-0000-0D00-000007000000}" name="Est Utilisation" dataDxfId="157"/>
    <tableColumn id="8" xr3:uid="{00000000-0010-0000-0D00-000008000000}" name="Est Total" dataDxfId="156">
      <calculatedColumnFormula>D2*E2*F2*G2</calculatedColumnFormula>
    </tableColumn>
    <tableColumn id="9" xr3:uid="{00000000-0010-0000-0D00-000009000000}" name="Rate Status" dataDxfId="155"/>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10000000}" name="CompanyAccountabilityTable" displayName="CompanyAccountabilityTable" ref="A4:X15" totalsRowShown="0" headerRowDxfId="154" headerRowBorderDxfId="153" tableBorderDxfId="152" totalsRowBorderDxfId="151">
  <tableColumns count="24">
    <tableColumn id="1" xr3:uid="{00000000-0010-0000-1000-000001000000}" name="Company" dataDxfId="150"/>
    <tableColumn id="2" xr3:uid="{00000000-0010-0000-1000-000002000000}" name="Tooling" dataDxfId="149"/>
    <tableColumn id="3" xr3:uid="{00000000-0010-0000-1000-000003000000}" name="Milwaukee" dataDxfId="148"/>
    <tableColumn id="4" xr3:uid="{00000000-0010-0000-1000-000004000000}" name="Radios" dataDxfId="147"/>
    <tableColumn id="5" xr3:uid="{00000000-0010-0000-1000-000005000000}" name="Radio Batteries" dataDxfId="146"/>
    <tableColumn id="6" xr3:uid="{00000000-0010-0000-1000-000006000000}" name="Gas Monitors" dataDxfId="145"/>
    <tableColumn id="7" xr3:uid="{00000000-0010-0000-1000-000007000000}" name="Total Items" dataDxfId="144"/>
    <tableColumn id="8" xr3:uid="{00000000-0010-0000-1000-000008000000}" name="Overdue 2d" dataDxfId="143"/>
    <tableColumn id="9" xr3:uid="{00000000-0010-0000-1000-000009000000}" name="High 3d" dataDxfId="142"/>
    <tableColumn id="10" xr3:uid="{00000000-0010-0000-1000-00000A000000}" name="Critical 4d+" dataDxfId="141"/>
    <tableColumn id="11" xr3:uid="{00000000-0010-0000-1000-00000B000000}" name="Oldest Days" dataDxfId="140"/>
    <tableColumn id="12" xr3:uid="{00000000-0010-0000-1000-00000C000000}" name="Replacement Exposure" dataDxfId="139"/>
    <tableColumn id="13" xr3:uid="{00000000-0010-0000-1000-00000D000000}" name="Exposure / Item" dataDxfId="138"/>
    <tableColumn id="14" xr3:uid="{00000000-0010-0000-1000-00000E000000}" name="Age Risk" dataDxfId="137"/>
    <tableColumn id="15" xr3:uid="{00000000-0010-0000-1000-00000F000000}" name="Exposure Risk" dataDxfId="136"/>
    <tableColumn id="16" xr3:uid="{00000000-0010-0000-1000-000010000000}" name="Portfolio Risk" dataDxfId="135"/>
    <tableColumn id="17" xr3:uid="{00000000-0010-0000-1000-000011000000}" name="Risk Score" dataDxfId="134"/>
    <tableColumn id="18" xr3:uid="{00000000-0010-0000-1000-000012000000}" name="Risk Band" dataDxfId="133"/>
    <tableColumn id="19" xr3:uid="{00000000-0010-0000-1000-000013000000}" name="Action" dataDxfId="132"/>
    <tableColumn id="20" xr3:uid="{00000000-0010-0000-1000-000014000000}" name="Action Owner" dataDxfId="131"/>
    <tableColumn id="21" xr3:uid="{00000000-0010-0000-1000-000015000000}" name="Action Due" dataDxfId="130"/>
    <tableColumn id="22" xr3:uid="{00000000-0010-0000-1000-000016000000}" name="Last Contact" dataDxfId="129"/>
    <tableColumn id="23" xr3:uid="{00000000-0010-0000-1000-000017000000}" name="Promised Return" dataDxfId="128"/>
    <tableColumn id="24" xr3:uid="{00000000-0010-0000-1000-000018000000}" name="Notes" dataDxfId="127"/>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7A65518-05B3-49C4-9F79-D08A81E1A137}" name="K2_StocktakeLog" displayName="K2_StocktakeLog" ref="A4:D58" tableType="queryTable" totalsRowShown="0" headerRowDxfId="126" dataDxfId="124" headerRowBorderDxfId="125" tableBorderDxfId="123" totalsRowBorderDxfId="122">
  <autoFilter ref="A4:D58" xr:uid="{E7A65518-05B3-49C4-9F79-D08A81E1A137}"/>
  <tableColumns count="4">
    <tableColumn id="5" xr3:uid="{415A8B9B-88EC-4A9A-816B-7A0D7907DCDE}" uniqueName="5" name="Date" queryTableFieldId="1" dataDxfId="121"/>
    <tableColumn id="6" xr3:uid="{17193393-2F63-4F85-B427-C3DF6869AB69}" uniqueName="6" name="Storage Unit" queryTableFieldId="2" dataDxfId="120"/>
    <tableColumn id="7" xr3:uid="{386D4E1F-9959-4E2A-A363-20FC10CCFD56}" uniqueName="7" name="Items Sighted" queryTableFieldId="3" dataDxfId="119"/>
    <tableColumn id="8" xr3:uid="{826D0465-93E5-41E0-8F29-E8E922B26E7E}" uniqueName="8" name="Counted By" queryTableFieldId="4" dataDxfId="118"/>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12000000}" name="K2ControlSettings" displayName="K2ControlSettings" ref="A3:F23" totalsRowShown="0" headerRowDxfId="117" headerRowBorderDxfId="116" tableBorderDxfId="115" totalsRowBorderDxfId="114">
  <autoFilter ref="A3:F23" xr:uid="{00000000-0009-0000-0100-00005D000000}"/>
  <tableColumns count="6">
    <tableColumn id="1" xr3:uid="{00000000-0010-0000-1200-000001000000}" name="Setting ID" dataDxfId="113"/>
    <tableColumn id="2" xr3:uid="{00000000-0010-0000-1200-000002000000}" name="Value" dataDxfId="112"/>
    <tableColumn id="3" xr3:uid="{00000000-0010-0000-1200-000003000000}" name="Unit" dataDxfId="111"/>
    <tableColumn id="4" xr3:uid="{00000000-0010-0000-1200-000004000000}" name="Control Owner" dataDxfId="110"/>
    <tableColumn id="5" xr3:uid="{00000000-0010-0000-1200-000005000000}" name="Editable" dataDxfId="109"/>
    <tableColumn id="6" xr3:uid="{00000000-0010-0000-1200-000006000000}" name="Description" dataDxfId="10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13000000}" name="K2SourceRegistry" displayName="K2SourceRegistry" ref="H3:Q17" totalsRowShown="0" headerRowDxfId="107" headerRowBorderDxfId="106" tableBorderDxfId="105" totalsRowBorderDxfId="104">
  <autoFilter ref="H3:Q17" xr:uid="{00000000-0009-0000-0100-00005E000000}"/>
  <tableColumns count="10">
    <tableColumn id="1" xr3:uid="{00000000-0010-0000-1300-000001000000}" name="Source ID" dataDxfId="103"/>
    <tableColumn id="2" xr3:uid="{00000000-0010-0000-1300-000002000000}" name="Domain" dataDxfId="102"/>
    <tableColumn id="3" xr3:uid="{00000000-0010-0000-1300-000003000000}" name="Source Object" dataDxfId="101"/>
    <tableColumn id="4" xr3:uid="{00000000-0010-0000-1300-000004000000}" name="Source Mode" dataDxfId="100"/>
    <tableColumn id="5" xr3:uid="{00000000-0010-0000-1300-000005000000}" name="Owner" dataDxfId="99"/>
    <tableColumn id="6" xr3:uid="{00000000-0010-0000-1300-000006000000}" name="Required" dataDxfId="98"/>
    <tableColumn id="7" xr3:uid="{00000000-0010-0000-1300-000007000000}" name="Freshness SLA Hours" dataDxfId="97"/>
    <tableColumn id="8" xr3:uid="{00000000-0010-0000-1300-000008000000}" name="Last Loaded" dataDxfId="96"/>
    <tableColumn id="9" xr3:uid="{00000000-0010-0000-1300-000009000000}" name="Status" dataDxfId="95"/>
    <tableColumn id="10" xr3:uid="{00000000-0010-0000-1300-00000A000000}" name="Notes" dataDxfId="9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00000000-000C-0000-FFFF-FFFF14000000}" name="K2CostCategories" displayName="K2CostCategories" ref="A26:G34" totalsRowShown="0">
  <autoFilter ref="A26:G34" xr:uid="{00000000-0009-0000-0100-00005F000000}"/>
  <tableColumns count="7">
    <tableColumn id="1" xr3:uid="{00000000-0010-0000-1400-000001000000}" name="Cost Category ID"/>
    <tableColumn id="2" xr3:uid="{00000000-0010-0000-1400-000002000000}" name="Display Name"/>
    <tableColumn id="3" xr3:uid="{00000000-0010-0000-1400-000003000000}" name="Forecast Header"/>
    <tableColumn id="4" xr3:uid="{00000000-0010-0000-1400-000004000000}" name="Actual Header"/>
    <tableColumn id="5" xr3:uid="{00000000-0010-0000-1400-000005000000}" name="Actual Mode"/>
    <tableColumn id="6" xr3:uid="{00000000-0010-0000-1400-000006000000}" name="Required"/>
    <tableColumn id="7" xr3:uid="{00000000-0010-0000-1400-000007000000}" name="Own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15000000}" name="K2CanonicalClass" displayName="K2CanonicalClass" ref="A38:R53" totalsRowShown="0" headerRowDxfId="93" headerRowBorderDxfId="92" tableBorderDxfId="91" totalsRowBorderDxfId="90">
  <autoFilter ref="A38:R53" xr:uid="{00000000-0009-0000-0100-000060000000}"/>
  <tableColumns count="18">
    <tableColumn id="1" xr3:uid="{00000000-0010-0000-1500-000001000000}" name="Class ID" dataDxfId="89"/>
    <tableColumn id="2" xr3:uid="{00000000-0010-0000-1500-000002000000}" name="Roll-up" dataDxfId="88"/>
    <tableColumn id="3" xr3:uid="{00000000-0010-0000-1500-000003000000}" name="Canonical Family" dataDxfId="87"/>
    <tableColumn id="4" xr3:uid="{00000000-0010-0000-1500-000004000000}" name="Priority" dataDxfId="86"/>
    <tableColumn id="5" xr3:uid="{00000000-0010-0000-1500-000005000000}" name="Source Table" dataDxfId="85"/>
    <tableColumn id="6" xr3:uid="{00000000-0010-0000-1500-000006000000}" name="Storage Unit" dataDxfId="84"/>
    <tableColumn id="7" xr3:uid="{00000000-0010-0000-1500-000007000000}" name="Match Column" dataDxfId="83"/>
    <tableColumn id="8" xr3:uid="{00000000-0010-0000-1500-000008000000}" name="Match Type" dataDxfId="82"/>
    <tableColumn id="9" xr3:uid="{00000000-0010-0000-1500-000009000000}" name="Match Pattern" dataDxfId="81"/>
    <tableColumn id="10" xr3:uid="{00000000-0010-0000-1500-00000A000000}" name="Planned Qty Source" dataDxfId="80"/>
    <tableColumn id="11" xr3:uid="{00000000-0010-0000-1500-00000B000000}" name="Forecast Source" dataDxfId="79"/>
    <tableColumn id="12" xr3:uid="{00000000-0010-0000-1500-00000C000000}" name="Actual Source" dataDxfId="78"/>
    <tableColumn id="13" xr3:uid="{00000000-0010-0000-1500-00000D000000}" name="Charge Basis" dataDxfId="77"/>
    <tableColumn id="14" xr3:uid="{00000000-0010-0000-1500-00000E000000}" name="Charge Basis Status" dataDxfId="76"/>
    <tableColumn id="15" xr3:uid="{00000000-0010-0000-1500-00000F000000}" name="Rate Source" dataDxfId="75"/>
    <tableColumn id="16" xr3:uid="{00000000-0010-0000-1500-000010000000}" name="Actual Required" dataDxfId="74"/>
    <tableColumn id="17" xr3:uid="{00000000-0010-0000-1500-000011000000}" name="Default Criticality" dataDxfId="73"/>
    <tableColumn id="18" xr3:uid="{00000000-0010-0000-1500-000012000000}" name="Active" dataDxfId="7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16000000}" name="K2ActualCompleteness" displayName="K2ActualCompleteness" ref="A3:N283" totalsRowShown="0">
  <autoFilter ref="A3:N283" xr:uid="{00000000-0009-0000-0100-000061000000}"/>
  <tableColumns count="14">
    <tableColumn id="1" xr3:uid="{00000000-0010-0000-1600-000001000000}" name="Date"/>
    <tableColumn id="2" xr3:uid="{00000000-0010-0000-1600-000002000000}" name="Cost Category ID"/>
    <tableColumn id="3" xr3:uid="{00000000-0010-0000-1600-000003000000}" name="Cost Category"/>
    <tableColumn id="4" xr3:uid="{00000000-0010-0000-1600-000004000000}" name="Actual Header"/>
    <tableColumn id="5" xr3:uid="{00000000-0010-0000-1600-000005000000}" name="Actual Mode"/>
    <tableColumn id="6" xr3:uid="{00000000-0010-0000-1600-000006000000}" name="Actual Value"/>
    <tableColumn id="7" xr3:uid="{00000000-0010-0000-1600-000007000000}" name="Day State">
      <calculatedColumnFormula>IF(K2ActualCompleteness[[#This Row],[Date]]&gt;K2_ControlAsOfDate,"NOT DUE",IF(AND(K2ActualCompleteness[[#This Row],[Date]]=K2_ControlAsOfDate,MOD(NOW(),1)&lt;K2_DailyCloseTime),"OPEN","DUE"))</calculatedColumnFormula>
    </tableColumn>
    <tableColumn id="8" xr3:uid="{00000000-0010-0000-1600-000008000000}" name="Override Status"/>
    <tableColumn id="9" xr3:uid="{00000000-0010-0000-1600-000009000000}" name="Override Reason"/>
    <tableColumn id="10" xr3:uid="{00000000-0010-0000-1600-00000A000000}" name="Owner"/>
    <tableColumn id="11" xr3:uid="{00000000-0010-0000-1600-00000B000000}" name="Source Timestamp"/>
    <tableColumn id="12" xr3:uid="{00000000-0010-0000-1600-00000C000000}" name="Status"/>
    <tableColumn id="13" xr3:uid="{00000000-0010-0000-1600-00000D000000}" name="Age Hours">
      <calculatedColumnFormula>IF(K2ActualCompleteness[[#This Row],[Status]]="MISSING",MAX(0,24*(NOW()-(K2ActualCompleteness[[#This Row],[Date]]+K2_DailyCloseTime))),0)</calculatedColumnFormula>
    </tableColumn>
    <tableColumn id="14" xr3:uid="{00000000-0010-0000-1600-00000E000000}" name="Exception Key"/>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17000000}" name="K2HealthVector" displayName="K2HealthVector" ref="Q3:AI24" totalsRowShown="0">
  <autoFilter ref="Q3:AI24" xr:uid="{00000000-0009-0000-0100-000062000000}"/>
  <tableColumns count="19">
    <tableColumn id="1" xr3:uid="{00000000-0010-0000-1700-000001000000}" name="Control ID"/>
    <tableColumn id="2" xr3:uid="{00000000-0010-0000-1700-000002000000}" name="Display Order"/>
    <tableColumn id="3" xr3:uid="{00000000-0010-0000-1700-000003000000}" name="Domain"/>
    <tableColumn id="4" xr3:uid="{00000000-0010-0000-1700-000004000000}" name="Control"/>
    <tableColumn id="5" xr3:uid="{00000000-0010-0000-1700-000005000000}" name="Severity"/>
    <tableColumn id="6" xr3:uid="{00000000-0010-0000-1700-000006000000}" name="Severity Rank"/>
    <tableColumn id="7" xr3:uid="{00000000-0010-0000-1700-000007000000}" name="Observed"/>
    <tableColumn id="8" xr3:uid="{00000000-0010-0000-1700-000008000000}" name="Rule / Target"/>
    <tableColumn id="9" xr3:uid="{00000000-0010-0000-1700-000009000000}" name="Status"/>
    <tableColumn id="10" xr3:uid="{00000000-0010-0000-1700-00000A000000}" name="Exception Detail"/>
    <tableColumn id="11" xr3:uid="{00000000-0010-0000-1700-00000B000000}" name="Owner"/>
    <tableColumn id="12" xr3:uid="{00000000-0010-0000-1700-00000C000000}" name="Source"/>
    <tableColumn id="13" xr3:uid="{00000000-0010-0000-1700-00000D000000}" name="Last Evaluated"/>
    <tableColumn id="14" xr3:uid="{00000000-0010-0000-1700-00000E000000}" name="Override Status"/>
    <tableColumn id="15" xr3:uid="{00000000-0010-0000-1700-00000F000000}" name="Override Reason"/>
    <tableColumn id="16" xr3:uid="{00000000-0010-0000-1700-000010000000}" name="Override Approver"/>
    <tableColumn id="17" xr3:uid="{00000000-0010-0000-1700-000011000000}" name="Override Timestamp"/>
    <tableColumn id="18" xr3:uid="{00000000-0010-0000-1700-000012000000}" name="Effective Status"/>
    <tableColumn id="19" xr3:uid="{00000000-0010-0000-1700-000013000000}" name="Exception Sort Key"/>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18000000}" name="K2QuantityReconciliation" displayName="K2QuantityReconciliation" ref="Q27:AC36" totalsRowShown="0">
  <autoFilter ref="Q27:AC36" xr:uid="{00000000-0009-0000-0100-000063000000}"/>
  <tableColumns count="13">
    <tableColumn id="1" xr3:uid="{00000000-0010-0000-1800-000001000000}" name="Class ID"/>
    <tableColumn id="2" xr3:uid="{00000000-0010-0000-1800-000002000000}" name="Control Group"/>
    <tableColumn id="3" xr3:uid="{00000000-0010-0000-1800-000003000000}" name="Planned Qty"/>
    <tableColumn id="4" xr3:uid="{00000000-0010-0000-1800-000004000000}" name="Live Qty"/>
    <tableColumn id="5" xr3:uid="{00000000-0010-0000-1800-000005000000}" name="Difference"/>
    <tableColumn id="6" xr3:uid="{00000000-0010-0000-1800-000006000000}" name="Tolerance"/>
    <tableColumn id="7" xr3:uid="{00000000-0010-0000-1800-000007000000}" name="Status"/>
    <tableColumn id="8" xr3:uid="{00000000-0010-0000-1800-000008000000}" name="Planned Source"/>
    <tableColumn id="9" xr3:uid="{00000000-0010-0000-1800-000009000000}" name="Live Source"/>
    <tableColumn id="10" xr3:uid="{00000000-0010-0000-1800-00000A000000}" name="Unit Rate"/>
    <tableColumn id="11" xr3:uid="{00000000-0010-0000-1800-00000B000000}" name="Charge Basis"/>
    <tableColumn id="12" xr3:uid="{00000000-0010-0000-1800-00000C000000}" name="Owner"/>
    <tableColumn id="13" xr3:uid="{00000000-0010-0000-1800-00000D000000}" name="Note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19000000}" name="K2DailyCompleteness" displayName="K2DailyCompleteness" ref="AK3:AP38" totalsRowShown="0">
  <autoFilter ref="AK3:AP38" xr:uid="{00000000-0009-0000-0100-000064000000}"/>
  <tableColumns count="6">
    <tableColumn id="1" xr3:uid="{00000000-0010-0000-1900-000001000000}" name="Date"/>
    <tableColumn id="2" xr3:uid="{00000000-0010-0000-1900-000002000000}" name="Day State"/>
    <tableColumn id="3" xr3:uid="{00000000-0010-0000-1900-000003000000}" name="Complete / Approved"/>
    <tableColumn id="4" xr3:uid="{00000000-0010-0000-1900-000004000000}" name="Required"/>
    <tableColumn id="5" xr3:uid="{00000000-0010-0000-1900-000005000000}" name="Completion %"/>
    <tableColumn id="6" xr3:uid="{00000000-0010-0000-1900-000006000000}" name="Statu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4008A4-319D-4F0A-BEDF-920188BD770D}" name="K2_ConsumablesStock" displayName="K2_ConsumablesStock" ref="A4:G62" tableType="queryTable" totalsRowShown="0" headerRowDxfId="71" dataDxfId="69" headerRowBorderDxfId="70" tableBorderDxfId="68" totalsRowBorderDxfId="67">
  <autoFilter ref="A4:G62" xr:uid="{C84008A4-319D-4F0A-BEDF-920188BD770D}"/>
  <tableColumns count="7">
    <tableColumn id="8" xr3:uid="{E38510E3-DFDC-4F3B-A77A-CB4FA2891A0E}" uniqueName="8" name="Storage Unit" queryTableFieldId="1" dataDxfId="66"/>
    <tableColumn id="9" xr3:uid="{219C056D-6E9A-4E85-97CA-D7A7ADECB427}" uniqueName="9" name="SKU" queryTableFieldId="2" dataDxfId="65"/>
    <tableColumn id="10" xr3:uid="{8AC18D20-6F71-4E1C-AE46-EE25747671E6}" uniqueName="10" name="Description" queryTableFieldId="3" dataDxfId="64"/>
    <tableColumn id="11" xr3:uid="{DD725D05-8844-4314-8EFE-A02EC407AD50}" uniqueName="11" name="Available Qty" queryTableFieldId="4" dataDxfId="63"/>
    <tableColumn id="12" xr3:uid="{7E91D2F8-D820-4661-84EF-CC53B3D35DF0}" uniqueName="12" name="Minimum Qty" queryTableFieldId="5" dataDxfId="62"/>
    <tableColumn id="13" xr3:uid="{2EA41586-A4D4-472F-8166-DEB82B817268}" uniqueName="13" name="Reorder Qty" queryTableFieldId="6" dataDxfId="61"/>
    <tableColumn id="14" xr3:uid="{71A6485C-675E-49C4-A0AD-AC4E277D89BE}" uniqueName="14" name="Status" queryTableFieldId="7" dataDxfId="60"/>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3B0E7E0-A396-4864-BD01-02B50C7363D1}" name="K2_ConsumablesUtilisation" displayName="K2_ConsumablesUtilisation" ref="A4:G61" tableType="queryTable" totalsRowShown="0" headerRowDxfId="59" dataDxfId="58">
  <autoFilter ref="A4:G61" xr:uid="{C3B0E7E0-A396-4864-BD01-02B50C7363D1}"/>
  <tableColumns count="7">
    <tableColumn id="8" xr3:uid="{9C17B374-C5CE-44D5-9AE3-736281B1EA35}" uniqueName="8" name="Description" queryTableFieldId="1" dataDxfId="57"/>
    <tableColumn id="9" xr3:uid="{C1D59D5B-78AE-45A2-BCE6-154274ED6251}" uniqueName="9" name="Available Stock" queryTableFieldId="2" dataDxfId="56"/>
    <tableColumn id="10" xr3:uid="{D1C2C770-9CDD-4315-A51B-26F74B563AD0}" uniqueName="10" name="Total Taken" queryTableFieldId="3" dataDxfId="55"/>
    <tableColumn id="11" xr3:uid="{D8743BED-DFC1-4781-A925-C96C1B8735E4}" uniqueName="11" name="Total Returned" queryTableFieldId="4" dataDxfId="54"/>
    <tableColumn id="12" xr3:uid="{BA66678A-99CF-43B5-AA1C-BAACBCE2DD4D}" uniqueName="12" name="Unique Companies" queryTableFieldId="5" dataDxfId="53"/>
    <tableColumn id="13" xr3:uid="{9C24946C-8D66-4890-929C-1E478D6C34C9}" uniqueName="13" name="Unique Hirers" queryTableFieldId="6" dataDxfId="52"/>
    <tableColumn id="14" xr3:uid="{CD08F5E3-0F7F-461A-8051-8DE0FEE319C2}" uniqueName="14" name="Utilisation %" queryTableFieldId="7" dataDxfId="51"/>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021284-BDBE-4B9A-85B3-FB5B27676DB6}" name="K2_ConsumablesMovement" displayName="K2_ConsumablesMovement" ref="A4:F79" tableType="queryTable" totalsRowShown="0" headerRowDxfId="50" dataDxfId="48" headerRowBorderDxfId="49" tableBorderDxfId="47" totalsRowBorderDxfId="46">
  <autoFilter ref="A4:F79" xr:uid="{79021284-BDBE-4B9A-85B3-FB5B27676DB6}"/>
  <tableColumns count="6">
    <tableColumn id="7" xr3:uid="{3F31C7B9-7358-4F5F-A64B-288314D235CE}" uniqueName="7" name="Company" queryTableFieldId="1" dataDxfId="45"/>
    <tableColumn id="8" xr3:uid="{8D73202C-CC04-43D4-AC07-801C9BB2BCD4}" uniqueName="8" name="Hirer" queryTableFieldId="2" dataDxfId="44"/>
    <tableColumn id="9" xr3:uid="{DB57E49C-2D1E-48A9-B04D-9A13D81BAB4D}" uniqueName="9" name="Description" queryTableFieldId="3" dataDxfId="43"/>
    <tableColumn id="10" xr3:uid="{0FD5B410-7387-4354-A25E-A49FF2BED26D}" uniqueName="10" name="Qty Taken" queryTableFieldId="4" dataDxfId="42"/>
    <tableColumn id="11" xr3:uid="{5ADDF1EB-A447-4788-9213-21EFCF5320DC}" uniqueName="11" name="Sales Date" queryTableFieldId="5" dataDxfId="41"/>
    <tableColumn id="12" xr3:uid="{1FCEA810-1ED2-434E-8487-8B0312EDF2B9}" uniqueName="12" name="Sales Time" queryTableFieldId="6" dataDxfId="40"/>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CCE70E5-09E2-4FDD-88A9-63D6FC8DF3AA}" name="K2_CompanySpend" displayName="K2_CompanySpend" ref="A4:H18" tableType="queryTable" totalsRowShown="0" headerRowDxfId="39" headerRowBorderDxfId="38" tableBorderDxfId="37" totalsRowBorderDxfId="36">
  <autoFilter ref="A4:H18" xr:uid="{ACCE70E5-09E2-4FDD-88A9-63D6FC8DF3AA}"/>
  <tableColumns count="8">
    <tableColumn id="9" xr3:uid="{0952EF27-FE48-4E8D-8359-CE251DB6F02F}" uniqueName="9" name="Company" queryTableFieldId="1"/>
    <tableColumn id="10" xr3:uid="{A8EFF958-4D58-4A8F-BF14-10C20F5635F2}" uniqueName="10" name="Unique Hirers" queryTableFieldId="2"/>
    <tableColumn id="11" xr3:uid="{8484DBAF-34E6-4011-A25D-2F82482CBD12}" uniqueName="11" name="Transactions" queryTableFieldId="3"/>
    <tableColumn id="12" xr3:uid="{87679062-C437-4AD9-A6E6-DBC1ED248392}" uniqueName="12" name="Items On Hire" queryTableFieldId="4"/>
    <tableColumn id="13" xr3:uid="{D891292A-FEF4-4E92-B387-346A355DF6AE}" uniqueName="13" name="Cumulative Days On Hire" queryTableFieldId="5"/>
    <tableColumn id="14" xr3:uid="{82DE7510-60D4-4200-8094-3E0598F08287}" uniqueName="14" name="Est. Hire Spend $" queryTableFieldId="6"/>
    <tableColumn id="15" xr3:uid="{5C3BAAC2-F6F0-48BD-8BB9-28144A947434}" uniqueName="15" name="Consumables Qty" queryTableFieldId="7"/>
    <tableColumn id="16" xr3:uid="{27CE0D02-BDAA-41E9-813E-76E00161C0A3}" uniqueName="16" name="Spend per Hirer $" queryTableFieldId="8"/>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81DF32C-EFBA-46E0-83E6-309DCBC5968B}" name="K2_StocktakeCoverage" displayName="K2_StocktakeCoverage" ref="A4:F13" tableType="queryTable" totalsRowShown="0" headerRowDxfId="35" dataDxfId="33" headerRowBorderDxfId="34" tableBorderDxfId="32" totalsRowBorderDxfId="31">
  <autoFilter ref="A4:F13" xr:uid="{881DF32C-EFBA-46E0-83E6-309DCBC5968B}"/>
  <tableColumns count="6">
    <tableColumn id="7" xr3:uid="{6946F59C-F149-4DBF-B639-7574BA36946F}" uniqueName="7" name="Storage Unit" queryTableFieldId="1" dataDxfId="30"/>
    <tableColumn id="8" xr3:uid="{C1E42A32-7815-4407-8E02-B1B87F09984F}" uniqueName="8" name="Items" queryTableFieldId="2" dataDxfId="29"/>
    <tableColumn id="9" xr3:uid="{DDA1DFFA-6289-4E82-A948-D5AE04B0C05C}" uniqueName="9" name="Sighted &lt;= 3 Days" queryTableFieldId="3" dataDxfId="28"/>
    <tableColumn id="10" xr3:uid="{454E7F54-E2A9-47FB-A3B6-01A2F5FE5BD2}" uniqueName="10" name="Sighted &lt;= 7 Days" queryTableFieldId="4" dataDxfId="27"/>
    <tableColumn id="11" xr3:uid="{83986577-32BE-42A3-9B00-F0545B3E5421}" uniqueName="11" name="% Sighted &lt;= 7 Days" queryTableFieldId="5" dataDxfId="26"/>
    <tableColumn id="12" xr3:uid="{8823B65B-FDDF-41B1-B9C3-05660D035303}" uniqueName="12" name="Status" queryTableFieldId="6" dataDxfId="25"/>
  </tableColumns>
  <tableStyleInfo name="TableStyleMedium3"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5.bin"/><Relationship Id="rId4"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 Id="rId4"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2CA45-B81B-4891-8A69-9EE92D8D1237}">
  <dimension ref="A1:V200"/>
  <sheetViews>
    <sheetView showGridLines="0" tabSelected="1" workbookViewId="0">
      <pane ySplit="1" topLeftCell="A2" activePane="bottomLeft" state="frozen"/>
      <selection activeCell="I1" sqref="I1"/>
      <selection pane="bottomLeft" activeCell="O11" sqref="O10:O11"/>
    </sheetView>
  </sheetViews>
  <sheetFormatPr defaultColWidth="8.69921875" defaultRowHeight="12"/>
  <cols>
    <col min="1" max="1" width="25.3984375" style="6" bestFit="1" customWidth="1"/>
    <col min="2" max="2" width="14.296875" style="6" bestFit="1" customWidth="1"/>
    <col min="3" max="3" width="33.09765625" style="6" bestFit="1" customWidth="1"/>
    <col min="4" max="4" width="7.69921875" style="6" bestFit="1" customWidth="1"/>
    <col min="5" max="5" width="25.09765625" style="16" bestFit="1" customWidth="1"/>
    <col min="6" max="6" width="12.59765625" style="16" bestFit="1" customWidth="1"/>
    <col min="7" max="7" width="12.796875" style="16" bestFit="1" customWidth="1"/>
    <col min="8" max="8" width="12.59765625" style="16" bestFit="1" customWidth="1"/>
    <col min="9" max="9" width="13.796875" style="28" bestFit="1" customWidth="1"/>
    <col min="10" max="10" width="15.5" style="16" bestFit="1" customWidth="1"/>
    <col min="11" max="11" width="11.59765625" style="16" bestFit="1" customWidth="1"/>
    <col min="12" max="12" width="38.09765625" style="16" bestFit="1" customWidth="1"/>
    <col min="13" max="13" width="19.5" style="6" bestFit="1" customWidth="1"/>
    <col min="14" max="14" width="18.09765625" style="6" bestFit="1" customWidth="1"/>
    <col min="15" max="15" width="16.59765625" style="6" customWidth="1"/>
    <col min="16" max="16" width="42.59765625" style="16" customWidth="1"/>
    <col min="17" max="17" width="14.59765625" style="16" customWidth="1"/>
    <col min="18" max="18" width="13" style="16" customWidth="1"/>
    <col min="19" max="19" width="16.59765625" style="6" customWidth="1"/>
    <col min="20" max="20" width="42.59765625" style="16" customWidth="1"/>
    <col min="21" max="21" width="14.59765625" style="16" customWidth="1"/>
    <col min="22" max="22" width="28.59765625" style="16" customWidth="1"/>
    <col min="23" max="23" width="20.59765625" style="6" customWidth="1"/>
    <col min="24" max="16384" width="8.69921875" style="6"/>
  </cols>
  <sheetData>
    <row r="1" spans="1:22" ht="15.6">
      <c r="A1" s="5" t="s">
        <v>0</v>
      </c>
      <c r="B1" s="5" t="s">
        <v>1</v>
      </c>
      <c r="C1" s="5" t="s">
        <v>2</v>
      </c>
      <c r="D1" s="5" t="s">
        <v>3</v>
      </c>
      <c r="E1" s="5" t="s">
        <v>4</v>
      </c>
      <c r="F1" s="4" t="s">
        <v>5</v>
      </c>
      <c r="G1" s="4" t="s">
        <v>6</v>
      </c>
      <c r="H1" s="112" t="s">
        <v>7</v>
      </c>
      <c r="I1" s="177" t="s">
        <v>2918</v>
      </c>
      <c r="J1" s="114" t="s">
        <v>8</v>
      </c>
      <c r="K1" s="26" t="s">
        <v>9</v>
      </c>
      <c r="L1" s="4" t="s">
        <v>10</v>
      </c>
      <c r="N1"/>
      <c r="O1"/>
      <c r="P1"/>
      <c r="Q1"/>
      <c r="R1" s="412" t="s">
        <v>3456</v>
      </c>
      <c r="S1" s="413"/>
      <c r="T1" s="413"/>
      <c r="U1" s="413"/>
      <c r="V1" s="414"/>
    </row>
    <row r="2" spans="1:22" ht="14.4">
      <c r="A2" s="213" t="s">
        <v>11</v>
      </c>
      <c r="B2" s="213" t="s">
        <v>3712</v>
      </c>
      <c r="C2" s="213" t="s">
        <v>3889</v>
      </c>
      <c r="D2" s="213" t="s">
        <v>3465</v>
      </c>
      <c r="E2" s="213" t="s">
        <v>2266</v>
      </c>
      <c r="F2" s="101">
        <v>46228</v>
      </c>
      <c r="G2" s="223">
        <v>0.62708333333333333</v>
      </c>
      <c r="H2" s="102">
        <v>2</v>
      </c>
      <c r="I2" s="16">
        <v>29.75</v>
      </c>
      <c r="J2" s="215">
        <v>1815</v>
      </c>
      <c r="K2" s="102" t="s">
        <v>3689</v>
      </c>
      <c r="L2" s="102" t="s">
        <v>3833</v>
      </c>
      <c r="N2"/>
      <c r="O2"/>
      <c r="P2"/>
      <c r="Q2"/>
      <c r="R2" s="409" t="s">
        <v>3457</v>
      </c>
      <c r="S2" s="410"/>
      <c r="T2" s="410"/>
      <c r="U2" s="410"/>
      <c r="V2" s="411"/>
    </row>
    <row r="3" spans="1:22" ht="13.8">
      <c r="A3" s="10" t="s">
        <v>3446</v>
      </c>
      <c r="B3" s="10" t="s">
        <v>3958</v>
      </c>
      <c r="C3" s="10" t="s">
        <v>3959</v>
      </c>
      <c r="D3" s="10" t="s">
        <v>3475</v>
      </c>
      <c r="E3" s="10" t="s">
        <v>2266</v>
      </c>
      <c r="F3" s="8">
        <v>46229</v>
      </c>
      <c r="G3" s="21">
        <v>0.26805555555555555</v>
      </c>
      <c r="H3" s="9">
        <v>1</v>
      </c>
      <c r="I3" s="16">
        <v>29.75</v>
      </c>
      <c r="J3" s="24">
        <v>1815</v>
      </c>
      <c r="K3" s="9" t="s">
        <v>3832</v>
      </c>
      <c r="L3" s="9" t="s">
        <v>3833</v>
      </c>
      <c r="N3"/>
      <c r="O3"/>
      <c r="P3"/>
      <c r="Q3"/>
      <c r="R3" s="407" t="s">
        <v>3705</v>
      </c>
      <c r="S3" s="408"/>
      <c r="T3" s="408"/>
      <c r="U3" s="408"/>
      <c r="V3" s="408"/>
    </row>
    <row r="4" spans="1:22" ht="13.8">
      <c r="A4" s="10" t="s">
        <v>3446</v>
      </c>
      <c r="B4" s="10" t="s">
        <v>3834</v>
      </c>
      <c r="C4" s="10" t="s">
        <v>3835</v>
      </c>
      <c r="D4" s="10" t="s">
        <v>3477</v>
      </c>
      <c r="E4" s="10" t="s">
        <v>2266</v>
      </c>
      <c r="F4" s="8">
        <v>46229</v>
      </c>
      <c r="G4" s="21">
        <v>0.2673611111111111</v>
      </c>
      <c r="H4" s="9">
        <v>1</v>
      </c>
      <c r="I4" s="16">
        <v>29.75</v>
      </c>
      <c r="J4" s="24">
        <v>1815</v>
      </c>
      <c r="K4" s="9" t="s">
        <v>3832</v>
      </c>
      <c r="L4" s="9" t="s">
        <v>3833</v>
      </c>
      <c r="N4"/>
      <c r="O4"/>
      <c r="P4"/>
      <c r="Q4"/>
      <c r="R4" s="243"/>
      <c r="S4" s="10"/>
      <c r="T4" s="9"/>
      <c r="U4" s="9"/>
      <c r="V4" s="9"/>
    </row>
    <row r="5" spans="1:22" ht="13.8">
      <c r="A5" s="10" t="s">
        <v>3446</v>
      </c>
      <c r="B5" s="10" t="s">
        <v>3960</v>
      </c>
      <c r="C5" s="10" t="s">
        <v>3961</v>
      </c>
      <c r="D5" s="10" t="s">
        <v>3471</v>
      </c>
      <c r="E5" s="10" t="s">
        <v>2266</v>
      </c>
      <c r="F5" s="8">
        <v>46229</v>
      </c>
      <c r="G5" s="21">
        <v>0.26805555555555555</v>
      </c>
      <c r="H5" s="9">
        <v>1</v>
      </c>
      <c r="I5" s="16">
        <v>29.75</v>
      </c>
      <c r="J5" s="24">
        <v>1815</v>
      </c>
      <c r="K5" s="9" t="s">
        <v>3832</v>
      </c>
      <c r="L5" s="9" t="s">
        <v>3833</v>
      </c>
      <c r="N5"/>
      <c r="O5"/>
      <c r="P5"/>
      <c r="Q5"/>
      <c r="R5" s="314" t="s">
        <v>3458</v>
      </c>
      <c r="S5" s="297" t="s">
        <v>3459</v>
      </c>
      <c r="T5" s="298" t="s">
        <v>3460</v>
      </c>
      <c r="U5" s="298" t="s">
        <v>3461</v>
      </c>
      <c r="V5" s="9"/>
    </row>
    <row r="6" spans="1:22" ht="18">
      <c r="A6" s="10" t="s">
        <v>3836</v>
      </c>
      <c r="B6" s="10" t="s">
        <v>3837</v>
      </c>
      <c r="C6" s="10" t="s">
        <v>3838</v>
      </c>
      <c r="D6" s="10" t="s">
        <v>3489</v>
      </c>
      <c r="E6" s="10" t="s">
        <v>2266</v>
      </c>
      <c r="F6" s="8">
        <v>46229</v>
      </c>
      <c r="G6" s="21">
        <v>0.27361111111111114</v>
      </c>
      <c r="H6" s="9">
        <v>1</v>
      </c>
      <c r="I6" s="16">
        <v>29.75</v>
      </c>
      <c r="J6" s="24">
        <v>1815</v>
      </c>
      <c r="K6" s="9" t="s">
        <v>3832</v>
      </c>
      <c r="L6" s="9" t="s">
        <v>3833</v>
      </c>
      <c r="N6"/>
      <c r="O6"/>
      <c r="P6"/>
      <c r="Q6"/>
      <c r="R6" s="315">
        <v>30</v>
      </c>
      <c r="S6" s="299">
        <v>0</v>
      </c>
      <c r="T6" s="300">
        <v>5</v>
      </c>
      <c r="U6" s="300">
        <v>25</v>
      </c>
      <c r="V6" s="9"/>
    </row>
    <row r="7" spans="1:22" ht="13.8">
      <c r="A7" s="10" t="s">
        <v>3074</v>
      </c>
      <c r="B7" s="10" t="s">
        <v>3890</v>
      </c>
      <c r="C7" s="10" t="s">
        <v>3891</v>
      </c>
      <c r="D7" s="10" t="s">
        <v>3480</v>
      </c>
      <c r="E7" s="10" t="s">
        <v>2266</v>
      </c>
      <c r="F7" s="8">
        <v>46229</v>
      </c>
      <c r="G7" s="21">
        <v>0.2673611111111111</v>
      </c>
      <c r="H7" s="9">
        <v>1</v>
      </c>
      <c r="I7" s="16">
        <v>29.75</v>
      </c>
      <c r="J7" s="24">
        <v>1815</v>
      </c>
      <c r="K7" s="9" t="s">
        <v>3832</v>
      </c>
      <c r="L7" s="9" t="s">
        <v>3833</v>
      </c>
      <c r="N7"/>
      <c r="O7"/>
      <c r="P7"/>
      <c r="Q7"/>
      <c r="R7" s="243"/>
      <c r="S7" s="10"/>
      <c r="T7" s="9"/>
      <c r="U7" s="9"/>
      <c r="V7" s="9"/>
    </row>
    <row r="8" spans="1:22" ht="13.8">
      <c r="A8" s="10" t="s">
        <v>3074</v>
      </c>
      <c r="B8" s="10" t="s">
        <v>3962</v>
      </c>
      <c r="C8" s="10" t="s">
        <v>3963</v>
      </c>
      <c r="D8" s="10" t="s">
        <v>3478</v>
      </c>
      <c r="E8" s="10" t="s">
        <v>2266</v>
      </c>
      <c r="F8" s="8">
        <v>46229</v>
      </c>
      <c r="G8" s="21">
        <v>0.26874999999999999</v>
      </c>
      <c r="H8" s="9">
        <v>1</v>
      </c>
      <c r="I8" s="16">
        <v>29.75</v>
      </c>
      <c r="J8" s="24">
        <v>1815</v>
      </c>
      <c r="K8" s="9" t="s">
        <v>3832</v>
      </c>
      <c r="L8" s="9" t="s">
        <v>3833</v>
      </c>
      <c r="N8"/>
      <c r="O8"/>
      <c r="P8"/>
      <c r="Q8"/>
      <c r="R8" s="316" t="s">
        <v>3</v>
      </c>
      <c r="S8" s="287" t="s">
        <v>636</v>
      </c>
      <c r="T8" s="294" t="s">
        <v>3462</v>
      </c>
      <c r="U8" s="294" t="s">
        <v>3463</v>
      </c>
      <c r="V8" s="294" t="s">
        <v>3464</v>
      </c>
    </row>
    <row r="9" spans="1:22" ht="14.4">
      <c r="A9" s="373" t="s">
        <v>3714</v>
      </c>
      <c r="B9" s="373" t="s">
        <v>3964</v>
      </c>
      <c r="C9" s="373" t="s">
        <v>3965</v>
      </c>
      <c r="D9" s="373" t="s">
        <v>3470</v>
      </c>
      <c r="E9" s="373" t="s">
        <v>2266</v>
      </c>
      <c r="F9" s="13">
        <v>46229</v>
      </c>
      <c r="G9" s="393">
        <v>0.28541666666666665</v>
      </c>
      <c r="H9" s="14">
        <v>1</v>
      </c>
      <c r="I9" s="16">
        <v>29.75</v>
      </c>
      <c r="J9" s="29">
        <v>1815</v>
      </c>
      <c r="K9" s="14" t="s">
        <v>3832</v>
      </c>
      <c r="L9" s="14" t="s">
        <v>3833</v>
      </c>
      <c r="N9"/>
      <c r="O9"/>
      <c r="P9"/>
      <c r="Q9"/>
      <c r="R9" s="301" t="s">
        <v>3465</v>
      </c>
      <c r="S9" s="288" t="s">
        <v>2266</v>
      </c>
      <c r="T9" s="293" t="s">
        <v>3466</v>
      </c>
      <c r="U9" s="292" t="s">
        <v>3467</v>
      </c>
      <c r="V9" s="295">
        <v>1</v>
      </c>
    </row>
    <row r="10" spans="1:22" ht="14.4">
      <c r="N10"/>
      <c r="O10"/>
      <c r="P10"/>
      <c r="Q10"/>
      <c r="R10" s="302" t="s">
        <v>3473</v>
      </c>
      <c r="S10" s="289" t="s">
        <v>2266</v>
      </c>
      <c r="T10" s="291" t="s">
        <v>3466</v>
      </c>
      <c r="U10" s="290" t="s">
        <v>3467</v>
      </c>
      <c r="V10" s="296">
        <v>1</v>
      </c>
    </row>
    <row r="11" spans="1:22" ht="14.4">
      <c r="N11"/>
      <c r="O11"/>
      <c r="P11"/>
      <c r="Q11"/>
      <c r="R11" s="301" t="s">
        <v>3478</v>
      </c>
      <c r="S11" s="288" t="s">
        <v>2266</v>
      </c>
      <c r="T11" s="293" t="s">
        <v>3466</v>
      </c>
      <c r="U11" s="292" t="s">
        <v>3467</v>
      </c>
      <c r="V11" s="295">
        <v>1</v>
      </c>
    </row>
    <row r="12" spans="1:22" ht="14.4">
      <c r="N12"/>
      <c r="O12"/>
      <c r="P12"/>
      <c r="Q12"/>
      <c r="R12" s="302" t="s">
        <v>3479</v>
      </c>
      <c r="S12" s="289" t="s">
        <v>2266</v>
      </c>
      <c r="T12" s="291" t="s">
        <v>3466</v>
      </c>
      <c r="U12" s="290" t="s">
        <v>3467</v>
      </c>
      <c r="V12" s="296">
        <v>1</v>
      </c>
    </row>
    <row r="13" spans="1:22" ht="14.4">
      <c r="N13"/>
      <c r="O13"/>
      <c r="P13"/>
      <c r="Q13"/>
      <c r="R13" s="301" t="s">
        <v>3494</v>
      </c>
      <c r="S13" s="288" t="s">
        <v>2266</v>
      </c>
      <c r="T13" s="293" t="s">
        <v>3466</v>
      </c>
      <c r="U13" s="292" t="s">
        <v>3467</v>
      </c>
      <c r="V13" s="295">
        <v>1</v>
      </c>
    </row>
    <row r="14" spans="1:22" ht="14.4">
      <c r="N14"/>
      <c r="O14"/>
      <c r="P14"/>
      <c r="Q14"/>
      <c r="R14" s="302" t="s">
        <v>3468</v>
      </c>
      <c r="S14" s="289" t="s">
        <v>2266</v>
      </c>
      <c r="T14" s="291" t="s">
        <v>3466</v>
      </c>
      <c r="U14" s="290" t="s">
        <v>3467</v>
      </c>
      <c r="V14" s="291">
        <v>0</v>
      </c>
    </row>
    <row r="15" spans="1:22" ht="14.4">
      <c r="N15"/>
      <c r="O15"/>
      <c r="P15"/>
      <c r="Q15"/>
      <c r="R15" s="301" t="s">
        <v>3469</v>
      </c>
      <c r="S15" s="288" t="s">
        <v>2266</v>
      </c>
      <c r="T15" s="293" t="s">
        <v>3466</v>
      </c>
      <c r="U15" s="292" t="s">
        <v>3467</v>
      </c>
      <c r="V15" s="293">
        <v>0</v>
      </c>
    </row>
    <row r="16" spans="1:22" ht="14.4">
      <c r="N16"/>
      <c r="O16"/>
      <c r="P16"/>
      <c r="Q16"/>
      <c r="R16" s="302" t="s">
        <v>3470</v>
      </c>
      <c r="S16" s="289" t="s">
        <v>2266</v>
      </c>
      <c r="T16" s="291" t="s">
        <v>3466</v>
      </c>
      <c r="U16" s="290" t="s">
        <v>3467</v>
      </c>
      <c r="V16" s="291">
        <v>0</v>
      </c>
    </row>
    <row r="17" spans="14:22" ht="14.4">
      <c r="N17"/>
      <c r="O17"/>
      <c r="P17"/>
      <c r="Q17"/>
      <c r="R17" s="301" t="s">
        <v>3471</v>
      </c>
      <c r="S17" s="288" t="s">
        <v>2266</v>
      </c>
      <c r="T17" s="293" t="s">
        <v>3466</v>
      </c>
      <c r="U17" s="292" t="s">
        <v>3467</v>
      </c>
      <c r="V17" s="293">
        <v>0</v>
      </c>
    </row>
    <row r="18" spans="14:22" ht="14.4">
      <c r="N18"/>
      <c r="O18"/>
      <c r="P18"/>
      <c r="Q18"/>
      <c r="R18" s="302" t="s">
        <v>3472</v>
      </c>
      <c r="S18" s="289" t="s">
        <v>2266</v>
      </c>
      <c r="T18" s="291" t="s">
        <v>3466</v>
      </c>
      <c r="U18" s="290" t="s">
        <v>3467</v>
      </c>
      <c r="V18" s="291">
        <v>0</v>
      </c>
    </row>
    <row r="19" spans="14:22" ht="14.4">
      <c r="N19"/>
      <c r="O19"/>
      <c r="P19"/>
      <c r="Q19"/>
      <c r="R19" s="301" t="s">
        <v>3474</v>
      </c>
      <c r="S19" s="288" t="s">
        <v>2266</v>
      </c>
      <c r="T19" s="293" t="s">
        <v>3466</v>
      </c>
      <c r="U19" s="292" t="s">
        <v>3467</v>
      </c>
      <c r="V19" s="293">
        <v>0</v>
      </c>
    </row>
    <row r="20" spans="14:22" ht="14.4">
      <c r="N20"/>
      <c r="O20"/>
      <c r="P20"/>
      <c r="Q20"/>
      <c r="R20" s="302" t="s">
        <v>3475</v>
      </c>
      <c r="S20" s="289" t="s">
        <v>2266</v>
      </c>
      <c r="T20" s="291" t="s">
        <v>3466</v>
      </c>
      <c r="U20" s="290" t="s">
        <v>3467</v>
      </c>
      <c r="V20" s="291">
        <v>0</v>
      </c>
    </row>
    <row r="21" spans="14:22" ht="14.4">
      <c r="N21"/>
      <c r="O21"/>
      <c r="P21"/>
      <c r="Q21"/>
      <c r="R21" s="301" t="s">
        <v>3476</v>
      </c>
      <c r="S21" s="288" t="s">
        <v>2266</v>
      </c>
      <c r="T21" s="293" t="s">
        <v>3466</v>
      </c>
      <c r="U21" s="292" t="s">
        <v>3467</v>
      </c>
      <c r="V21" s="293">
        <v>0</v>
      </c>
    </row>
    <row r="22" spans="14:22" ht="14.4">
      <c r="N22"/>
      <c r="O22"/>
      <c r="P22"/>
      <c r="Q22"/>
      <c r="R22" s="302" t="s">
        <v>3477</v>
      </c>
      <c r="S22" s="289" t="s">
        <v>2266</v>
      </c>
      <c r="T22" s="291" t="s">
        <v>3466</v>
      </c>
      <c r="U22" s="290" t="s">
        <v>3467</v>
      </c>
      <c r="V22" s="291">
        <v>0</v>
      </c>
    </row>
    <row r="23" spans="14:22" ht="14.4">
      <c r="N23"/>
      <c r="O23"/>
      <c r="P23"/>
      <c r="Q23"/>
      <c r="R23" s="301" t="s">
        <v>3480</v>
      </c>
      <c r="S23" s="288" t="s">
        <v>2266</v>
      </c>
      <c r="T23" s="293" t="s">
        <v>3466</v>
      </c>
      <c r="U23" s="292" t="s">
        <v>3467</v>
      </c>
      <c r="V23" s="293">
        <v>0</v>
      </c>
    </row>
    <row r="24" spans="14:22" ht="14.4">
      <c r="N24"/>
      <c r="O24"/>
      <c r="P24"/>
      <c r="Q24"/>
      <c r="R24" s="302" t="s">
        <v>3481</v>
      </c>
      <c r="S24" s="289" t="s">
        <v>2266</v>
      </c>
      <c r="T24" s="291" t="s">
        <v>3466</v>
      </c>
      <c r="U24" s="290" t="s">
        <v>3467</v>
      </c>
      <c r="V24" s="291">
        <v>0</v>
      </c>
    </row>
    <row r="25" spans="14:22" ht="14.4">
      <c r="N25"/>
      <c r="O25"/>
      <c r="P25"/>
      <c r="Q25"/>
      <c r="R25" s="301" t="s">
        <v>3482</v>
      </c>
      <c r="S25" s="288" t="s">
        <v>2266</v>
      </c>
      <c r="T25" s="293" t="s">
        <v>3466</v>
      </c>
      <c r="U25" s="292" t="s">
        <v>3467</v>
      </c>
      <c r="V25" s="293">
        <v>0</v>
      </c>
    </row>
    <row r="26" spans="14:22" ht="14.4">
      <c r="N26"/>
      <c r="O26"/>
      <c r="P26"/>
      <c r="Q26"/>
      <c r="R26" s="302" t="s">
        <v>3483</v>
      </c>
      <c r="S26" s="289" t="s">
        <v>2266</v>
      </c>
      <c r="T26" s="291" t="s">
        <v>3466</v>
      </c>
      <c r="U26" s="290" t="s">
        <v>3467</v>
      </c>
      <c r="V26" s="291">
        <v>0</v>
      </c>
    </row>
    <row r="27" spans="14:22" ht="14.4">
      <c r="N27"/>
      <c r="O27"/>
      <c r="P27"/>
      <c r="Q27"/>
      <c r="R27" s="301" t="s">
        <v>3484</v>
      </c>
      <c r="S27" s="288" t="s">
        <v>2266</v>
      </c>
      <c r="T27" s="293" t="s">
        <v>3466</v>
      </c>
      <c r="U27" s="292" t="s">
        <v>3467</v>
      </c>
      <c r="V27" s="293">
        <v>0</v>
      </c>
    </row>
    <row r="28" spans="14:22" ht="14.4">
      <c r="N28"/>
      <c r="O28"/>
      <c r="P28"/>
      <c r="Q28"/>
      <c r="R28" s="302" t="s">
        <v>3485</v>
      </c>
      <c r="S28" s="289" t="s">
        <v>2266</v>
      </c>
      <c r="T28" s="291" t="s">
        <v>3466</v>
      </c>
      <c r="U28" s="290" t="s">
        <v>3467</v>
      </c>
      <c r="V28" s="291">
        <v>0</v>
      </c>
    </row>
    <row r="29" spans="14:22" ht="14.4">
      <c r="N29"/>
      <c r="O29"/>
      <c r="P29"/>
      <c r="Q29"/>
      <c r="R29" s="301" t="s">
        <v>3486</v>
      </c>
      <c r="S29" s="288" t="s">
        <v>2266</v>
      </c>
      <c r="T29" s="293" t="s">
        <v>3466</v>
      </c>
      <c r="U29" s="292" t="s">
        <v>3467</v>
      </c>
      <c r="V29" s="293">
        <v>0</v>
      </c>
    </row>
    <row r="30" spans="14:22" ht="14.4">
      <c r="N30"/>
      <c r="O30"/>
      <c r="P30"/>
      <c r="Q30"/>
      <c r="R30" s="302" t="s">
        <v>3487</v>
      </c>
      <c r="S30" s="289" t="s">
        <v>2266</v>
      </c>
      <c r="T30" s="291" t="s">
        <v>3466</v>
      </c>
      <c r="U30" s="290" t="s">
        <v>3467</v>
      </c>
      <c r="V30" s="291">
        <v>0</v>
      </c>
    </row>
    <row r="31" spans="14:22" ht="14.4">
      <c r="N31"/>
      <c r="O31"/>
      <c r="P31"/>
      <c r="Q31"/>
      <c r="R31" s="301" t="s">
        <v>3488</v>
      </c>
      <c r="S31" s="288" t="s">
        <v>2266</v>
      </c>
      <c r="T31" s="293" t="s">
        <v>3466</v>
      </c>
      <c r="U31" s="292" t="s">
        <v>3467</v>
      </c>
      <c r="V31" s="293">
        <v>0</v>
      </c>
    </row>
    <row r="32" spans="14:22" ht="14.4">
      <c r="N32"/>
      <c r="O32"/>
      <c r="P32"/>
      <c r="Q32"/>
      <c r="R32" s="302" t="s">
        <v>3489</v>
      </c>
      <c r="S32" s="289" t="s">
        <v>2266</v>
      </c>
      <c r="T32" s="291" t="s">
        <v>3466</v>
      </c>
      <c r="U32" s="290" t="s">
        <v>3467</v>
      </c>
      <c r="V32" s="291">
        <v>0</v>
      </c>
    </row>
    <row r="33" spans="14:22" ht="14.4">
      <c r="N33"/>
      <c r="O33"/>
      <c r="P33"/>
      <c r="Q33"/>
      <c r="R33" s="301" t="s">
        <v>3490</v>
      </c>
      <c r="S33" s="288" t="s">
        <v>2266</v>
      </c>
      <c r="T33" s="293" t="s">
        <v>3466</v>
      </c>
      <c r="U33" s="292" t="s">
        <v>3467</v>
      </c>
      <c r="V33" s="293">
        <v>0</v>
      </c>
    </row>
    <row r="34" spans="14:22" ht="14.4">
      <c r="N34"/>
      <c r="O34"/>
      <c r="P34"/>
      <c r="Q34"/>
      <c r="R34" s="302" t="s">
        <v>3491</v>
      </c>
      <c r="S34" s="289" t="s">
        <v>2266</v>
      </c>
      <c r="T34" s="291" t="s">
        <v>3466</v>
      </c>
      <c r="U34" s="290" t="s">
        <v>3467</v>
      </c>
      <c r="V34" s="291">
        <v>0</v>
      </c>
    </row>
    <row r="35" spans="14:22" ht="14.4">
      <c r="N35"/>
      <c r="O35"/>
      <c r="P35"/>
      <c r="Q35"/>
      <c r="R35" s="301" t="s">
        <v>3492</v>
      </c>
      <c r="S35" s="288" t="s">
        <v>2266</v>
      </c>
      <c r="T35" s="293" t="s">
        <v>3466</v>
      </c>
      <c r="U35" s="292" t="s">
        <v>3467</v>
      </c>
      <c r="V35" s="293">
        <v>0</v>
      </c>
    </row>
    <row r="36" spans="14:22" ht="14.4">
      <c r="N36"/>
      <c r="O36"/>
      <c r="P36"/>
      <c r="Q36"/>
      <c r="R36" s="302" t="s">
        <v>3493</v>
      </c>
      <c r="S36" s="289" t="s">
        <v>2266</v>
      </c>
      <c r="T36" s="291" t="s">
        <v>3466</v>
      </c>
      <c r="U36" s="290" t="s">
        <v>3467</v>
      </c>
      <c r="V36" s="291">
        <v>0</v>
      </c>
    </row>
    <row r="37" spans="14:22" ht="14.4">
      <c r="N37"/>
      <c r="O37"/>
      <c r="P37"/>
      <c r="Q37"/>
      <c r="R37" s="301" t="s">
        <v>3495</v>
      </c>
      <c r="S37" s="288" t="s">
        <v>2266</v>
      </c>
      <c r="T37" s="293" t="s">
        <v>3466</v>
      </c>
      <c r="U37" s="292" t="s">
        <v>3467</v>
      </c>
      <c r="V37" s="293">
        <v>0</v>
      </c>
    </row>
    <row r="38" spans="14:22" ht="14.4">
      <c r="N38"/>
      <c r="O38"/>
      <c r="P38"/>
      <c r="Q38"/>
      <c r="R38" s="302" t="s">
        <v>3496</v>
      </c>
      <c r="S38" s="289" t="s">
        <v>2266</v>
      </c>
      <c r="T38" s="291" t="s">
        <v>3466</v>
      </c>
      <c r="U38" s="290" t="s">
        <v>3467</v>
      </c>
      <c r="V38" s="291">
        <v>0</v>
      </c>
    </row>
    <row r="39" spans="14:22" ht="13.8">
      <c r="N39"/>
      <c r="O39"/>
      <c r="P39"/>
      <c r="Q39"/>
      <c r="R39" s="158"/>
    </row>
    <row r="40" spans="14:22" ht="13.8">
      <c r="N40"/>
      <c r="O40"/>
      <c r="P40"/>
      <c r="Q40"/>
      <c r="R40" s="158"/>
    </row>
    <row r="41" spans="14:22" ht="13.8">
      <c r="N41"/>
      <c r="O41"/>
      <c r="P41"/>
      <c r="Q41"/>
      <c r="R41" s="158"/>
    </row>
    <row r="42" spans="14:22" ht="13.8">
      <c r="N42"/>
      <c r="O42"/>
      <c r="P42"/>
      <c r="Q42"/>
      <c r="R42" s="158"/>
    </row>
    <row r="43" spans="14:22" ht="13.8">
      <c r="N43"/>
      <c r="O43"/>
      <c r="P43"/>
      <c r="Q43"/>
      <c r="R43" s="158"/>
    </row>
    <row r="44" spans="14:22" ht="13.8">
      <c r="N44"/>
      <c r="O44"/>
      <c r="P44"/>
      <c r="Q44"/>
      <c r="R44" s="158"/>
    </row>
    <row r="45" spans="14:22" ht="13.8">
      <c r="N45"/>
      <c r="O45"/>
      <c r="P45"/>
      <c r="Q45"/>
      <c r="R45" s="158"/>
    </row>
    <row r="46" spans="14:22" ht="13.8">
      <c r="N46"/>
      <c r="O46"/>
      <c r="P46"/>
      <c r="Q46"/>
      <c r="R46" s="158"/>
    </row>
    <row r="47" spans="14:22" ht="13.8">
      <c r="N47"/>
      <c r="O47"/>
      <c r="P47"/>
      <c r="Q47"/>
      <c r="R47" s="158"/>
    </row>
    <row r="48" spans="14:22" ht="13.8">
      <c r="N48"/>
      <c r="O48"/>
      <c r="P48"/>
      <c r="Q48"/>
      <c r="R48" s="158"/>
    </row>
    <row r="49" spans="14:18" ht="13.8">
      <c r="N49"/>
      <c r="O49"/>
      <c r="P49"/>
      <c r="Q49"/>
      <c r="R49" s="158"/>
    </row>
    <row r="50" spans="14:18" ht="13.8">
      <c r="N50"/>
      <c r="O50"/>
      <c r="P50"/>
      <c r="Q50"/>
      <c r="R50" s="158"/>
    </row>
    <row r="51" spans="14:18" ht="13.8">
      <c r="N51"/>
      <c r="O51"/>
      <c r="P51"/>
      <c r="Q51"/>
      <c r="R51" s="158"/>
    </row>
    <row r="52" spans="14:18" ht="13.8">
      <c r="N52"/>
      <c r="O52"/>
      <c r="P52"/>
      <c r="Q52"/>
      <c r="R52" s="158"/>
    </row>
    <row r="53" spans="14:18" ht="13.8">
      <c r="N53"/>
      <c r="O53"/>
      <c r="P53"/>
      <c r="Q53"/>
      <c r="R53" s="158"/>
    </row>
    <row r="54" spans="14:18" ht="13.8">
      <c r="N54"/>
      <c r="O54"/>
      <c r="P54"/>
      <c r="Q54"/>
      <c r="R54" s="158"/>
    </row>
    <row r="55" spans="14:18" ht="13.8">
      <c r="N55"/>
      <c r="O55"/>
      <c r="P55"/>
      <c r="Q55"/>
      <c r="R55" s="158"/>
    </row>
    <row r="56" spans="14:18" ht="13.8">
      <c r="N56"/>
      <c r="O56"/>
      <c r="P56"/>
      <c r="Q56"/>
      <c r="R56" s="158"/>
    </row>
    <row r="57" spans="14:18" ht="13.8">
      <c r="N57"/>
      <c r="O57"/>
      <c r="P57"/>
      <c r="Q57"/>
      <c r="R57" s="158"/>
    </row>
    <row r="58" spans="14:18" ht="13.8">
      <c r="N58"/>
      <c r="O58"/>
      <c r="P58"/>
      <c r="Q58"/>
      <c r="R58" s="158"/>
    </row>
    <row r="59" spans="14:18" ht="13.8">
      <c r="N59"/>
      <c r="O59"/>
      <c r="P59"/>
      <c r="Q59"/>
      <c r="R59" s="158"/>
    </row>
    <row r="60" spans="14:18" ht="13.8">
      <c r="N60"/>
      <c r="O60"/>
      <c r="P60"/>
      <c r="Q60"/>
      <c r="R60" s="158"/>
    </row>
    <row r="61" spans="14:18" ht="13.8">
      <c r="N61"/>
      <c r="O61"/>
      <c r="P61"/>
      <c r="Q61"/>
      <c r="R61" s="158"/>
    </row>
    <row r="62" spans="14:18" ht="13.8">
      <c r="N62"/>
      <c r="O62"/>
      <c r="P62"/>
      <c r="Q62"/>
      <c r="R62" s="158"/>
    </row>
    <row r="63" spans="14:18" ht="13.8">
      <c r="N63"/>
      <c r="O63"/>
      <c r="P63"/>
      <c r="Q63"/>
      <c r="R63" s="158"/>
    </row>
    <row r="64" spans="14:18" ht="13.8">
      <c r="N64"/>
      <c r="O64"/>
      <c r="P64"/>
      <c r="Q64"/>
      <c r="R64" s="158"/>
    </row>
    <row r="65" spans="14:18" ht="13.8">
      <c r="N65"/>
      <c r="O65"/>
      <c r="P65"/>
      <c r="Q65"/>
      <c r="R65" s="158"/>
    </row>
    <row r="66" spans="14:18" ht="13.8">
      <c r="N66"/>
      <c r="O66"/>
      <c r="P66"/>
      <c r="Q66"/>
      <c r="R66" s="158"/>
    </row>
    <row r="67" spans="14:18" ht="13.8">
      <c r="N67"/>
      <c r="O67"/>
      <c r="P67"/>
      <c r="Q67"/>
      <c r="R67" s="158"/>
    </row>
    <row r="68" spans="14:18" ht="13.8">
      <c r="N68"/>
      <c r="O68"/>
      <c r="P68"/>
      <c r="Q68"/>
      <c r="R68" s="158"/>
    </row>
    <row r="69" spans="14:18" ht="13.8">
      <c r="N69"/>
      <c r="O69"/>
      <c r="P69"/>
      <c r="Q69"/>
      <c r="R69" s="158"/>
    </row>
    <row r="70" spans="14:18" ht="13.8">
      <c r="N70"/>
      <c r="O70"/>
      <c r="P70"/>
      <c r="Q70"/>
      <c r="R70" s="158"/>
    </row>
    <row r="71" spans="14:18" ht="13.8">
      <c r="N71"/>
      <c r="O71"/>
      <c r="P71"/>
      <c r="Q71"/>
      <c r="R71" s="158"/>
    </row>
    <row r="72" spans="14:18" ht="13.8">
      <c r="N72"/>
      <c r="O72"/>
      <c r="P72"/>
      <c r="Q72"/>
      <c r="R72" s="158"/>
    </row>
    <row r="73" spans="14:18" ht="13.8">
      <c r="N73"/>
      <c r="O73"/>
      <c r="P73"/>
      <c r="Q73"/>
      <c r="R73" s="158"/>
    </row>
    <row r="74" spans="14:18" ht="13.8">
      <c r="N74"/>
      <c r="O74"/>
      <c r="P74"/>
      <c r="Q74"/>
      <c r="R74" s="158"/>
    </row>
    <row r="75" spans="14:18" ht="13.8">
      <c r="N75"/>
      <c r="O75"/>
      <c r="P75"/>
      <c r="Q75"/>
      <c r="R75" s="158"/>
    </row>
    <row r="76" spans="14:18" ht="13.8">
      <c r="N76"/>
      <c r="O76"/>
      <c r="P76"/>
      <c r="Q76"/>
      <c r="R76" s="158"/>
    </row>
    <row r="77" spans="14:18" ht="13.8">
      <c r="N77"/>
      <c r="O77"/>
      <c r="P77"/>
      <c r="Q77"/>
      <c r="R77" s="158"/>
    </row>
    <row r="78" spans="14:18" ht="13.8">
      <c r="N78"/>
      <c r="O78"/>
      <c r="P78"/>
      <c r="Q78"/>
      <c r="R78" s="158"/>
    </row>
    <row r="79" spans="14:18" ht="13.8">
      <c r="N79"/>
      <c r="O79"/>
      <c r="P79"/>
      <c r="Q79"/>
      <c r="R79" s="158"/>
    </row>
    <row r="80" spans="14:18" ht="13.8">
      <c r="N80"/>
      <c r="O80"/>
      <c r="P80"/>
      <c r="Q80"/>
      <c r="R80" s="158"/>
    </row>
    <row r="81" spans="14:18" ht="13.8">
      <c r="N81"/>
      <c r="O81"/>
      <c r="P81"/>
      <c r="Q81"/>
      <c r="R81" s="158"/>
    </row>
    <row r="82" spans="14:18" ht="13.8">
      <c r="N82"/>
      <c r="O82"/>
      <c r="P82"/>
      <c r="Q82"/>
      <c r="R82" s="158"/>
    </row>
    <row r="83" spans="14:18" ht="13.8">
      <c r="N83"/>
      <c r="O83"/>
      <c r="P83"/>
      <c r="Q83"/>
      <c r="R83" s="158"/>
    </row>
    <row r="84" spans="14:18" ht="13.8">
      <c r="N84"/>
      <c r="O84"/>
      <c r="P84"/>
      <c r="Q84"/>
      <c r="R84" s="158"/>
    </row>
    <row r="85" spans="14:18" ht="13.8">
      <c r="N85"/>
      <c r="O85"/>
      <c r="P85"/>
      <c r="Q85"/>
      <c r="R85" s="158"/>
    </row>
    <row r="86" spans="14:18" ht="13.8">
      <c r="N86"/>
      <c r="O86"/>
      <c r="P86"/>
      <c r="Q86"/>
      <c r="R86" s="158"/>
    </row>
    <row r="87" spans="14:18" ht="13.8">
      <c r="N87"/>
      <c r="O87"/>
      <c r="P87"/>
      <c r="Q87"/>
      <c r="R87" s="158"/>
    </row>
    <row r="88" spans="14:18" ht="13.8">
      <c r="N88"/>
      <c r="O88"/>
      <c r="P88"/>
      <c r="Q88"/>
      <c r="R88" s="158"/>
    </row>
    <row r="89" spans="14:18" ht="13.8">
      <c r="N89"/>
      <c r="O89"/>
      <c r="P89"/>
      <c r="Q89"/>
      <c r="R89" s="158"/>
    </row>
    <row r="90" spans="14:18" ht="13.8">
      <c r="N90"/>
      <c r="O90"/>
      <c r="P90"/>
      <c r="Q90"/>
      <c r="R90" s="158"/>
    </row>
    <row r="91" spans="14:18" ht="13.8">
      <c r="N91"/>
      <c r="O91"/>
      <c r="P91"/>
      <c r="Q91"/>
      <c r="R91" s="158"/>
    </row>
    <row r="92" spans="14:18" ht="13.8">
      <c r="N92"/>
      <c r="O92"/>
      <c r="P92"/>
      <c r="Q92"/>
      <c r="R92" s="158"/>
    </row>
    <row r="93" spans="14:18" ht="13.8">
      <c r="N93"/>
      <c r="O93"/>
      <c r="P93"/>
      <c r="Q93"/>
      <c r="R93" s="158"/>
    </row>
    <row r="94" spans="14:18" ht="13.8">
      <c r="N94"/>
      <c r="O94"/>
      <c r="P94"/>
      <c r="Q94"/>
      <c r="R94" s="158"/>
    </row>
    <row r="95" spans="14:18" ht="13.8">
      <c r="N95"/>
      <c r="O95"/>
      <c r="P95"/>
      <c r="Q95"/>
      <c r="R95" s="158"/>
    </row>
    <row r="96" spans="14:18" ht="13.8">
      <c r="N96"/>
      <c r="O96"/>
      <c r="P96"/>
      <c r="Q96"/>
      <c r="R96" s="158"/>
    </row>
    <row r="97" spans="14:18" ht="13.8">
      <c r="N97"/>
      <c r="O97"/>
      <c r="P97"/>
      <c r="Q97"/>
      <c r="R97" s="158"/>
    </row>
    <row r="98" spans="14:18" ht="13.8">
      <c r="N98"/>
      <c r="O98"/>
      <c r="P98"/>
      <c r="Q98"/>
      <c r="R98" s="158"/>
    </row>
    <row r="99" spans="14:18" ht="13.8">
      <c r="N99"/>
      <c r="O99"/>
      <c r="P99"/>
      <c r="Q99"/>
      <c r="R99" s="158"/>
    </row>
    <row r="100" spans="14:18" ht="13.8">
      <c r="N100"/>
      <c r="O100"/>
      <c r="P100"/>
      <c r="Q100"/>
      <c r="R100" s="158"/>
    </row>
    <row r="101" spans="14:18" ht="13.8">
      <c r="N101"/>
      <c r="O101"/>
      <c r="P101"/>
      <c r="Q101"/>
      <c r="R101" s="158"/>
    </row>
    <row r="102" spans="14:18" ht="13.8">
      <c r="N102"/>
      <c r="O102"/>
      <c r="P102"/>
      <c r="Q102"/>
      <c r="R102" s="158"/>
    </row>
    <row r="103" spans="14:18" ht="13.8">
      <c r="N103"/>
      <c r="O103"/>
      <c r="P103"/>
      <c r="Q103"/>
      <c r="R103" s="158"/>
    </row>
    <row r="104" spans="14:18" ht="13.8">
      <c r="N104"/>
      <c r="O104"/>
      <c r="P104"/>
      <c r="Q104"/>
      <c r="R104" s="158"/>
    </row>
    <row r="105" spans="14:18" ht="13.8">
      <c r="N105"/>
      <c r="O105"/>
      <c r="P105"/>
      <c r="Q105"/>
      <c r="R105" s="158"/>
    </row>
    <row r="106" spans="14:18" ht="13.8">
      <c r="N106"/>
      <c r="O106"/>
      <c r="P106"/>
      <c r="Q106"/>
      <c r="R106" s="158"/>
    </row>
    <row r="107" spans="14:18" ht="13.8">
      <c r="N107"/>
      <c r="O107"/>
      <c r="P107"/>
      <c r="Q107"/>
      <c r="R107" s="158"/>
    </row>
    <row r="108" spans="14:18" ht="13.8">
      <c r="N108"/>
      <c r="O108"/>
      <c r="P108"/>
      <c r="Q108"/>
      <c r="R108" s="158"/>
    </row>
    <row r="109" spans="14:18" ht="13.8">
      <c r="N109"/>
      <c r="O109"/>
      <c r="P109"/>
      <c r="Q109"/>
      <c r="R109" s="158"/>
    </row>
    <row r="110" spans="14:18" ht="13.8">
      <c r="N110"/>
      <c r="O110"/>
      <c r="P110"/>
      <c r="Q110"/>
      <c r="R110" s="158"/>
    </row>
    <row r="111" spans="14:18" ht="13.8">
      <c r="N111"/>
      <c r="O111"/>
      <c r="P111"/>
      <c r="Q111"/>
      <c r="R111" s="158"/>
    </row>
    <row r="112" spans="14:18" ht="13.8">
      <c r="N112"/>
      <c r="O112"/>
      <c r="P112"/>
      <c r="Q112"/>
      <c r="R112" s="158"/>
    </row>
    <row r="113" spans="14:18" ht="13.8">
      <c r="N113"/>
      <c r="O113"/>
      <c r="P113"/>
      <c r="Q113"/>
      <c r="R113" s="158"/>
    </row>
    <row r="114" spans="14:18" ht="13.8">
      <c r="N114"/>
      <c r="O114"/>
      <c r="P114"/>
      <c r="Q114"/>
      <c r="R114" s="158"/>
    </row>
    <row r="115" spans="14:18" ht="13.8">
      <c r="N115"/>
      <c r="O115"/>
      <c r="P115"/>
      <c r="Q115"/>
      <c r="R115" s="158"/>
    </row>
    <row r="116" spans="14:18" ht="13.8">
      <c r="N116"/>
      <c r="O116"/>
      <c r="P116"/>
      <c r="Q116"/>
      <c r="R116" s="158"/>
    </row>
    <row r="117" spans="14:18" ht="13.8">
      <c r="N117"/>
      <c r="O117"/>
      <c r="P117"/>
      <c r="Q117"/>
      <c r="R117" s="158"/>
    </row>
    <row r="118" spans="14:18" ht="13.8">
      <c r="N118"/>
      <c r="O118"/>
      <c r="P118"/>
      <c r="Q118"/>
      <c r="R118" s="158"/>
    </row>
    <row r="119" spans="14:18" ht="13.8">
      <c r="N119"/>
      <c r="O119"/>
      <c r="P119"/>
      <c r="Q119"/>
      <c r="R119" s="158"/>
    </row>
    <row r="120" spans="14:18" ht="13.8">
      <c r="N120"/>
      <c r="O120"/>
      <c r="P120"/>
      <c r="Q120"/>
      <c r="R120" s="158"/>
    </row>
    <row r="121" spans="14:18" ht="13.8">
      <c r="N121"/>
      <c r="O121"/>
      <c r="P121"/>
      <c r="Q121"/>
      <c r="R121" s="158"/>
    </row>
    <row r="122" spans="14:18" ht="13.8">
      <c r="N122"/>
      <c r="O122"/>
      <c r="P122"/>
      <c r="Q122"/>
      <c r="R122" s="158"/>
    </row>
    <row r="123" spans="14:18" ht="13.8">
      <c r="N123"/>
      <c r="O123"/>
      <c r="P123"/>
      <c r="Q123"/>
      <c r="R123" s="158"/>
    </row>
    <row r="124" spans="14:18" ht="13.8">
      <c r="N124"/>
      <c r="O124"/>
      <c r="P124"/>
      <c r="Q124"/>
      <c r="R124" s="158"/>
    </row>
    <row r="125" spans="14:18" ht="13.8">
      <c r="N125"/>
      <c r="O125"/>
      <c r="P125"/>
      <c r="Q125"/>
      <c r="R125" s="158"/>
    </row>
    <row r="126" spans="14:18" ht="13.8">
      <c r="N126"/>
      <c r="O126"/>
      <c r="P126"/>
      <c r="Q126"/>
      <c r="R126" s="158"/>
    </row>
    <row r="127" spans="14:18" ht="13.8">
      <c r="N127"/>
      <c r="O127"/>
      <c r="P127"/>
      <c r="Q127"/>
      <c r="R127" s="158"/>
    </row>
    <row r="128" spans="14:18" ht="13.8">
      <c r="N128"/>
      <c r="O128"/>
      <c r="P128"/>
      <c r="Q128"/>
      <c r="R128" s="158"/>
    </row>
    <row r="129" spans="14:18" ht="13.8">
      <c r="N129"/>
      <c r="O129"/>
      <c r="P129"/>
      <c r="Q129"/>
      <c r="R129" s="158"/>
    </row>
    <row r="130" spans="14:18" ht="13.8">
      <c r="N130"/>
      <c r="O130"/>
      <c r="P130"/>
      <c r="Q130"/>
      <c r="R130" s="158"/>
    </row>
    <row r="131" spans="14:18" ht="13.8">
      <c r="N131"/>
      <c r="O131"/>
      <c r="P131"/>
      <c r="Q131"/>
      <c r="R131" s="158"/>
    </row>
    <row r="132" spans="14:18" ht="13.8">
      <c r="N132"/>
      <c r="O132"/>
      <c r="P132"/>
      <c r="Q132"/>
      <c r="R132" s="158"/>
    </row>
    <row r="133" spans="14:18" ht="13.8">
      <c r="N133"/>
      <c r="O133"/>
      <c r="P133"/>
      <c r="Q133"/>
      <c r="R133" s="158"/>
    </row>
    <row r="134" spans="14:18" ht="13.8">
      <c r="N134"/>
      <c r="O134"/>
      <c r="P134"/>
      <c r="Q134"/>
      <c r="R134" s="158"/>
    </row>
    <row r="135" spans="14:18" ht="13.8">
      <c r="N135"/>
      <c r="O135"/>
      <c r="P135"/>
      <c r="Q135"/>
      <c r="R135" s="158"/>
    </row>
    <row r="136" spans="14:18" ht="13.8">
      <c r="N136"/>
      <c r="O136"/>
      <c r="P136"/>
      <c r="Q136"/>
      <c r="R136" s="158"/>
    </row>
    <row r="137" spans="14:18" ht="13.8">
      <c r="N137"/>
      <c r="O137"/>
      <c r="P137"/>
      <c r="Q137"/>
      <c r="R137" s="158"/>
    </row>
    <row r="138" spans="14:18" ht="13.8">
      <c r="N138"/>
      <c r="O138"/>
      <c r="P138"/>
      <c r="Q138"/>
      <c r="R138" s="158"/>
    </row>
    <row r="139" spans="14:18" ht="13.8">
      <c r="N139"/>
      <c r="O139"/>
      <c r="P139"/>
      <c r="Q139"/>
      <c r="R139" s="158"/>
    </row>
    <row r="140" spans="14:18" ht="13.8">
      <c r="N140"/>
      <c r="O140"/>
      <c r="P140"/>
      <c r="Q140"/>
      <c r="R140" s="158"/>
    </row>
    <row r="141" spans="14:18" ht="13.8">
      <c r="N141"/>
      <c r="O141"/>
      <c r="P141"/>
      <c r="Q141"/>
      <c r="R141" s="158"/>
    </row>
    <row r="142" spans="14:18" ht="13.8">
      <c r="N142"/>
      <c r="O142"/>
      <c r="P142"/>
      <c r="Q142"/>
      <c r="R142" s="158"/>
    </row>
    <row r="143" spans="14:18" ht="13.8">
      <c r="N143"/>
      <c r="O143"/>
      <c r="P143"/>
      <c r="Q143"/>
      <c r="R143" s="158"/>
    </row>
    <row r="144" spans="14:18" ht="13.8">
      <c r="N144"/>
      <c r="O144"/>
      <c r="P144"/>
      <c r="Q144"/>
      <c r="R144" s="158"/>
    </row>
    <row r="145" spans="14:18" ht="13.8">
      <c r="N145"/>
      <c r="O145"/>
      <c r="P145"/>
      <c r="Q145"/>
      <c r="R145" s="158"/>
    </row>
    <row r="146" spans="14:18" ht="13.8">
      <c r="N146"/>
      <c r="O146"/>
      <c r="P146"/>
      <c r="Q146"/>
      <c r="R146" s="158"/>
    </row>
    <row r="147" spans="14:18" ht="13.8">
      <c r="N147"/>
      <c r="O147"/>
      <c r="P147"/>
      <c r="Q147"/>
      <c r="R147" s="158"/>
    </row>
    <row r="148" spans="14:18" ht="13.8">
      <c r="N148"/>
      <c r="O148"/>
      <c r="P148"/>
      <c r="Q148"/>
      <c r="R148" s="158"/>
    </row>
    <row r="149" spans="14:18" ht="13.8">
      <c r="N149"/>
      <c r="O149"/>
      <c r="P149"/>
      <c r="Q149"/>
      <c r="R149" s="158"/>
    </row>
    <row r="150" spans="14:18" ht="13.8">
      <c r="N150"/>
      <c r="O150"/>
      <c r="P150"/>
      <c r="Q150"/>
      <c r="R150" s="158"/>
    </row>
    <row r="151" spans="14:18" ht="13.8">
      <c r="N151"/>
      <c r="O151"/>
      <c r="P151"/>
      <c r="Q151"/>
      <c r="R151" s="158"/>
    </row>
    <row r="152" spans="14:18" ht="13.8">
      <c r="N152"/>
      <c r="O152"/>
      <c r="P152"/>
      <c r="Q152"/>
      <c r="R152" s="158"/>
    </row>
    <row r="153" spans="14:18" ht="13.8">
      <c r="N153"/>
      <c r="O153"/>
      <c r="P153"/>
      <c r="Q153"/>
      <c r="R153" s="158"/>
    </row>
    <row r="154" spans="14:18" ht="13.8">
      <c r="N154"/>
      <c r="O154"/>
      <c r="P154"/>
      <c r="Q154"/>
      <c r="R154" s="158"/>
    </row>
    <row r="155" spans="14:18" ht="13.8">
      <c r="N155"/>
      <c r="O155"/>
      <c r="P155"/>
      <c r="Q155"/>
      <c r="R155" s="158"/>
    </row>
    <row r="156" spans="14:18" ht="13.8">
      <c r="N156"/>
      <c r="O156"/>
      <c r="P156"/>
      <c r="Q156"/>
      <c r="R156" s="158"/>
    </row>
    <row r="157" spans="14:18" ht="13.8">
      <c r="N157"/>
      <c r="O157"/>
      <c r="P157"/>
      <c r="Q157"/>
      <c r="R157" s="158"/>
    </row>
    <row r="158" spans="14:18" ht="13.8">
      <c r="N158"/>
      <c r="O158"/>
      <c r="P158"/>
      <c r="Q158"/>
      <c r="R158" s="158"/>
    </row>
    <row r="159" spans="14:18" ht="13.8">
      <c r="N159"/>
      <c r="O159"/>
      <c r="P159"/>
      <c r="Q159"/>
      <c r="R159" s="158"/>
    </row>
    <row r="160" spans="14:18" ht="13.8">
      <c r="N160"/>
      <c r="O160"/>
      <c r="P160"/>
      <c r="Q160"/>
      <c r="R160" s="158"/>
    </row>
    <row r="161" spans="14:18" ht="13.8">
      <c r="N161"/>
      <c r="O161"/>
      <c r="P161"/>
      <c r="Q161"/>
      <c r="R161" s="158"/>
    </row>
    <row r="162" spans="14:18" ht="13.8">
      <c r="N162"/>
      <c r="O162"/>
      <c r="P162"/>
      <c r="Q162"/>
      <c r="R162" s="158"/>
    </row>
    <row r="163" spans="14:18" ht="13.8">
      <c r="N163"/>
      <c r="O163"/>
      <c r="P163"/>
      <c r="Q163"/>
      <c r="R163" s="158"/>
    </row>
    <row r="164" spans="14:18" ht="13.8">
      <c r="N164"/>
      <c r="O164"/>
      <c r="P164"/>
      <c r="Q164"/>
      <c r="R164" s="158"/>
    </row>
    <row r="165" spans="14:18" ht="13.8">
      <c r="N165"/>
      <c r="O165"/>
      <c r="P165"/>
      <c r="Q165"/>
      <c r="R165" s="158"/>
    </row>
    <row r="166" spans="14:18" ht="13.8">
      <c r="N166"/>
      <c r="O166"/>
      <c r="P166"/>
      <c r="Q166"/>
      <c r="R166" s="158"/>
    </row>
    <row r="167" spans="14:18" ht="13.8">
      <c r="N167"/>
      <c r="O167"/>
      <c r="P167"/>
      <c r="Q167"/>
      <c r="R167" s="158"/>
    </row>
    <row r="168" spans="14:18" ht="13.8">
      <c r="N168"/>
      <c r="O168"/>
      <c r="P168"/>
      <c r="Q168"/>
      <c r="R168" s="158"/>
    </row>
    <row r="169" spans="14:18" ht="13.8">
      <c r="N169"/>
      <c r="O169"/>
      <c r="P169"/>
      <c r="Q169"/>
      <c r="R169" s="158"/>
    </row>
    <row r="170" spans="14:18" ht="13.8">
      <c r="N170"/>
      <c r="O170"/>
      <c r="P170"/>
      <c r="Q170"/>
      <c r="R170" s="158"/>
    </row>
    <row r="171" spans="14:18" ht="13.8">
      <c r="N171"/>
      <c r="O171"/>
      <c r="P171"/>
      <c r="Q171"/>
      <c r="R171" s="158"/>
    </row>
    <row r="172" spans="14:18" ht="13.8">
      <c r="N172"/>
      <c r="O172"/>
      <c r="P172"/>
      <c r="Q172"/>
      <c r="R172" s="158"/>
    </row>
    <row r="173" spans="14:18" ht="13.8">
      <c r="N173"/>
      <c r="O173"/>
      <c r="P173"/>
      <c r="Q173"/>
      <c r="R173" s="158"/>
    </row>
    <row r="174" spans="14:18" ht="13.8">
      <c r="N174"/>
      <c r="O174"/>
      <c r="P174"/>
      <c r="Q174"/>
      <c r="R174" s="158"/>
    </row>
    <row r="175" spans="14:18" ht="13.8">
      <c r="N175"/>
      <c r="O175"/>
      <c r="P175"/>
      <c r="Q175"/>
      <c r="R175" s="158"/>
    </row>
    <row r="176" spans="14:18" ht="13.8">
      <c r="N176"/>
      <c r="O176"/>
      <c r="P176"/>
      <c r="Q176"/>
      <c r="R176" s="158"/>
    </row>
    <row r="177" spans="14:18" ht="13.8">
      <c r="N177"/>
      <c r="O177"/>
      <c r="P177"/>
      <c r="Q177"/>
      <c r="R177" s="158"/>
    </row>
    <row r="178" spans="14:18" ht="13.8">
      <c r="N178"/>
      <c r="O178"/>
      <c r="P178"/>
      <c r="Q178"/>
      <c r="R178" s="158"/>
    </row>
    <row r="179" spans="14:18" ht="13.8">
      <c r="N179"/>
      <c r="O179"/>
      <c r="P179"/>
      <c r="Q179"/>
      <c r="R179" s="158"/>
    </row>
    <row r="180" spans="14:18" ht="13.8">
      <c r="N180"/>
      <c r="O180"/>
      <c r="P180"/>
      <c r="Q180"/>
      <c r="R180" s="158"/>
    </row>
    <row r="181" spans="14:18" ht="13.8">
      <c r="N181"/>
      <c r="O181"/>
      <c r="P181"/>
      <c r="Q181"/>
      <c r="R181" s="158"/>
    </row>
    <row r="182" spans="14:18" ht="13.8">
      <c r="N182"/>
      <c r="O182"/>
      <c r="P182"/>
      <c r="Q182"/>
      <c r="R182" s="158"/>
    </row>
    <row r="183" spans="14:18" ht="13.8">
      <c r="N183"/>
      <c r="O183"/>
      <c r="P183"/>
      <c r="Q183"/>
      <c r="R183" s="158"/>
    </row>
    <row r="184" spans="14:18" ht="13.8">
      <c r="N184"/>
      <c r="O184"/>
      <c r="P184"/>
      <c r="Q184"/>
      <c r="R184" s="158"/>
    </row>
    <row r="185" spans="14:18" ht="13.8">
      <c r="N185"/>
      <c r="O185"/>
      <c r="P185"/>
      <c r="Q185"/>
      <c r="R185" s="158"/>
    </row>
    <row r="186" spans="14:18" ht="13.8">
      <c r="N186"/>
      <c r="O186"/>
      <c r="P186"/>
      <c r="Q186"/>
      <c r="R186" s="158"/>
    </row>
    <row r="187" spans="14:18" ht="13.8">
      <c r="N187"/>
      <c r="O187"/>
      <c r="P187"/>
      <c r="Q187"/>
      <c r="R187" s="158"/>
    </row>
    <row r="188" spans="14:18" ht="13.8">
      <c r="N188"/>
      <c r="O188"/>
      <c r="P188"/>
      <c r="Q188"/>
      <c r="R188" s="158"/>
    </row>
    <row r="189" spans="14:18" ht="13.8">
      <c r="N189"/>
      <c r="O189"/>
      <c r="P189"/>
      <c r="Q189"/>
      <c r="R189" s="158"/>
    </row>
    <row r="190" spans="14:18" ht="13.8">
      <c r="N190"/>
      <c r="O190"/>
      <c r="P190"/>
      <c r="Q190"/>
      <c r="R190" s="158"/>
    </row>
    <row r="191" spans="14:18" ht="13.8">
      <c r="N191"/>
      <c r="O191"/>
      <c r="P191"/>
      <c r="Q191"/>
      <c r="R191" s="158"/>
    </row>
    <row r="192" spans="14:18" ht="13.8">
      <c r="N192"/>
      <c r="O192"/>
      <c r="P192"/>
      <c r="Q192"/>
      <c r="R192" s="158"/>
    </row>
    <row r="193" spans="14:18" ht="13.8">
      <c r="N193"/>
      <c r="O193"/>
      <c r="P193"/>
      <c r="Q193"/>
      <c r="R193" s="158"/>
    </row>
    <row r="194" spans="14:18" ht="13.8">
      <c r="N194"/>
      <c r="O194"/>
      <c r="P194"/>
      <c r="Q194"/>
      <c r="R194" s="158"/>
    </row>
    <row r="195" spans="14:18" ht="13.8">
      <c r="N195"/>
      <c r="O195"/>
      <c r="P195"/>
      <c r="Q195"/>
      <c r="R195" s="158"/>
    </row>
    <row r="196" spans="14:18" ht="13.8">
      <c r="N196"/>
      <c r="O196"/>
      <c r="P196"/>
      <c r="Q196"/>
      <c r="R196" s="158"/>
    </row>
    <row r="197" spans="14:18" ht="13.8">
      <c r="N197"/>
      <c r="O197"/>
      <c r="P197"/>
      <c r="Q197"/>
      <c r="R197" s="158"/>
    </row>
    <row r="198" spans="14:18" ht="13.8">
      <c r="N198"/>
      <c r="O198"/>
      <c r="P198"/>
      <c r="Q198"/>
      <c r="R198" s="158"/>
    </row>
    <row r="199" spans="14:18" ht="13.8">
      <c r="N199"/>
      <c r="O199"/>
      <c r="P199"/>
      <c r="Q199"/>
      <c r="R199" s="158"/>
    </row>
    <row r="200" spans="14:18" ht="13.8">
      <c r="N200"/>
      <c r="O200"/>
      <c r="P200"/>
      <c r="Q200"/>
      <c r="R200" s="158"/>
    </row>
  </sheetData>
  <mergeCells count="3">
    <mergeCell ref="R3:V3"/>
    <mergeCell ref="R2:V2"/>
    <mergeCell ref="R1:V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EA33D-1110-4E90-8CFC-07B7DEE5CB6D}">
  <dimension ref="A1:V273"/>
  <sheetViews>
    <sheetView showGridLines="0" workbookViewId="0">
      <pane ySplit="1" topLeftCell="A2" activePane="bottomLeft" state="frozen"/>
      <selection pane="bottomLeft" activeCell="E13" sqref="E13"/>
    </sheetView>
  </sheetViews>
  <sheetFormatPr defaultColWidth="8.69921875" defaultRowHeight="12"/>
  <cols>
    <col min="1" max="1" width="25.3984375" style="6" bestFit="1" customWidth="1"/>
    <col min="2" max="2" width="15.3984375" style="6" bestFit="1" customWidth="1"/>
    <col min="3" max="3" width="11.19921875" style="6" bestFit="1" customWidth="1"/>
    <col min="4" max="4" width="9.5" style="16" bestFit="1" customWidth="1"/>
    <col min="5" max="5" width="15.09765625" style="6" bestFit="1" customWidth="1"/>
    <col min="6" max="6" width="10.8984375" style="6" bestFit="1" customWidth="1"/>
    <col min="7" max="7" width="30.69921875" style="6" bestFit="1" customWidth="1"/>
    <col min="8" max="8" width="11.69921875" style="6" bestFit="1" customWidth="1"/>
    <col min="9" max="9" width="12.59765625" style="6" bestFit="1" customWidth="1"/>
    <col min="10" max="10" width="12.796875" style="28" bestFit="1" customWidth="1"/>
    <col min="11" max="11" width="12.59765625" style="16" bestFit="1" customWidth="1"/>
    <col min="12" max="12" width="11.59765625" style="16" bestFit="1" customWidth="1"/>
    <col min="13" max="13" width="13.796875" style="28" bestFit="1" customWidth="1"/>
    <col min="14" max="14" width="20.09765625" style="28" bestFit="1" customWidth="1"/>
    <col min="15" max="15" width="36.796875" style="16" bestFit="1" customWidth="1"/>
    <col min="16" max="16" width="42.59765625" style="6" customWidth="1"/>
    <col min="17" max="17" width="14.59765625" style="16" customWidth="1"/>
    <col min="18" max="18" width="18.5" style="16" customWidth="1"/>
    <col min="19" max="19" width="16.59765625" style="16" customWidth="1"/>
    <col min="20" max="20" width="42.59765625" style="16" customWidth="1"/>
    <col min="21" max="21" width="14.59765625" style="16" customWidth="1"/>
    <col min="22" max="22" width="28.59765625" style="16" customWidth="1"/>
    <col min="23" max="23" width="20.59765625" style="6" customWidth="1"/>
    <col min="24" max="16384" width="8.69921875" style="6"/>
  </cols>
  <sheetData>
    <row r="1" spans="1:22" ht="15.6">
      <c r="A1" s="229" t="s">
        <v>0</v>
      </c>
      <c r="B1" s="175" t="s">
        <v>1</v>
      </c>
      <c r="C1" s="175" t="s">
        <v>2919</v>
      </c>
      <c r="D1" s="175" t="s">
        <v>2920</v>
      </c>
      <c r="E1" s="175" t="s">
        <v>2921</v>
      </c>
      <c r="F1" s="175" t="s">
        <v>3</v>
      </c>
      <c r="G1" s="5" t="s">
        <v>4</v>
      </c>
      <c r="H1" s="4" t="s">
        <v>12</v>
      </c>
      <c r="I1" s="4" t="s">
        <v>5</v>
      </c>
      <c r="J1" s="4" t="s">
        <v>6</v>
      </c>
      <c r="K1" s="111" t="s">
        <v>7</v>
      </c>
      <c r="L1" s="111" t="s">
        <v>9</v>
      </c>
      <c r="M1" s="103" t="s">
        <v>2918</v>
      </c>
      <c r="N1" s="285" t="s">
        <v>13</v>
      </c>
      <c r="O1" s="286" t="s">
        <v>10</v>
      </c>
      <c r="P1"/>
      <c r="Q1"/>
      <c r="R1" s="412" t="s">
        <v>3497</v>
      </c>
      <c r="S1" s="413"/>
      <c r="T1" s="413"/>
      <c r="U1" s="413"/>
      <c r="V1" s="414"/>
    </row>
    <row r="2" spans="1:22" s="304" customFormat="1" ht="14.4">
      <c r="A2" s="381" t="s">
        <v>14</v>
      </c>
      <c r="B2" s="382" t="s">
        <v>3711</v>
      </c>
      <c r="C2" s="382" t="s">
        <v>2705</v>
      </c>
      <c r="D2" s="382" t="s">
        <v>3652</v>
      </c>
      <c r="E2" s="382" t="s">
        <v>295</v>
      </c>
      <c r="F2" s="382" t="s">
        <v>3570</v>
      </c>
      <c r="G2" s="382" t="s">
        <v>3571</v>
      </c>
      <c r="H2" s="383" t="s">
        <v>15</v>
      </c>
      <c r="I2" s="384">
        <v>46225</v>
      </c>
      <c r="J2" s="385">
        <v>0.29375000000000001</v>
      </c>
      <c r="K2" s="383">
        <v>5</v>
      </c>
      <c r="L2" s="383" t="s">
        <v>3710</v>
      </c>
      <c r="M2" s="386">
        <v>12.81</v>
      </c>
      <c r="N2" s="387">
        <v>600</v>
      </c>
      <c r="O2" s="388" t="s">
        <v>3653</v>
      </c>
      <c r="P2" s="303"/>
      <c r="Q2" s="303"/>
      <c r="R2" s="418" t="s">
        <v>3457</v>
      </c>
      <c r="S2" s="419"/>
      <c r="T2" s="419"/>
      <c r="U2" s="419"/>
      <c r="V2" s="420"/>
    </row>
    <row r="3" spans="1:22" s="304" customFormat="1" ht="13.8">
      <c r="A3" s="381" t="s">
        <v>14</v>
      </c>
      <c r="B3" s="382" t="s">
        <v>3711</v>
      </c>
      <c r="C3" s="382" t="s">
        <v>2705</v>
      </c>
      <c r="D3" s="382" t="s">
        <v>3652</v>
      </c>
      <c r="E3" s="382" t="s">
        <v>295</v>
      </c>
      <c r="F3" s="382" t="s">
        <v>3612</v>
      </c>
      <c r="G3" s="382" t="s">
        <v>3613</v>
      </c>
      <c r="H3" s="383" t="s">
        <v>15</v>
      </c>
      <c r="I3" s="384">
        <v>46227</v>
      </c>
      <c r="J3" s="385">
        <v>0.31041666666666667</v>
      </c>
      <c r="K3" s="383">
        <v>3</v>
      </c>
      <c r="L3" s="383" t="s">
        <v>3689</v>
      </c>
      <c r="M3" s="386">
        <v>12.81</v>
      </c>
      <c r="N3" s="387">
        <v>600</v>
      </c>
      <c r="O3" s="388" t="s">
        <v>3653</v>
      </c>
      <c r="P3" s="303"/>
      <c r="Q3" s="303"/>
      <c r="R3" s="415" t="s">
        <v>3705</v>
      </c>
      <c r="S3" s="416"/>
      <c r="T3" s="416"/>
      <c r="U3" s="416"/>
      <c r="V3" s="417"/>
    </row>
    <row r="4" spans="1:22" s="304" customFormat="1" ht="13.8">
      <c r="A4" s="381" t="s">
        <v>14</v>
      </c>
      <c r="B4" s="382" t="s">
        <v>3711</v>
      </c>
      <c r="C4" s="382" t="s">
        <v>2705</v>
      </c>
      <c r="D4" s="382" t="s">
        <v>3652</v>
      </c>
      <c r="E4" s="382" t="s">
        <v>295</v>
      </c>
      <c r="F4" s="382" t="s">
        <v>3622</v>
      </c>
      <c r="G4" s="382" t="s">
        <v>3623</v>
      </c>
      <c r="H4" s="383" t="s">
        <v>15</v>
      </c>
      <c r="I4" s="384">
        <v>46227</v>
      </c>
      <c r="J4" s="385">
        <v>0.31041666666666667</v>
      </c>
      <c r="K4" s="383">
        <v>3</v>
      </c>
      <c r="L4" s="383" t="s">
        <v>3689</v>
      </c>
      <c r="M4" s="386">
        <v>12.81</v>
      </c>
      <c r="N4" s="387">
        <v>600</v>
      </c>
      <c r="O4" s="388" t="s">
        <v>3653</v>
      </c>
      <c r="P4" s="303"/>
      <c r="Q4" s="303"/>
      <c r="R4" s="305"/>
      <c r="S4" s="228"/>
      <c r="T4" s="228"/>
      <c r="U4" s="228"/>
      <c r="V4" s="228"/>
    </row>
    <row r="5" spans="1:22" s="304" customFormat="1" ht="13.8">
      <c r="A5" s="381" t="s">
        <v>14</v>
      </c>
      <c r="B5" s="382" t="s">
        <v>3711</v>
      </c>
      <c r="C5" s="382" t="s">
        <v>2699</v>
      </c>
      <c r="D5" s="382" t="s">
        <v>2262</v>
      </c>
      <c r="E5" s="382" t="s">
        <v>2925</v>
      </c>
      <c r="F5" s="382" t="s">
        <v>3841</v>
      </c>
      <c r="G5" s="382" t="s">
        <v>2263</v>
      </c>
      <c r="H5" s="383" t="s">
        <v>15</v>
      </c>
      <c r="I5" s="384">
        <v>46227</v>
      </c>
      <c r="J5" s="385">
        <v>0.31041666666666667</v>
      </c>
      <c r="K5" s="383">
        <v>3</v>
      </c>
      <c r="L5" s="383" t="s">
        <v>3689</v>
      </c>
      <c r="M5" s="386">
        <v>0</v>
      </c>
      <c r="N5" s="387">
        <v>0</v>
      </c>
      <c r="O5" s="388" t="s">
        <v>3656</v>
      </c>
      <c r="P5" s="303"/>
      <c r="Q5" s="303"/>
      <c r="R5" s="317" t="s">
        <v>3458</v>
      </c>
      <c r="S5" s="306" t="s">
        <v>3459</v>
      </c>
      <c r="T5" s="306" t="s">
        <v>3460</v>
      </c>
      <c r="U5" s="306" t="s">
        <v>3461</v>
      </c>
      <c r="V5" s="228"/>
    </row>
    <row r="6" spans="1:22" s="304" customFormat="1" ht="18">
      <c r="A6" s="381" t="s">
        <v>14</v>
      </c>
      <c r="B6" s="382" t="s">
        <v>3711</v>
      </c>
      <c r="C6" s="382" t="s">
        <v>2699</v>
      </c>
      <c r="D6" s="382" t="s">
        <v>2262</v>
      </c>
      <c r="E6" s="382" t="s">
        <v>2925</v>
      </c>
      <c r="F6" s="382" t="s">
        <v>3842</v>
      </c>
      <c r="G6" s="382" t="s">
        <v>2263</v>
      </c>
      <c r="H6" s="383" t="s">
        <v>15</v>
      </c>
      <c r="I6" s="384">
        <v>46227</v>
      </c>
      <c r="J6" s="385">
        <v>0.31041666666666667</v>
      </c>
      <c r="K6" s="383">
        <v>3</v>
      </c>
      <c r="L6" s="383" t="s">
        <v>3689</v>
      </c>
      <c r="M6" s="386">
        <v>0</v>
      </c>
      <c r="N6" s="387">
        <v>0</v>
      </c>
      <c r="O6" s="388" t="s">
        <v>3656</v>
      </c>
      <c r="P6" s="303"/>
      <c r="Q6" s="303"/>
      <c r="R6" s="318">
        <v>72</v>
      </c>
      <c r="S6" s="307">
        <v>8</v>
      </c>
      <c r="T6" s="307">
        <v>12</v>
      </c>
      <c r="U6" s="307">
        <v>60</v>
      </c>
      <c r="V6" s="228"/>
    </row>
    <row r="7" spans="1:22" s="304" customFormat="1" ht="13.8">
      <c r="A7" s="381" t="s">
        <v>3839</v>
      </c>
      <c r="B7" s="382" t="s">
        <v>3892</v>
      </c>
      <c r="C7" s="382" t="s">
        <v>2705</v>
      </c>
      <c r="D7" s="382" t="s">
        <v>3652</v>
      </c>
      <c r="E7" s="382" t="s">
        <v>295</v>
      </c>
      <c r="F7" s="382" t="s">
        <v>3528</v>
      </c>
      <c r="G7" s="382" t="s">
        <v>3529</v>
      </c>
      <c r="H7" s="383" t="s">
        <v>15</v>
      </c>
      <c r="I7" s="384">
        <v>46228</v>
      </c>
      <c r="J7" s="385">
        <v>0.78055555555555556</v>
      </c>
      <c r="K7" s="383">
        <v>2</v>
      </c>
      <c r="L7" s="383" t="s">
        <v>3689</v>
      </c>
      <c r="M7" s="386">
        <v>12.81</v>
      </c>
      <c r="N7" s="387">
        <v>600</v>
      </c>
      <c r="O7" s="388" t="s">
        <v>3653</v>
      </c>
      <c r="P7" s="303"/>
      <c r="Q7" s="303"/>
      <c r="R7" s="305"/>
      <c r="S7" s="228"/>
      <c r="T7" s="228"/>
      <c r="U7" s="228"/>
      <c r="V7" s="228"/>
    </row>
    <row r="8" spans="1:22" ht="13.8">
      <c r="A8" s="381" t="s">
        <v>3839</v>
      </c>
      <c r="B8" s="382" t="s">
        <v>3892</v>
      </c>
      <c r="C8" s="382" t="s">
        <v>2705</v>
      </c>
      <c r="D8" s="382" t="s">
        <v>3652</v>
      </c>
      <c r="E8" s="382" t="s">
        <v>295</v>
      </c>
      <c r="F8" s="382" t="s">
        <v>3558</v>
      </c>
      <c r="G8" s="382" t="s">
        <v>3559</v>
      </c>
      <c r="H8" s="383" t="s">
        <v>15</v>
      </c>
      <c r="I8" s="384">
        <v>46228</v>
      </c>
      <c r="J8" s="385">
        <v>0.78055555555555556</v>
      </c>
      <c r="K8" s="383">
        <v>2</v>
      </c>
      <c r="L8" s="383" t="s">
        <v>3689</v>
      </c>
      <c r="M8" s="386">
        <v>12.81</v>
      </c>
      <c r="N8" s="387">
        <v>600</v>
      </c>
      <c r="O8" s="388" t="s">
        <v>3653</v>
      </c>
      <c r="P8"/>
      <c r="Q8"/>
      <c r="R8" s="316" t="s">
        <v>3</v>
      </c>
      <c r="S8" s="294" t="s">
        <v>636</v>
      </c>
      <c r="T8" s="294" t="s">
        <v>3462</v>
      </c>
      <c r="U8" s="294" t="s">
        <v>3463</v>
      </c>
      <c r="V8" s="294" t="s">
        <v>3464</v>
      </c>
    </row>
    <row r="9" spans="1:22" ht="14.4">
      <c r="A9" s="381" t="s">
        <v>3839</v>
      </c>
      <c r="B9" s="382" t="s">
        <v>3892</v>
      </c>
      <c r="C9" s="382" t="s">
        <v>2699</v>
      </c>
      <c r="D9" s="382" t="s">
        <v>2262</v>
      </c>
      <c r="E9" s="382" t="s">
        <v>2925</v>
      </c>
      <c r="F9" s="382" t="s">
        <v>3895</v>
      </c>
      <c r="G9" s="382" t="s">
        <v>2263</v>
      </c>
      <c r="H9" s="383" t="s">
        <v>15</v>
      </c>
      <c r="I9" s="384">
        <v>46228</v>
      </c>
      <c r="J9" s="385">
        <v>0.78055555555555556</v>
      </c>
      <c r="K9" s="383">
        <v>2</v>
      </c>
      <c r="L9" s="383" t="s">
        <v>3689</v>
      </c>
      <c r="M9" s="386">
        <v>0</v>
      </c>
      <c r="N9" s="387">
        <v>0</v>
      </c>
      <c r="O9" s="388" t="s">
        <v>3656</v>
      </c>
      <c r="P9"/>
      <c r="Q9"/>
      <c r="R9" s="301" t="s">
        <v>3498</v>
      </c>
      <c r="S9" s="292" t="s">
        <v>3499</v>
      </c>
      <c r="T9" s="319" t="s">
        <v>15</v>
      </c>
      <c r="U9" s="292" t="s">
        <v>3706</v>
      </c>
      <c r="V9" s="295">
        <v>5</v>
      </c>
    </row>
    <row r="10" spans="1:22" ht="14.4">
      <c r="A10" s="381" t="s">
        <v>3839</v>
      </c>
      <c r="B10" s="382" t="s">
        <v>3892</v>
      </c>
      <c r="C10" s="382" t="s">
        <v>2699</v>
      </c>
      <c r="D10" s="382" t="s">
        <v>2262</v>
      </c>
      <c r="E10" s="382" t="s">
        <v>2925</v>
      </c>
      <c r="F10" s="382" t="s">
        <v>3845</v>
      </c>
      <c r="G10" s="382" t="s">
        <v>2263</v>
      </c>
      <c r="H10" s="383" t="s">
        <v>15</v>
      </c>
      <c r="I10" s="384">
        <v>46228</v>
      </c>
      <c r="J10" s="385">
        <v>0.78055555555555556</v>
      </c>
      <c r="K10" s="383">
        <v>2</v>
      </c>
      <c r="L10" s="383" t="s">
        <v>3689</v>
      </c>
      <c r="M10" s="386">
        <v>0</v>
      </c>
      <c r="N10" s="387">
        <v>0</v>
      </c>
      <c r="O10" s="388" t="s">
        <v>3656</v>
      </c>
      <c r="P10"/>
      <c r="Q10"/>
      <c r="R10" s="302" t="s">
        <v>3546</v>
      </c>
      <c r="S10" s="290" t="s">
        <v>3547</v>
      </c>
      <c r="T10" s="380" t="s">
        <v>3466</v>
      </c>
      <c r="U10" s="290" t="s">
        <v>3467</v>
      </c>
      <c r="V10" s="296">
        <v>4</v>
      </c>
    </row>
    <row r="11" spans="1:22" ht="14.4">
      <c r="A11" s="381" t="s">
        <v>3839</v>
      </c>
      <c r="B11" s="382" t="s">
        <v>3966</v>
      </c>
      <c r="C11" s="382" t="s">
        <v>2705</v>
      </c>
      <c r="D11" s="382" t="s">
        <v>3652</v>
      </c>
      <c r="E11" s="382" t="s">
        <v>295</v>
      </c>
      <c r="F11" s="382" t="s">
        <v>3620</v>
      </c>
      <c r="G11" s="382" t="s">
        <v>3621</v>
      </c>
      <c r="H11" s="383" t="s">
        <v>15</v>
      </c>
      <c r="I11" s="384">
        <v>46229</v>
      </c>
      <c r="J11" s="385">
        <v>0.31874999999999998</v>
      </c>
      <c r="K11" s="383">
        <v>1</v>
      </c>
      <c r="L11" s="383" t="s">
        <v>3832</v>
      </c>
      <c r="M11" s="386">
        <v>12.81</v>
      </c>
      <c r="N11" s="387">
        <v>600</v>
      </c>
      <c r="O11" s="388" t="s">
        <v>3653</v>
      </c>
      <c r="P11"/>
      <c r="Q11"/>
      <c r="R11" s="301" t="s">
        <v>3500</v>
      </c>
      <c r="S11" s="292" t="s">
        <v>3501</v>
      </c>
      <c r="T11" s="319" t="s">
        <v>15</v>
      </c>
      <c r="U11" s="292" t="s">
        <v>3701</v>
      </c>
      <c r="V11" s="295">
        <v>3</v>
      </c>
    </row>
    <row r="12" spans="1:22" ht="14.4">
      <c r="A12" s="381" t="s">
        <v>3839</v>
      </c>
      <c r="B12" s="382" t="s">
        <v>3966</v>
      </c>
      <c r="C12" s="382" t="s">
        <v>2699</v>
      </c>
      <c r="D12" s="382" t="s">
        <v>2262</v>
      </c>
      <c r="E12" s="382" t="s">
        <v>2925</v>
      </c>
      <c r="F12" s="382" t="s">
        <v>3980</v>
      </c>
      <c r="G12" s="382" t="s">
        <v>2263</v>
      </c>
      <c r="H12" s="383" t="s">
        <v>15</v>
      </c>
      <c r="I12" s="384">
        <v>46229</v>
      </c>
      <c r="J12" s="385">
        <v>0.31874999999999998</v>
      </c>
      <c r="K12" s="383">
        <v>1</v>
      </c>
      <c r="L12" s="383" t="s">
        <v>3832</v>
      </c>
      <c r="M12" s="386">
        <v>0</v>
      </c>
      <c r="N12" s="387">
        <v>0</v>
      </c>
      <c r="O12" s="388" t="s">
        <v>3656</v>
      </c>
      <c r="P12"/>
      <c r="Q12"/>
      <c r="R12" s="302" t="s">
        <v>3520</v>
      </c>
      <c r="S12" s="290" t="s">
        <v>3521</v>
      </c>
      <c r="T12" s="379" t="s">
        <v>15</v>
      </c>
      <c r="U12" s="290" t="s">
        <v>3707</v>
      </c>
      <c r="V12" s="296">
        <v>2</v>
      </c>
    </row>
    <row r="13" spans="1:22" ht="14.4">
      <c r="A13" s="381" t="s">
        <v>3446</v>
      </c>
      <c r="B13" s="382" t="s">
        <v>3713</v>
      </c>
      <c r="C13" s="382" t="s">
        <v>2699</v>
      </c>
      <c r="D13" s="382" t="s">
        <v>2262</v>
      </c>
      <c r="E13" s="382" t="s">
        <v>2925</v>
      </c>
      <c r="F13" s="382" t="s">
        <v>3717</v>
      </c>
      <c r="G13" s="382" t="s">
        <v>2263</v>
      </c>
      <c r="H13" s="383" t="s">
        <v>15</v>
      </c>
      <c r="I13" s="384">
        <v>46226</v>
      </c>
      <c r="J13" s="385">
        <v>0.45624999999999999</v>
      </c>
      <c r="K13" s="383">
        <v>4</v>
      </c>
      <c r="L13" s="383" t="s">
        <v>3710</v>
      </c>
      <c r="M13" s="386">
        <v>0</v>
      </c>
      <c r="N13" s="387">
        <v>0</v>
      </c>
      <c r="O13" s="388" t="s">
        <v>3656</v>
      </c>
      <c r="P13"/>
      <c r="Q13"/>
      <c r="R13" s="301" t="s">
        <v>3502</v>
      </c>
      <c r="S13" s="292" t="s">
        <v>3503</v>
      </c>
      <c r="T13" s="319" t="s">
        <v>15</v>
      </c>
      <c r="U13" s="292" t="s">
        <v>3688</v>
      </c>
      <c r="V13" s="295">
        <v>2</v>
      </c>
    </row>
    <row r="14" spans="1:22" ht="14.4">
      <c r="A14" s="381" t="s">
        <v>3446</v>
      </c>
      <c r="B14" s="382" t="s">
        <v>3713</v>
      </c>
      <c r="C14" s="382" t="s">
        <v>2705</v>
      </c>
      <c r="D14" s="382" t="s">
        <v>3652</v>
      </c>
      <c r="E14" s="382" t="s">
        <v>295</v>
      </c>
      <c r="F14" s="382" t="s">
        <v>3520</v>
      </c>
      <c r="G14" s="382" t="s">
        <v>3521</v>
      </c>
      <c r="H14" s="383" t="s">
        <v>15</v>
      </c>
      <c r="I14" s="384">
        <v>46228</v>
      </c>
      <c r="J14" s="385">
        <v>0.56180555555555556</v>
      </c>
      <c r="K14" s="383">
        <v>2</v>
      </c>
      <c r="L14" s="383" t="s">
        <v>3689</v>
      </c>
      <c r="M14" s="386">
        <v>12.81</v>
      </c>
      <c r="N14" s="387">
        <v>600</v>
      </c>
      <c r="O14" s="388" t="s">
        <v>3653</v>
      </c>
      <c r="P14"/>
      <c r="Q14"/>
      <c r="R14" s="302" t="s">
        <v>3570</v>
      </c>
      <c r="S14" s="290" t="s">
        <v>3571</v>
      </c>
      <c r="T14" s="379" t="s">
        <v>15</v>
      </c>
      <c r="U14" s="290" t="s">
        <v>3701</v>
      </c>
      <c r="V14" s="296">
        <v>2</v>
      </c>
    </row>
    <row r="15" spans="1:22" ht="14.4">
      <c r="A15" s="381" t="s">
        <v>3446</v>
      </c>
      <c r="B15" s="382" t="s">
        <v>3958</v>
      </c>
      <c r="C15" s="382" t="s">
        <v>2705</v>
      </c>
      <c r="D15" s="382" t="s">
        <v>3652</v>
      </c>
      <c r="E15" s="382" t="s">
        <v>295</v>
      </c>
      <c r="F15" s="382" t="s">
        <v>3518</v>
      </c>
      <c r="G15" s="382" t="s">
        <v>3519</v>
      </c>
      <c r="H15" s="383" t="s">
        <v>15</v>
      </c>
      <c r="I15" s="384">
        <v>46229</v>
      </c>
      <c r="J15" s="385">
        <v>0.26805555555555555</v>
      </c>
      <c r="K15" s="383">
        <v>1</v>
      </c>
      <c r="L15" s="383" t="s">
        <v>3832</v>
      </c>
      <c r="M15" s="386">
        <v>12.81</v>
      </c>
      <c r="N15" s="387">
        <v>600</v>
      </c>
      <c r="O15" s="388" t="s">
        <v>3653</v>
      </c>
      <c r="P15"/>
      <c r="Q15"/>
      <c r="R15" s="301" t="s">
        <v>3582</v>
      </c>
      <c r="S15" s="292" t="s">
        <v>3583</v>
      </c>
      <c r="T15" s="319" t="s">
        <v>15</v>
      </c>
      <c r="U15" s="292" t="s">
        <v>3708</v>
      </c>
      <c r="V15" s="295">
        <v>2</v>
      </c>
    </row>
    <row r="16" spans="1:22" ht="14.4">
      <c r="A16" s="381" t="s">
        <v>3446</v>
      </c>
      <c r="B16" s="382" t="s">
        <v>3834</v>
      </c>
      <c r="C16" s="382" t="s">
        <v>2705</v>
      </c>
      <c r="D16" s="382" t="s">
        <v>3652</v>
      </c>
      <c r="E16" s="382" t="s">
        <v>295</v>
      </c>
      <c r="F16" s="382" t="s">
        <v>3580</v>
      </c>
      <c r="G16" s="382" t="s">
        <v>3581</v>
      </c>
      <c r="H16" s="383" t="s">
        <v>15</v>
      </c>
      <c r="I16" s="384">
        <v>46229</v>
      </c>
      <c r="J16" s="385">
        <v>0.2673611111111111</v>
      </c>
      <c r="K16" s="383">
        <v>1</v>
      </c>
      <c r="L16" s="383" t="s">
        <v>3832</v>
      </c>
      <c r="M16" s="386">
        <v>12.81</v>
      </c>
      <c r="N16" s="387">
        <v>600</v>
      </c>
      <c r="O16" s="388" t="s">
        <v>3653</v>
      </c>
      <c r="P16"/>
      <c r="Q16"/>
      <c r="R16" s="302" t="s">
        <v>3504</v>
      </c>
      <c r="S16" s="290" t="s">
        <v>3505</v>
      </c>
      <c r="T16" s="291" t="s">
        <v>3466</v>
      </c>
      <c r="U16" s="290" t="s">
        <v>3467</v>
      </c>
      <c r="V16" s="296">
        <v>2</v>
      </c>
    </row>
    <row r="17" spans="1:22" ht="14.4">
      <c r="A17" s="381" t="s">
        <v>3446</v>
      </c>
      <c r="B17" s="382" t="s">
        <v>3960</v>
      </c>
      <c r="C17" s="382" t="s">
        <v>2705</v>
      </c>
      <c r="D17" s="382" t="s">
        <v>3652</v>
      </c>
      <c r="E17" s="382" t="s">
        <v>295</v>
      </c>
      <c r="F17" s="382" t="s">
        <v>3514</v>
      </c>
      <c r="G17" s="382" t="s">
        <v>3515</v>
      </c>
      <c r="H17" s="383" t="s">
        <v>15</v>
      </c>
      <c r="I17" s="384">
        <v>46229</v>
      </c>
      <c r="J17" s="385">
        <v>0.26805555555555555</v>
      </c>
      <c r="K17" s="383">
        <v>1</v>
      </c>
      <c r="L17" s="383" t="s">
        <v>3832</v>
      </c>
      <c r="M17" s="386">
        <v>12.81</v>
      </c>
      <c r="N17" s="387">
        <v>600</v>
      </c>
      <c r="O17" s="388" t="s">
        <v>3653</v>
      </c>
      <c r="P17"/>
      <c r="Q17"/>
      <c r="R17" s="301" t="s">
        <v>3512</v>
      </c>
      <c r="S17" s="292" t="s">
        <v>3513</v>
      </c>
      <c r="T17" s="293" t="s">
        <v>3466</v>
      </c>
      <c r="U17" s="292" t="s">
        <v>3467</v>
      </c>
      <c r="V17" s="295">
        <v>1</v>
      </c>
    </row>
    <row r="18" spans="1:22" ht="14.4">
      <c r="A18" s="381" t="s">
        <v>3446</v>
      </c>
      <c r="B18" s="382" t="s">
        <v>3958</v>
      </c>
      <c r="C18" s="382" t="s">
        <v>2699</v>
      </c>
      <c r="D18" s="382" t="s">
        <v>2262</v>
      </c>
      <c r="E18" s="382" t="s">
        <v>2925</v>
      </c>
      <c r="F18" s="382" t="s">
        <v>3981</v>
      </c>
      <c r="G18" s="382" t="s">
        <v>2263</v>
      </c>
      <c r="H18" s="383" t="s">
        <v>15</v>
      </c>
      <c r="I18" s="384">
        <v>46229</v>
      </c>
      <c r="J18" s="385">
        <v>0.26805555555555555</v>
      </c>
      <c r="K18" s="383">
        <v>1</v>
      </c>
      <c r="L18" s="383" t="s">
        <v>3832</v>
      </c>
      <c r="M18" s="386">
        <v>0</v>
      </c>
      <c r="N18" s="387">
        <v>0</v>
      </c>
      <c r="O18" s="388" t="s">
        <v>3656</v>
      </c>
      <c r="P18"/>
      <c r="Q18"/>
      <c r="R18" s="302" t="s">
        <v>3526</v>
      </c>
      <c r="S18" s="290" t="s">
        <v>3527</v>
      </c>
      <c r="T18" s="291" t="s">
        <v>3466</v>
      </c>
      <c r="U18" s="290" t="s">
        <v>3467</v>
      </c>
      <c r="V18" s="296">
        <v>1</v>
      </c>
    </row>
    <row r="19" spans="1:22" ht="14.4">
      <c r="A19" s="381" t="s">
        <v>3446</v>
      </c>
      <c r="B19" s="382" t="s">
        <v>3834</v>
      </c>
      <c r="C19" s="382" t="s">
        <v>2699</v>
      </c>
      <c r="D19" s="382" t="s">
        <v>2262</v>
      </c>
      <c r="E19" s="382" t="s">
        <v>2925</v>
      </c>
      <c r="F19" s="382" t="s">
        <v>3900</v>
      </c>
      <c r="G19" s="382" t="s">
        <v>2263</v>
      </c>
      <c r="H19" s="383" t="s">
        <v>15</v>
      </c>
      <c r="I19" s="384">
        <v>46229</v>
      </c>
      <c r="J19" s="385">
        <v>0.2673611111111111</v>
      </c>
      <c r="K19" s="383">
        <v>1</v>
      </c>
      <c r="L19" s="383" t="s">
        <v>3832</v>
      </c>
      <c r="M19" s="386">
        <v>0</v>
      </c>
      <c r="N19" s="387">
        <v>0</v>
      </c>
      <c r="O19" s="388" t="s">
        <v>3656</v>
      </c>
      <c r="P19"/>
      <c r="Q19"/>
      <c r="R19" s="301" t="s">
        <v>3528</v>
      </c>
      <c r="S19" s="292" t="s">
        <v>3529</v>
      </c>
      <c r="T19" s="319" t="s">
        <v>15</v>
      </c>
      <c r="U19" s="292" t="s">
        <v>3702</v>
      </c>
      <c r="V19" s="295">
        <v>1</v>
      </c>
    </row>
    <row r="20" spans="1:22" ht="14.4">
      <c r="A20" s="381" t="s">
        <v>3446</v>
      </c>
      <c r="B20" s="382" t="s">
        <v>3960</v>
      </c>
      <c r="C20" s="382" t="s">
        <v>2699</v>
      </c>
      <c r="D20" s="382" t="s">
        <v>2262</v>
      </c>
      <c r="E20" s="382" t="s">
        <v>2925</v>
      </c>
      <c r="F20" s="382" t="s">
        <v>3982</v>
      </c>
      <c r="G20" s="382" t="s">
        <v>2263</v>
      </c>
      <c r="H20" s="383" t="s">
        <v>15</v>
      </c>
      <c r="I20" s="384">
        <v>46229</v>
      </c>
      <c r="J20" s="385">
        <v>0.26805555555555555</v>
      </c>
      <c r="K20" s="383">
        <v>1</v>
      </c>
      <c r="L20" s="383" t="s">
        <v>3832</v>
      </c>
      <c r="M20" s="386">
        <v>0</v>
      </c>
      <c r="N20" s="387">
        <v>0</v>
      </c>
      <c r="O20" s="388" t="s">
        <v>3656</v>
      </c>
      <c r="P20"/>
      <c r="Q20"/>
      <c r="R20" s="302" t="s">
        <v>3542</v>
      </c>
      <c r="S20" s="290" t="s">
        <v>3543</v>
      </c>
      <c r="T20" s="379" t="s">
        <v>15</v>
      </c>
      <c r="U20" s="290" t="s">
        <v>3709</v>
      </c>
      <c r="V20" s="296">
        <v>1</v>
      </c>
    </row>
    <row r="21" spans="1:22" ht="14.4">
      <c r="A21" s="381" t="s">
        <v>11</v>
      </c>
      <c r="B21" s="382" t="s">
        <v>3712</v>
      </c>
      <c r="C21" s="382" t="s">
        <v>2705</v>
      </c>
      <c r="D21" s="382" t="s">
        <v>3652</v>
      </c>
      <c r="E21" s="382" t="s">
        <v>295</v>
      </c>
      <c r="F21" s="382" t="s">
        <v>3592</v>
      </c>
      <c r="G21" s="382" t="s">
        <v>3593</v>
      </c>
      <c r="H21" s="383" t="s">
        <v>15</v>
      </c>
      <c r="I21" s="384">
        <v>46228</v>
      </c>
      <c r="J21" s="385">
        <v>0.60972222222222228</v>
      </c>
      <c r="K21" s="383">
        <v>2</v>
      </c>
      <c r="L21" s="383" t="s">
        <v>3689</v>
      </c>
      <c r="M21" s="386">
        <v>12.81</v>
      </c>
      <c r="N21" s="387">
        <v>600</v>
      </c>
      <c r="O21" s="388" t="s">
        <v>3653</v>
      </c>
      <c r="P21"/>
      <c r="Q21"/>
      <c r="R21" s="301" t="s">
        <v>3506</v>
      </c>
      <c r="S21" s="292" t="s">
        <v>3507</v>
      </c>
      <c r="T21" s="293" t="s">
        <v>3466</v>
      </c>
      <c r="U21" s="292" t="s">
        <v>3467</v>
      </c>
      <c r="V21" s="293">
        <v>0</v>
      </c>
    </row>
    <row r="22" spans="1:22" ht="14.4">
      <c r="A22" s="381" t="s">
        <v>11</v>
      </c>
      <c r="B22" s="382" t="s">
        <v>3893</v>
      </c>
      <c r="C22" s="382" t="s">
        <v>2705</v>
      </c>
      <c r="D22" s="382" t="s">
        <v>3652</v>
      </c>
      <c r="E22" s="382" t="s">
        <v>295</v>
      </c>
      <c r="F22" s="382" t="s">
        <v>3578</v>
      </c>
      <c r="G22" s="382" t="s">
        <v>3579</v>
      </c>
      <c r="H22" s="383" t="s">
        <v>15</v>
      </c>
      <c r="I22" s="384">
        <v>46228</v>
      </c>
      <c r="J22" s="385">
        <v>0.94236111111111109</v>
      </c>
      <c r="K22" s="383">
        <v>2</v>
      </c>
      <c r="L22" s="383" t="s">
        <v>3689</v>
      </c>
      <c r="M22" s="386">
        <v>12.81</v>
      </c>
      <c r="N22" s="387">
        <v>600</v>
      </c>
      <c r="O22" s="388" t="s">
        <v>3653</v>
      </c>
      <c r="P22"/>
      <c r="Q22"/>
      <c r="R22" s="302" t="s">
        <v>3508</v>
      </c>
      <c r="S22" s="290" t="s">
        <v>3509</v>
      </c>
      <c r="T22" s="291" t="s">
        <v>3466</v>
      </c>
      <c r="U22" s="290" t="s">
        <v>3467</v>
      </c>
      <c r="V22" s="291">
        <v>0</v>
      </c>
    </row>
    <row r="23" spans="1:22" ht="14.4">
      <c r="A23" s="381" t="s">
        <v>11</v>
      </c>
      <c r="B23" s="382" t="s">
        <v>3893</v>
      </c>
      <c r="C23" s="382" t="s">
        <v>2705</v>
      </c>
      <c r="D23" s="382" t="s">
        <v>3652</v>
      </c>
      <c r="E23" s="382" t="s">
        <v>295</v>
      </c>
      <c r="F23" s="382" t="s">
        <v>3628</v>
      </c>
      <c r="G23" s="382" t="s">
        <v>3629</v>
      </c>
      <c r="H23" s="383" t="s">
        <v>15</v>
      </c>
      <c r="I23" s="384">
        <v>46228</v>
      </c>
      <c r="J23" s="385">
        <v>0.94236111111111109</v>
      </c>
      <c r="K23" s="383">
        <v>2</v>
      </c>
      <c r="L23" s="383" t="s">
        <v>3689</v>
      </c>
      <c r="M23" s="386">
        <v>12.81</v>
      </c>
      <c r="N23" s="387">
        <v>600</v>
      </c>
      <c r="O23" s="388" t="s">
        <v>3653</v>
      </c>
      <c r="P23"/>
      <c r="Q23"/>
      <c r="R23" s="301" t="s">
        <v>3510</v>
      </c>
      <c r="S23" s="292" t="s">
        <v>3511</v>
      </c>
      <c r="T23" s="293" t="s">
        <v>3466</v>
      </c>
      <c r="U23" s="292" t="s">
        <v>3467</v>
      </c>
      <c r="V23" s="293">
        <v>0</v>
      </c>
    </row>
    <row r="24" spans="1:22" ht="14.4">
      <c r="A24" s="381" t="s">
        <v>11</v>
      </c>
      <c r="B24" s="382" t="s">
        <v>3712</v>
      </c>
      <c r="C24" s="382" t="s">
        <v>2699</v>
      </c>
      <c r="D24" s="382" t="s">
        <v>2262</v>
      </c>
      <c r="E24" s="382" t="s">
        <v>2925</v>
      </c>
      <c r="F24" s="382" t="s">
        <v>3896</v>
      </c>
      <c r="G24" s="382" t="s">
        <v>2263</v>
      </c>
      <c r="H24" s="383" t="s">
        <v>15</v>
      </c>
      <c r="I24" s="384">
        <v>46228</v>
      </c>
      <c r="J24" s="385">
        <v>0.60972222222222228</v>
      </c>
      <c r="K24" s="383">
        <v>2</v>
      </c>
      <c r="L24" s="383" t="s">
        <v>3689</v>
      </c>
      <c r="M24" s="386">
        <v>0</v>
      </c>
      <c r="N24" s="387">
        <v>0</v>
      </c>
      <c r="O24" s="388" t="s">
        <v>3656</v>
      </c>
      <c r="P24"/>
      <c r="Q24"/>
      <c r="R24" s="302" t="s">
        <v>3514</v>
      </c>
      <c r="S24" s="290" t="s">
        <v>3515</v>
      </c>
      <c r="T24" s="291" t="s">
        <v>3466</v>
      </c>
      <c r="U24" s="290" t="s">
        <v>3467</v>
      </c>
      <c r="V24" s="291">
        <v>0</v>
      </c>
    </row>
    <row r="25" spans="1:22" ht="14.4">
      <c r="A25" s="381" t="s">
        <v>11</v>
      </c>
      <c r="B25" s="382" t="s">
        <v>3893</v>
      </c>
      <c r="C25" s="382" t="s">
        <v>2699</v>
      </c>
      <c r="D25" s="382" t="s">
        <v>2262</v>
      </c>
      <c r="E25" s="382" t="s">
        <v>2925</v>
      </c>
      <c r="F25" s="382" t="s">
        <v>3898</v>
      </c>
      <c r="G25" s="382" t="s">
        <v>2263</v>
      </c>
      <c r="H25" s="383" t="s">
        <v>15</v>
      </c>
      <c r="I25" s="384">
        <v>46228</v>
      </c>
      <c r="J25" s="385">
        <v>0.94236111111111109</v>
      </c>
      <c r="K25" s="383">
        <v>2</v>
      </c>
      <c r="L25" s="383" t="s">
        <v>3689</v>
      </c>
      <c r="M25" s="386">
        <v>0</v>
      </c>
      <c r="N25" s="387">
        <v>0</v>
      </c>
      <c r="O25" s="388" t="s">
        <v>3656</v>
      </c>
      <c r="P25"/>
      <c r="Q25"/>
      <c r="R25" s="301" t="s">
        <v>3516</v>
      </c>
      <c r="S25" s="292" t="s">
        <v>3517</v>
      </c>
      <c r="T25" s="293" t="s">
        <v>3466</v>
      </c>
      <c r="U25" s="292" t="s">
        <v>3467</v>
      </c>
      <c r="V25" s="293">
        <v>0</v>
      </c>
    </row>
    <row r="26" spans="1:22" ht="14.4">
      <c r="A26" s="381" t="s">
        <v>11</v>
      </c>
      <c r="B26" s="382" t="s">
        <v>3893</v>
      </c>
      <c r="C26" s="382" t="s">
        <v>2699</v>
      </c>
      <c r="D26" s="382" t="s">
        <v>2262</v>
      </c>
      <c r="E26" s="382" t="s">
        <v>2925</v>
      </c>
      <c r="F26" s="382" t="s">
        <v>3897</v>
      </c>
      <c r="G26" s="382" t="s">
        <v>2263</v>
      </c>
      <c r="H26" s="383" t="s">
        <v>15</v>
      </c>
      <c r="I26" s="384">
        <v>46228</v>
      </c>
      <c r="J26" s="385">
        <v>0.94236111111111109</v>
      </c>
      <c r="K26" s="383">
        <v>2</v>
      </c>
      <c r="L26" s="383" t="s">
        <v>3689</v>
      </c>
      <c r="M26" s="386">
        <v>0</v>
      </c>
      <c r="N26" s="387">
        <v>0</v>
      </c>
      <c r="O26" s="388" t="s">
        <v>3656</v>
      </c>
      <c r="P26"/>
      <c r="Q26"/>
      <c r="R26" s="302" t="s">
        <v>3518</v>
      </c>
      <c r="S26" s="290" t="s">
        <v>3519</v>
      </c>
      <c r="T26" s="380" t="s">
        <v>3466</v>
      </c>
      <c r="U26" s="290" t="s">
        <v>3467</v>
      </c>
      <c r="V26" s="291">
        <v>0</v>
      </c>
    </row>
    <row r="27" spans="1:22" ht="14.4">
      <c r="A27" s="381" t="s">
        <v>11</v>
      </c>
      <c r="B27" s="382" t="s">
        <v>3967</v>
      </c>
      <c r="C27" s="382" t="s">
        <v>2705</v>
      </c>
      <c r="D27" s="382" t="s">
        <v>3652</v>
      </c>
      <c r="E27" s="382" t="s">
        <v>295</v>
      </c>
      <c r="F27" s="382" t="s">
        <v>3576</v>
      </c>
      <c r="G27" s="382" t="s">
        <v>3577</v>
      </c>
      <c r="H27" s="383" t="s">
        <v>15</v>
      </c>
      <c r="I27" s="384">
        <v>46229</v>
      </c>
      <c r="J27" s="385">
        <v>0.27152777777777776</v>
      </c>
      <c r="K27" s="383">
        <v>1</v>
      </c>
      <c r="L27" s="383" t="s">
        <v>3832</v>
      </c>
      <c r="M27" s="386">
        <v>12.81</v>
      </c>
      <c r="N27" s="387">
        <v>600</v>
      </c>
      <c r="O27" s="388" t="s">
        <v>3653</v>
      </c>
      <c r="P27"/>
      <c r="Q27"/>
      <c r="R27" s="301" t="s">
        <v>3522</v>
      </c>
      <c r="S27" s="292" t="s">
        <v>3523</v>
      </c>
      <c r="T27" s="293" t="s">
        <v>3466</v>
      </c>
      <c r="U27" s="292" t="s">
        <v>3467</v>
      </c>
      <c r="V27" s="293">
        <v>0</v>
      </c>
    </row>
    <row r="28" spans="1:22" ht="14.4">
      <c r="A28" s="381" t="s">
        <v>11</v>
      </c>
      <c r="B28" s="382" t="s">
        <v>3967</v>
      </c>
      <c r="C28" s="382" t="s">
        <v>2705</v>
      </c>
      <c r="D28" s="382" t="s">
        <v>3652</v>
      </c>
      <c r="E28" s="382" t="s">
        <v>295</v>
      </c>
      <c r="F28" s="382" t="s">
        <v>3552</v>
      </c>
      <c r="G28" s="382" t="s">
        <v>3553</v>
      </c>
      <c r="H28" s="383" t="s">
        <v>15</v>
      </c>
      <c r="I28" s="384">
        <v>46229</v>
      </c>
      <c r="J28" s="385">
        <v>0.30833333333333335</v>
      </c>
      <c r="K28" s="383">
        <v>1</v>
      </c>
      <c r="L28" s="383" t="s">
        <v>3832</v>
      </c>
      <c r="M28" s="386">
        <v>12.81</v>
      </c>
      <c r="N28" s="387">
        <v>600</v>
      </c>
      <c r="O28" s="388" t="s">
        <v>3653</v>
      </c>
      <c r="P28"/>
      <c r="Q28"/>
      <c r="R28" s="302" t="s">
        <v>3524</v>
      </c>
      <c r="S28" s="290" t="s">
        <v>3525</v>
      </c>
      <c r="T28" s="291" t="s">
        <v>3466</v>
      </c>
      <c r="U28" s="290" t="s">
        <v>3467</v>
      </c>
      <c r="V28" s="291">
        <v>0</v>
      </c>
    </row>
    <row r="29" spans="1:22" ht="14.4">
      <c r="A29" s="381" t="s">
        <v>11</v>
      </c>
      <c r="B29" s="382" t="s">
        <v>3967</v>
      </c>
      <c r="C29" s="382" t="s">
        <v>2705</v>
      </c>
      <c r="D29" s="382" t="s">
        <v>3652</v>
      </c>
      <c r="E29" s="382" t="s">
        <v>295</v>
      </c>
      <c r="F29" s="382" t="s">
        <v>3594</v>
      </c>
      <c r="G29" s="382" t="s">
        <v>3595</v>
      </c>
      <c r="H29" s="383" t="s">
        <v>15</v>
      </c>
      <c r="I29" s="384">
        <v>46229</v>
      </c>
      <c r="J29" s="385">
        <v>0.27152777777777776</v>
      </c>
      <c r="K29" s="383">
        <v>1</v>
      </c>
      <c r="L29" s="383" t="s">
        <v>3832</v>
      </c>
      <c r="M29" s="386">
        <v>12.81</v>
      </c>
      <c r="N29" s="387">
        <v>600</v>
      </c>
      <c r="O29" s="388" t="s">
        <v>3653</v>
      </c>
      <c r="P29"/>
      <c r="Q29"/>
      <c r="R29" s="301" t="s">
        <v>3530</v>
      </c>
      <c r="S29" s="292" t="s">
        <v>3531</v>
      </c>
      <c r="T29" s="293" t="s">
        <v>3466</v>
      </c>
      <c r="U29" s="292" t="s">
        <v>3467</v>
      </c>
      <c r="V29" s="293">
        <v>0</v>
      </c>
    </row>
    <row r="30" spans="1:22" ht="14.4">
      <c r="A30" s="381" t="s">
        <v>11</v>
      </c>
      <c r="B30" s="382" t="s">
        <v>3968</v>
      </c>
      <c r="C30" s="382" t="s">
        <v>2705</v>
      </c>
      <c r="D30" s="382" t="s">
        <v>3652</v>
      </c>
      <c r="E30" s="382" t="s">
        <v>295</v>
      </c>
      <c r="F30" s="382" t="s">
        <v>3512</v>
      </c>
      <c r="G30" s="382" t="s">
        <v>3513</v>
      </c>
      <c r="H30" s="383" t="s">
        <v>15</v>
      </c>
      <c r="I30" s="384">
        <v>46229</v>
      </c>
      <c r="J30" s="385">
        <v>0.26874999999999999</v>
      </c>
      <c r="K30" s="383">
        <v>1</v>
      </c>
      <c r="L30" s="383" t="s">
        <v>3832</v>
      </c>
      <c r="M30" s="386">
        <v>12.81</v>
      </c>
      <c r="N30" s="387">
        <v>600</v>
      </c>
      <c r="O30" s="388" t="s">
        <v>3653</v>
      </c>
      <c r="P30"/>
      <c r="Q30"/>
      <c r="R30" s="302" t="s">
        <v>3532</v>
      </c>
      <c r="S30" s="290" t="s">
        <v>3533</v>
      </c>
      <c r="T30" s="291" t="s">
        <v>3466</v>
      </c>
      <c r="U30" s="290" t="s">
        <v>3467</v>
      </c>
      <c r="V30" s="291">
        <v>0</v>
      </c>
    </row>
    <row r="31" spans="1:22" ht="14.4">
      <c r="A31" s="381" t="s">
        <v>11</v>
      </c>
      <c r="B31" s="382" t="s">
        <v>3967</v>
      </c>
      <c r="C31" s="382" t="s">
        <v>2699</v>
      </c>
      <c r="D31" s="382" t="s">
        <v>2262</v>
      </c>
      <c r="E31" s="382" t="s">
        <v>2925</v>
      </c>
      <c r="F31" s="382" t="s">
        <v>3983</v>
      </c>
      <c r="G31" s="382" t="s">
        <v>2263</v>
      </c>
      <c r="H31" s="383" t="s">
        <v>15</v>
      </c>
      <c r="I31" s="384">
        <v>46229</v>
      </c>
      <c r="J31" s="385">
        <v>0.27152777777777776</v>
      </c>
      <c r="K31" s="383">
        <v>1</v>
      </c>
      <c r="L31" s="383" t="s">
        <v>3832</v>
      </c>
      <c r="M31" s="386">
        <v>0</v>
      </c>
      <c r="N31" s="387">
        <v>0</v>
      </c>
      <c r="O31" s="388" t="s">
        <v>3656</v>
      </c>
      <c r="P31"/>
      <c r="Q31"/>
      <c r="R31" s="301" t="s">
        <v>3534</v>
      </c>
      <c r="S31" s="292" t="s">
        <v>3535</v>
      </c>
      <c r="T31" s="293" t="s">
        <v>3466</v>
      </c>
      <c r="U31" s="292" t="s">
        <v>3467</v>
      </c>
      <c r="V31" s="293">
        <v>0</v>
      </c>
    </row>
    <row r="32" spans="1:22" ht="14.4">
      <c r="A32" s="381" t="s">
        <v>11</v>
      </c>
      <c r="B32" s="382" t="s">
        <v>3967</v>
      </c>
      <c r="C32" s="382" t="s">
        <v>2699</v>
      </c>
      <c r="D32" s="382" t="s">
        <v>2262</v>
      </c>
      <c r="E32" s="382" t="s">
        <v>2925</v>
      </c>
      <c r="F32" s="382" t="s">
        <v>3984</v>
      </c>
      <c r="G32" s="382" t="s">
        <v>2263</v>
      </c>
      <c r="H32" s="383" t="s">
        <v>15</v>
      </c>
      <c r="I32" s="384">
        <v>46229</v>
      </c>
      <c r="J32" s="385">
        <v>0.27152777777777776</v>
      </c>
      <c r="K32" s="383">
        <v>1</v>
      </c>
      <c r="L32" s="383" t="s">
        <v>3832</v>
      </c>
      <c r="M32" s="386">
        <v>0</v>
      </c>
      <c r="N32" s="387">
        <v>0</v>
      </c>
      <c r="O32" s="388" t="s">
        <v>3656</v>
      </c>
      <c r="P32"/>
      <c r="Q32"/>
      <c r="R32" s="302" t="s">
        <v>3536</v>
      </c>
      <c r="S32" s="290" t="s">
        <v>3537</v>
      </c>
      <c r="T32" s="291" t="s">
        <v>3466</v>
      </c>
      <c r="U32" s="290" t="s">
        <v>3467</v>
      </c>
      <c r="V32" s="291">
        <v>0</v>
      </c>
    </row>
    <row r="33" spans="1:22" ht="14.4">
      <c r="A33" s="381" t="s">
        <v>11</v>
      </c>
      <c r="B33" s="382" t="s">
        <v>3967</v>
      </c>
      <c r="C33" s="382" t="s">
        <v>2699</v>
      </c>
      <c r="D33" s="382" t="s">
        <v>2262</v>
      </c>
      <c r="E33" s="382" t="s">
        <v>2925</v>
      </c>
      <c r="F33" s="382" t="s">
        <v>3985</v>
      </c>
      <c r="G33" s="382" t="s">
        <v>2263</v>
      </c>
      <c r="H33" s="383" t="s">
        <v>15</v>
      </c>
      <c r="I33" s="384">
        <v>46229</v>
      </c>
      <c r="J33" s="385">
        <v>0.30833333333333335</v>
      </c>
      <c r="K33" s="383">
        <v>1</v>
      </c>
      <c r="L33" s="383" t="s">
        <v>3832</v>
      </c>
      <c r="M33" s="386">
        <v>0</v>
      </c>
      <c r="N33" s="387">
        <v>0</v>
      </c>
      <c r="O33" s="388" t="s">
        <v>3656</v>
      </c>
      <c r="P33"/>
      <c r="Q33"/>
      <c r="R33" s="301" t="s">
        <v>3538</v>
      </c>
      <c r="S33" s="292" t="s">
        <v>3539</v>
      </c>
      <c r="T33" s="293" t="s">
        <v>3466</v>
      </c>
      <c r="U33" s="292" t="s">
        <v>3467</v>
      </c>
      <c r="V33" s="293">
        <v>0</v>
      </c>
    </row>
    <row r="34" spans="1:22" ht="14.4">
      <c r="A34" s="381" t="s">
        <v>11</v>
      </c>
      <c r="B34" s="382" t="s">
        <v>3968</v>
      </c>
      <c r="C34" s="382" t="s">
        <v>2699</v>
      </c>
      <c r="D34" s="382" t="s">
        <v>2262</v>
      </c>
      <c r="E34" s="382" t="s">
        <v>2925</v>
      </c>
      <c r="F34" s="382" t="s">
        <v>3986</v>
      </c>
      <c r="G34" s="382" t="s">
        <v>2263</v>
      </c>
      <c r="H34" s="383" t="s">
        <v>15</v>
      </c>
      <c r="I34" s="384">
        <v>46229</v>
      </c>
      <c r="J34" s="385">
        <v>0.26874999999999999</v>
      </c>
      <c r="K34" s="383">
        <v>1</v>
      </c>
      <c r="L34" s="383" t="s">
        <v>3832</v>
      </c>
      <c r="M34" s="386">
        <v>0</v>
      </c>
      <c r="N34" s="387">
        <v>0</v>
      </c>
      <c r="O34" s="388" t="s">
        <v>3656</v>
      </c>
      <c r="P34"/>
      <c r="Q34"/>
      <c r="R34" s="302" t="s">
        <v>3540</v>
      </c>
      <c r="S34" s="290" t="s">
        <v>3541</v>
      </c>
      <c r="T34" s="291" t="s">
        <v>3466</v>
      </c>
      <c r="U34" s="290" t="s">
        <v>3467</v>
      </c>
      <c r="V34" s="291">
        <v>0</v>
      </c>
    </row>
    <row r="35" spans="1:22" ht="14.4">
      <c r="A35" s="381" t="s">
        <v>3836</v>
      </c>
      <c r="B35" s="382" t="s">
        <v>3894</v>
      </c>
      <c r="C35" s="382" t="s">
        <v>2705</v>
      </c>
      <c r="D35" s="382" t="s">
        <v>3652</v>
      </c>
      <c r="E35" s="382" t="s">
        <v>295</v>
      </c>
      <c r="F35" s="382" t="s">
        <v>3586</v>
      </c>
      <c r="G35" s="382" t="s">
        <v>3587</v>
      </c>
      <c r="H35" s="383" t="s">
        <v>15</v>
      </c>
      <c r="I35" s="384">
        <v>46228</v>
      </c>
      <c r="J35" s="385">
        <v>0.7416666666666667</v>
      </c>
      <c r="K35" s="383">
        <v>2</v>
      </c>
      <c r="L35" s="383" t="s">
        <v>3689</v>
      </c>
      <c r="M35" s="386">
        <v>12.81</v>
      </c>
      <c r="N35" s="387">
        <v>600</v>
      </c>
      <c r="O35" s="388" t="s">
        <v>3653</v>
      </c>
      <c r="P35"/>
      <c r="Q35"/>
      <c r="R35" s="301" t="s">
        <v>3544</v>
      </c>
      <c r="S35" s="292" t="s">
        <v>3545</v>
      </c>
      <c r="T35" s="293" t="s">
        <v>3466</v>
      </c>
      <c r="U35" s="292" t="s">
        <v>3467</v>
      </c>
      <c r="V35" s="293">
        <v>0</v>
      </c>
    </row>
    <row r="36" spans="1:22" ht="14.4">
      <c r="A36" s="381" t="s">
        <v>3836</v>
      </c>
      <c r="B36" s="382" t="s">
        <v>3894</v>
      </c>
      <c r="C36" s="382" t="s">
        <v>2699</v>
      </c>
      <c r="D36" s="382" t="s">
        <v>2262</v>
      </c>
      <c r="E36" s="382" t="s">
        <v>2925</v>
      </c>
      <c r="F36" s="382" t="s">
        <v>3899</v>
      </c>
      <c r="G36" s="382" t="s">
        <v>2263</v>
      </c>
      <c r="H36" s="383" t="s">
        <v>15</v>
      </c>
      <c r="I36" s="384">
        <v>46228</v>
      </c>
      <c r="J36" s="385">
        <v>0.7416666666666667</v>
      </c>
      <c r="K36" s="383">
        <v>2</v>
      </c>
      <c r="L36" s="383" t="s">
        <v>3689</v>
      </c>
      <c r="M36" s="386">
        <v>0</v>
      </c>
      <c r="N36" s="387">
        <v>0</v>
      </c>
      <c r="O36" s="388" t="s">
        <v>3656</v>
      </c>
      <c r="P36"/>
      <c r="Q36"/>
      <c r="R36" s="302" t="s">
        <v>3548</v>
      </c>
      <c r="S36" s="290" t="s">
        <v>3549</v>
      </c>
      <c r="T36" s="291" t="s">
        <v>3466</v>
      </c>
      <c r="U36" s="290" t="s">
        <v>3467</v>
      </c>
      <c r="V36" s="291">
        <v>0</v>
      </c>
    </row>
    <row r="37" spans="1:22" ht="14.4">
      <c r="A37" s="381" t="s">
        <v>3836</v>
      </c>
      <c r="B37" s="382" t="s">
        <v>3969</v>
      </c>
      <c r="C37" s="382" t="s">
        <v>2705</v>
      </c>
      <c r="D37" s="382" t="s">
        <v>3652</v>
      </c>
      <c r="E37" s="382" t="s">
        <v>295</v>
      </c>
      <c r="F37" s="382" t="s">
        <v>3582</v>
      </c>
      <c r="G37" s="382" t="s">
        <v>3583</v>
      </c>
      <c r="H37" s="383" t="s">
        <v>15</v>
      </c>
      <c r="I37" s="384">
        <v>46229</v>
      </c>
      <c r="J37" s="385">
        <v>0.46805555555555556</v>
      </c>
      <c r="K37" s="383">
        <v>1</v>
      </c>
      <c r="L37" s="383" t="s">
        <v>3832</v>
      </c>
      <c r="M37" s="386">
        <v>12.81</v>
      </c>
      <c r="N37" s="387">
        <v>600</v>
      </c>
      <c r="O37" s="388" t="s">
        <v>3653</v>
      </c>
      <c r="P37"/>
      <c r="Q37"/>
      <c r="R37" s="301" t="s">
        <v>3550</v>
      </c>
      <c r="S37" s="292" t="s">
        <v>3551</v>
      </c>
      <c r="T37" s="293" t="s">
        <v>3466</v>
      </c>
      <c r="U37" s="292" t="s">
        <v>3467</v>
      </c>
      <c r="V37" s="293">
        <v>0</v>
      </c>
    </row>
    <row r="38" spans="1:22" ht="14.4">
      <c r="A38" s="381" t="s">
        <v>3836</v>
      </c>
      <c r="B38" s="382" t="s">
        <v>3969</v>
      </c>
      <c r="C38" s="382" t="s">
        <v>2699</v>
      </c>
      <c r="D38" s="382" t="s">
        <v>2262</v>
      </c>
      <c r="E38" s="382" t="s">
        <v>2925</v>
      </c>
      <c r="F38" s="382" t="s">
        <v>3987</v>
      </c>
      <c r="G38" s="382" t="s">
        <v>2263</v>
      </c>
      <c r="H38" s="383" t="s">
        <v>15</v>
      </c>
      <c r="I38" s="384">
        <v>46229</v>
      </c>
      <c r="J38" s="385">
        <v>0.46805555555555556</v>
      </c>
      <c r="K38" s="383">
        <v>1</v>
      </c>
      <c r="L38" s="383" t="s">
        <v>3832</v>
      </c>
      <c r="M38" s="386">
        <v>0</v>
      </c>
      <c r="N38" s="387">
        <v>0</v>
      </c>
      <c r="O38" s="388" t="s">
        <v>3656</v>
      </c>
      <c r="P38"/>
      <c r="Q38"/>
      <c r="R38" s="302" t="s">
        <v>3552</v>
      </c>
      <c r="S38" s="290" t="s">
        <v>3553</v>
      </c>
      <c r="T38" s="291" t="s">
        <v>3466</v>
      </c>
      <c r="U38" s="290" t="s">
        <v>3467</v>
      </c>
      <c r="V38" s="291">
        <v>0</v>
      </c>
    </row>
    <row r="39" spans="1:22" ht="14.4">
      <c r="A39" s="381" t="s">
        <v>3074</v>
      </c>
      <c r="B39" s="382" t="s">
        <v>3726</v>
      </c>
      <c r="C39" s="382" t="s">
        <v>2705</v>
      </c>
      <c r="D39" s="382" t="s">
        <v>3652</v>
      </c>
      <c r="E39" s="382" t="s">
        <v>295</v>
      </c>
      <c r="F39" s="382" t="s">
        <v>3508</v>
      </c>
      <c r="G39" s="382" t="s">
        <v>3509</v>
      </c>
      <c r="H39" s="383" t="s">
        <v>15</v>
      </c>
      <c r="I39" s="384">
        <v>46229</v>
      </c>
      <c r="J39" s="385">
        <v>0.27291666666666664</v>
      </c>
      <c r="K39" s="383">
        <v>1</v>
      </c>
      <c r="L39" s="383" t="s">
        <v>3832</v>
      </c>
      <c r="M39" s="386">
        <v>12.81</v>
      </c>
      <c r="N39" s="387">
        <v>600</v>
      </c>
      <c r="O39" s="388" t="s">
        <v>3653</v>
      </c>
      <c r="P39"/>
      <c r="Q39"/>
      <c r="R39" s="301" t="s">
        <v>3554</v>
      </c>
      <c r="S39" s="292" t="s">
        <v>3555</v>
      </c>
      <c r="T39" s="293" t="s">
        <v>3466</v>
      </c>
      <c r="U39" s="292" t="s">
        <v>3467</v>
      </c>
      <c r="V39" s="293">
        <v>0</v>
      </c>
    </row>
    <row r="40" spans="1:22" ht="14.4">
      <c r="A40" s="381" t="s">
        <v>3074</v>
      </c>
      <c r="B40" s="382" t="s">
        <v>3970</v>
      </c>
      <c r="C40" s="382" t="s">
        <v>2705</v>
      </c>
      <c r="D40" s="382" t="s">
        <v>3652</v>
      </c>
      <c r="E40" s="382" t="s">
        <v>295</v>
      </c>
      <c r="F40" s="382" t="s">
        <v>3634</v>
      </c>
      <c r="G40" s="382" t="s">
        <v>3635</v>
      </c>
      <c r="H40" s="383" t="s">
        <v>15</v>
      </c>
      <c r="I40" s="384">
        <v>46229</v>
      </c>
      <c r="J40" s="385">
        <v>0.28472222222222221</v>
      </c>
      <c r="K40" s="383">
        <v>1</v>
      </c>
      <c r="L40" s="383" t="s">
        <v>3832</v>
      </c>
      <c r="M40" s="386">
        <v>12.81</v>
      </c>
      <c r="N40" s="387">
        <v>600</v>
      </c>
      <c r="O40" s="388" t="s">
        <v>3653</v>
      </c>
      <c r="P40"/>
      <c r="Q40"/>
      <c r="R40" s="302" t="s">
        <v>3556</v>
      </c>
      <c r="S40" s="290" t="s">
        <v>3557</v>
      </c>
      <c r="T40" s="291" t="s">
        <v>3466</v>
      </c>
      <c r="U40" s="290" t="s">
        <v>3467</v>
      </c>
      <c r="V40" s="291">
        <v>0</v>
      </c>
    </row>
    <row r="41" spans="1:22" ht="14.4">
      <c r="A41" s="381" t="s">
        <v>3074</v>
      </c>
      <c r="B41" s="382" t="s">
        <v>3971</v>
      </c>
      <c r="C41" s="382" t="s">
        <v>2705</v>
      </c>
      <c r="D41" s="382" t="s">
        <v>3652</v>
      </c>
      <c r="E41" s="382" t="s">
        <v>295</v>
      </c>
      <c r="F41" s="382" t="s">
        <v>3534</v>
      </c>
      <c r="G41" s="382" t="s">
        <v>3535</v>
      </c>
      <c r="H41" s="383" t="s">
        <v>15</v>
      </c>
      <c r="I41" s="384">
        <v>46229</v>
      </c>
      <c r="J41" s="385">
        <v>0.28472222222222221</v>
      </c>
      <c r="K41" s="383">
        <v>1</v>
      </c>
      <c r="L41" s="383" t="s">
        <v>3832</v>
      </c>
      <c r="M41" s="386">
        <v>12.81</v>
      </c>
      <c r="N41" s="387">
        <v>600</v>
      </c>
      <c r="O41" s="388" t="s">
        <v>3653</v>
      </c>
      <c r="P41"/>
      <c r="Q41"/>
      <c r="R41" s="301" t="s">
        <v>3558</v>
      </c>
      <c r="S41" s="292" t="s">
        <v>3559</v>
      </c>
      <c r="T41" s="293" t="s">
        <v>3466</v>
      </c>
      <c r="U41" s="292" t="s">
        <v>3467</v>
      </c>
      <c r="V41" s="293">
        <v>0</v>
      </c>
    </row>
    <row r="42" spans="1:22" ht="14.4">
      <c r="A42" s="381" t="s">
        <v>3074</v>
      </c>
      <c r="B42" s="382" t="s">
        <v>3890</v>
      </c>
      <c r="C42" s="382" t="s">
        <v>2705</v>
      </c>
      <c r="D42" s="382" t="s">
        <v>3652</v>
      </c>
      <c r="E42" s="382" t="s">
        <v>295</v>
      </c>
      <c r="F42" s="382" t="s">
        <v>3516</v>
      </c>
      <c r="G42" s="382" t="s">
        <v>3517</v>
      </c>
      <c r="H42" s="383" t="s">
        <v>15</v>
      </c>
      <c r="I42" s="384">
        <v>46229</v>
      </c>
      <c r="J42" s="385">
        <v>0.2673611111111111</v>
      </c>
      <c r="K42" s="383">
        <v>1</v>
      </c>
      <c r="L42" s="383" t="s">
        <v>3832</v>
      </c>
      <c r="M42" s="386">
        <v>12.81</v>
      </c>
      <c r="N42" s="387">
        <v>600</v>
      </c>
      <c r="O42" s="388" t="s">
        <v>3653</v>
      </c>
      <c r="P42"/>
      <c r="Q42"/>
      <c r="R42" s="302" t="s">
        <v>3560</v>
      </c>
      <c r="S42" s="290" t="s">
        <v>3561</v>
      </c>
      <c r="T42" s="291" t="s">
        <v>3466</v>
      </c>
      <c r="U42" s="290" t="s">
        <v>3467</v>
      </c>
      <c r="V42" s="291">
        <v>0</v>
      </c>
    </row>
    <row r="43" spans="1:22" ht="14.4">
      <c r="A43" s="381" t="s">
        <v>3074</v>
      </c>
      <c r="B43" s="382" t="s">
        <v>3962</v>
      </c>
      <c r="C43" s="382" t="s">
        <v>2705</v>
      </c>
      <c r="D43" s="382" t="s">
        <v>3652</v>
      </c>
      <c r="E43" s="382" t="s">
        <v>295</v>
      </c>
      <c r="F43" s="382" t="s">
        <v>3532</v>
      </c>
      <c r="G43" s="382" t="s">
        <v>3533</v>
      </c>
      <c r="H43" s="383" t="s">
        <v>15</v>
      </c>
      <c r="I43" s="384">
        <v>46229</v>
      </c>
      <c r="J43" s="385">
        <v>0.26874999999999999</v>
      </c>
      <c r="K43" s="383">
        <v>1</v>
      </c>
      <c r="L43" s="383" t="s">
        <v>3832</v>
      </c>
      <c r="M43" s="386">
        <v>12.81</v>
      </c>
      <c r="N43" s="387">
        <v>600</v>
      </c>
      <c r="O43" s="388" t="s">
        <v>3653</v>
      </c>
      <c r="P43"/>
      <c r="Q43"/>
      <c r="R43" s="301" t="s">
        <v>3562</v>
      </c>
      <c r="S43" s="292" t="s">
        <v>3563</v>
      </c>
      <c r="T43" s="293" t="s">
        <v>3466</v>
      </c>
      <c r="U43" s="292" t="s">
        <v>3467</v>
      </c>
      <c r="V43" s="293">
        <v>0</v>
      </c>
    </row>
    <row r="44" spans="1:22" ht="14.4">
      <c r="A44" s="381" t="s">
        <v>3074</v>
      </c>
      <c r="B44" s="382" t="s">
        <v>3972</v>
      </c>
      <c r="C44" s="382" t="s">
        <v>2705</v>
      </c>
      <c r="D44" s="382" t="s">
        <v>3652</v>
      </c>
      <c r="E44" s="382" t="s">
        <v>295</v>
      </c>
      <c r="F44" s="382" t="s">
        <v>3638</v>
      </c>
      <c r="G44" s="382" t="s">
        <v>3639</v>
      </c>
      <c r="H44" s="383" t="s">
        <v>15</v>
      </c>
      <c r="I44" s="384">
        <v>46229</v>
      </c>
      <c r="J44" s="385">
        <v>0.27152777777777776</v>
      </c>
      <c r="K44" s="383">
        <v>1</v>
      </c>
      <c r="L44" s="383" t="s">
        <v>3832</v>
      </c>
      <c r="M44" s="386">
        <v>12.81</v>
      </c>
      <c r="N44" s="387">
        <v>600</v>
      </c>
      <c r="O44" s="388" t="s">
        <v>3653</v>
      </c>
      <c r="P44"/>
      <c r="Q44"/>
      <c r="R44" s="302" t="s">
        <v>3564</v>
      </c>
      <c r="S44" s="290" t="s">
        <v>3565</v>
      </c>
      <c r="T44" s="291" t="s">
        <v>3466</v>
      </c>
      <c r="U44" s="290" t="s">
        <v>3467</v>
      </c>
      <c r="V44" s="291">
        <v>0</v>
      </c>
    </row>
    <row r="45" spans="1:22" ht="14.4">
      <c r="A45" s="381" t="s">
        <v>3074</v>
      </c>
      <c r="B45" s="382" t="s">
        <v>3973</v>
      </c>
      <c r="C45" s="382" t="s">
        <v>2705</v>
      </c>
      <c r="D45" s="382" t="s">
        <v>3652</v>
      </c>
      <c r="E45" s="382" t="s">
        <v>295</v>
      </c>
      <c r="F45" s="382" t="s">
        <v>3540</v>
      </c>
      <c r="G45" s="382" t="s">
        <v>3541</v>
      </c>
      <c r="H45" s="383" t="s">
        <v>15</v>
      </c>
      <c r="I45" s="384">
        <v>46229</v>
      </c>
      <c r="J45" s="385">
        <v>0.28263888888888888</v>
      </c>
      <c r="K45" s="383">
        <v>1</v>
      </c>
      <c r="L45" s="383" t="s">
        <v>3832</v>
      </c>
      <c r="M45" s="386">
        <v>12.81</v>
      </c>
      <c r="N45" s="387">
        <v>600</v>
      </c>
      <c r="O45" s="388" t="s">
        <v>3653</v>
      </c>
      <c r="P45"/>
      <c r="Q45"/>
      <c r="R45" s="301" t="s">
        <v>3566</v>
      </c>
      <c r="S45" s="292" t="s">
        <v>3567</v>
      </c>
      <c r="T45" s="370" t="s">
        <v>3466</v>
      </c>
      <c r="U45" s="292" t="s">
        <v>3467</v>
      </c>
      <c r="V45" s="293">
        <v>0</v>
      </c>
    </row>
    <row r="46" spans="1:22" ht="14.4">
      <c r="A46" s="381" t="s">
        <v>3074</v>
      </c>
      <c r="B46" s="382" t="s">
        <v>3974</v>
      </c>
      <c r="C46" s="382" t="s">
        <v>2705</v>
      </c>
      <c r="D46" s="382" t="s">
        <v>3652</v>
      </c>
      <c r="E46" s="382" t="s">
        <v>295</v>
      </c>
      <c r="F46" s="382" t="s">
        <v>3554</v>
      </c>
      <c r="G46" s="382" t="s">
        <v>3555</v>
      </c>
      <c r="H46" s="383" t="s">
        <v>15</v>
      </c>
      <c r="I46" s="384">
        <v>46229</v>
      </c>
      <c r="J46" s="385">
        <v>0.54652777777777772</v>
      </c>
      <c r="K46" s="383">
        <v>1</v>
      </c>
      <c r="L46" s="383" t="s">
        <v>3832</v>
      </c>
      <c r="M46" s="386">
        <v>12.81</v>
      </c>
      <c r="N46" s="387">
        <v>600</v>
      </c>
      <c r="O46" s="388" t="s">
        <v>3653</v>
      </c>
      <c r="P46"/>
      <c r="Q46"/>
      <c r="R46" s="302" t="s">
        <v>3568</v>
      </c>
      <c r="S46" s="290" t="s">
        <v>3569</v>
      </c>
      <c r="T46" s="291" t="s">
        <v>3466</v>
      </c>
      <c r="U46" s="290" t="s">
        <v>3467</v>
      </c>
      <c r="V46" s="291">
        <v>0</v>
      </c>
    </row>
    <row r="47" spans="1:22" ht="14.4">
      <c r="A47" s="381" t="s">
        <v>3074</v>
      </c>
      <c r="B47" s="382" t="s">
        <v>3975</v>
      </c>
      <c r="C47" s="382" t="s">
        <v>2705</v>
      </c>
      <c r="D47" s="382" t="s">
        <v>3652</v>
      </c>
      <c r="E47" s="382" t="s">
        <v>295</v>
      </c>
      <c r="F47" s="382" t="s">
        <v>3530</v>
      </c>
      <c r="G47" s="382" t="s">
        <v>3531</v>
      </c>
      <c r="H47" s="383" t="s">
        <v>15</v>
      </c>
      <c r="I47" s="384">
        <v>46229</v>
      </c>
      <c r="J47" s="385">
        <v>0.27430555555555558</v>
      </c>
      <c r="K47" s="383">
        <v>1</v>
      </c>
      <c r="L47" s="383" t="s">
        <v>3832</v>
      </c>
      <c r="M47" s="386">
        <v>12.81</v>
      </c>
      <c r="N47" s="387">
        <v>600</v>
      </c>
      <c r="O47" s="388" t="s">
        <v>3653</v>
      </c>
      <c r="P47"/>
      <c r="Q47"/>
      <c r="R47" s="301" t="s">
        <v>3572</v>
      </c>
      <c r="S47" s="292" t="s">
        <v>3573</v>
      </c>
      <c r="T47" s="293" t="s">
        <v>3466</v>
      </c>
      <c r="U47" s="292" t="s">
        <v>3467</v>
      </c>
      <c r="V47" s="293">
        <v>0</v>
      </c>
    </row>
    <row r="48" spans="1:22" ht="14.4">
      <c r="A48" s="381" t="s">
        <v>3074</v>
      </c>
      <c r="B48" s="382" t="s">
        <v>3976</v>
      </c>
      <c r="C48" s="382" t="s">
        <v>2705</v>
      </c>
      <c r="D48" s="382" t="s">
        <v>3652</v>
      </c>
      <c r="E48" s="382" t="s">
        <v>295</v>
      </c>
      <c r="F48" s="382" t="s">
        <v>3556</v>
      </c>
      <c r="G48" s="382" t="s">
        <v>3557</v>
      </c>
      <c r="H48" s="383" t="s">
        <v>15</v>
      </c>
      <c r="I48" s="384">
        <v>46229</v>
      </c>
      <c r="J48" s="385">
        <v>0.27708333333333335</v>
      </c>
      <c r="K48" s="383">
        <v>1</v>
      </c>
      <c r="L48" s="383" t="s">
        <v>3832</v>
      </c>
      <c r="M48" s="386">
        <v>12.81</v>
      </c>
      <c r="N48" s="387">
        <v>600</v>
      </c>
      <c r="O48" s="388" t="s">
        <v>3653</v>
      </c>
      <c r="P48"/>
      <c r="Q48"/>
      <c r="R48" s="302" t="s">
        <v>3574</v>
      </c>
      <c r="S48" s="290" t="s">
        <v>3575</v>
      </c>
      <c r="T48" s="291" t="s">
        <v>3466</v>
      </c>
      <c r="U48" s="290" t="s">
        <v>3467</v>
      </c>
      <c r="V48" s="291">
        <v>0</v>
      </c>
    </row>
    <row r="49" spans="1:22" ht="14.4">
      <c r="A49" s="381" t="s">
        <v>3074</v>
      </c>
      <c r="B49" s="382" t="s">
        <v>3977</v>
      </c>
      <c r="C49" s="382" t="s">
        <v>2705</v>
      </c>
      <c r="D49" s="382" t="s">
        <v>3652</v>
      </c>
      <c r="E49" s="382" t="s">
        <v>295</v>
      </c>
      <c r="F49" s="382" t="s">
        <v>3588</v>
      </c>
      <c r="G49" s="382" t="s">
        <v>3589</v>
      </c>
      <c r="H49" s="383" t="s">
        <v>15</v>
      </c>
      <c r="I49" s="384">
        <v>46229</v>
      </c>
      <c r="J49" s="385">
        <v>0.28263888888888888</v>
      </c>
      <c r="K49" s="383">
        <v>1</v>
      </c>
      <c r="L49" s="383" t="s">
        <v>3832</v>
      </c>
      <c r="M49" s="386">
        <v>12.81</v>
      </c>
      <c r="N49" s="387">
        <v>600</v>
      </c>
      <c r="O49" s="388" t="s">
        <v>3653</v>
      </c>
      <c r="P49"/>
      <c r="Q49"/>
      <c r="R49" s="301" t="s">
        <v>3576</v>
      </c>
      <c r="S49" s="292" t="s">
        <v>3577</v>
      </c>
      <c r="T49" s="293" t="s">
        <v>3466</v>
      </c>
      <c r="U49" s="292" t="s">
        <v>3467</v>
      </c>
      <c r="V49" s="293">
        <v>0</v>
      </c>
    </row>
    <row r="50" spans="1:22" ht="14.4">
      <c r="A50" s="381" t="s">
        <v>3074</v>
      </c>
      <c r="B50" s="382" t="s">
        <v>3726</v>
      </c>
      <c r="C50" s="382" t="s">
        <v>2699</v>
      </c>
      <c r="D50" s="382" t="s">
        <v>2262</v>
      </c>
      <c r="E50" s="382" t="s">
        <v>2925</v>
      </c>
      <c r="F50" s="382" t="s">
        <v>3988</v>
      </c>
      <c r="G50" s="382" t="s">
        <v>2263</v>
      </c>
      <c r="H50" s="383" t="s">
        <v>15</v>
      </c>
      <c r="I50" s="384">
        <v>46229</v>
      </c>
      <c r="J50" s="385">
        <v>0.27291666666666664</v>
      </c>
      <c r="K50" s="383">
        <v>1</v>
      </c>
      <c r="L50" s="383" t="s">
        <v>3832</v>
      </c>
      <c r="M50" s="386">
        <v>0</v>
      </c>
      <c r="N50" s="387">
        <v>0</v>
      </c>
      <c r="O50" s="388" t="s">
        <v>3656</v>
      </c>
      <c r="P50"/>
      <c r="Q50"/>
      <c r="R50" s="302" t="s">
        <v>3578</v>
      </c>
      <c r="S50" s="290" t="s">
        <v>3579</v>
      </c>
      <c r="T50" s="291" t="s">
        <v>3466</v>
      </c>
      <c r="U50" s="290" t="s">
        <v>3467</v>
      </c>
      <c r="V50" s="291">
        <v>0</v>
      </c>
    </row>
    <row r="51" spans="1:22" ht="14.4">
      <c r="A51" s="381" t="s">
        <v>3074</v>
      </c>
      <c r="B51" s="382" t="s">
        <v>3970</v>
      </c>
      <c r="C51" s="382" t="s">
        <v>2699</v>
      </c>
      <c r="D51" s="382" t="s">
        <v>2262</v>
      </c>
      <c r="E51" s="382" t="s">
        <v>2925</v>
      </c>
      <c r="F51" s="382" t="s">
        <v>3989</v>
      </c>
      <c r="G51" s="382" t="s">
        <v>2263</v>
      </c>
      <c r="H51" s="383" t="s">
        <v>15</v>
      </c>
      <c r="I51" s="384">
        <v>46229</v>
      </c>
      <c r="J51" s="385">
        <v>0.28472222222222221</v>
      </c>
      <c r="K51" s="383">
        <v>1</v>
      </c>
      <c r="L51" s="383" t="s">
        <v>3832</v>
      </c>
      <c r="M51" s="386">
        <v>0</v>
      </c>
      <c r="N51" s="387">
        <v>0</v>
      </c>
      <c r="O51" s="388" t="s">
        <v>3656</v>
      </c>
      <c r="P51"/>
      <c r="Q51"/>
      <c r="R51" s="301" t="s">
        <v>3580</v>
      </c>
      <c r="S51" s="292" t="s">
        <v>3581</v>
      </c>
      <c r="T51" s="293" t="s">
        <v>3466</v>
      </c>
      <c r="U51" s="292" t="s">
        <v>3467</v>
      </c>
      <c r="V51" s="293">
        <v>0</v>
      </c>
    </row>
    <row r="52" spans="1:22" ht="14.4">
      <c r="A52" s="381" t="s">
        <v>3074</v>
      </c>
      <c r="B52" s="382" t="s">
        <v>3971</v>
      </c>
      <c r="C52" s="382" t="s">
        <v>2699</v>
      </c>
      <c r="D52" s="382" t="s">
        <v>2262</v>
      </c>
      <c r="E52" s="382" t="s">
        <v>2925</v>
      </c>
      <c r="F52" s="382" t="s">
        <v>3990</v>
      </c>
      <c r="G52" s="382" t="s">
        <v>2263</v>
      </c>
      <c r="H52" s="383" t="s">
        <v>15</v>
      </c>
      <c r="I52" s="384">
        <v>46229</v>
      </c>
      <c r="J52" s="385">
        <v>0.28472222222222221</v>
      </c>
      <c r="K52" s="383">
        <v>1</v>
      </c>
      <c r="L52" s="383" t="s">
        <v>3832</v>
      </c>
      <c r="M52" s="386">
        <v>0</v>
      </c>
      <c r="N52" s="387">
        <v>0</v>
      </c>
      <c r="O52" s="388" t="s">
        <v>3656</v>
      </c>
      <c r="P52"/>
      <c r="Q52"/>
      <c r="R52" s="302" t="s">
        <v>3584</v>
      </c>
      <c r="S52" s="290" t="s">
        <v>3585</v>
      </c>
      <c r="T52" s="291" t="s">
        <v>3466</v>
      </c>
      <c r="U52" s="290" t="s">
        <v>3467</v>
      </c>
      <c r="V52" s="291">
        <v>0</v>
      </c>
    </row>
    <row r="53" spans="1:22" ht="14.4">
      <c r="A53" s="381" t="s">
        <v>3074</v>
      </c>
      <c r="B53" s="382" t="s">
        <v>3890</v>
      </c>
      <c r="C53" s="382" t="s">
        <v>2699</v>
      </c>
      <c r="D53" s="382" t="s">
        <v>2262</v>
      </c>
      <c r="E53" s="382" t="s">
        <v>2925</v>
      </c>
      <c r="F53" s="382" t="s">
        <v>3846</v>
      </c>
      <c r="G53" s="382" t="s">
        <v>2263</v>
      </c>
      <c r="H53" s="383" t="s">
        <v>15</v>
      </c>
      <c r="I53" s="384">
        <v>46229</v>
      </c>
      <c r="J53" s="385">
        <v>0.2673611111111111</v>
      </c>
      <c r="K53" s="383">
        <v>1</v>
      </c>
      <c r="L53" s="383" t="s">
        <v>3832</v>
      </c>
      <c r="M53" s="386">
        <v>0</v>
      </c>
      <c r="N53" s="387">
        <v>0</v>
      </c>
      <c r="O53" s="388" t="s">
        <v>3656</v>
      </c>
      <c r="P53"/>
      <c r="Q53"/>
      <c r="R53" s="301" t="s">
        <v>3586</v>
      </c>
      <c r="S53" s="292" t="s">
        <v>3587</v>
      </c>
      <c r="T53" s="293" t="s">
        <v>3466</v>
      </c>
      <c r="U53" s="292" t="s">
        <v>3467</v>
      </c>
      <c r="V53" s="293">
        <v>0</v>
      </c>
    </row>
    <row r="54" spans="1:22" ht="14.4">
      <c r="A54" s="381" t="s">
        <v>3074</v>
      </c>
      <c r="B54" s="382" t="s">
        <v>3962</v>
      </c>
      <c r="C54" s="382" t="s">
        <v>2699</v>
      </c>
      <c r="D54" s="382" t="s">
        <v>2262</v>
      </c>
      <c r="E54" s="382" t="s">
        <v>2925</v>
      </c>
      <c r="F54" s="382" t="s">
        <v>3991</v>
      </c>
      <c r="G54" s="382" t="s">
        <v>2263</v>
      </c>
      <c r="H54" s="383" t="s">
        <v>15</v>
      </c>
      <c r="I54" s="384">
        <v>46229</v>
      </c>
      <c r="J54" s="385">
        <v>0.26874999999999999</v>
      </c>
      <c r="K54" s="383">
        <v>1</v>
      </c>
      <c r="L54" s="383" t="s">
        <v>3832</v>
      </c>
      <c r="M54" s="386">
        <v>0</v>
      </c>
      <c r="N54" s="387">
        <v>0</v>
      </c>
      <c r="O54" s="388" t="s">
        <v>3656</v>
      </c>
      <c r="P54"/>
      <c r="Q54"/>
      <c r="R54" s="302" t="s">
        <v>3588</v>
      </c>
      <c r="S54" s="290" t="s">
        <v>3589</v>
      </c>
      <c r="T54" s="291" t="s">
        <v>3466</v>
      </c>
      <c r="U54" s="290" t="s">
        <v>3467</v>
      </c>
      <c r="V54" s="291">
        <v>0</v>
      </c>
    </row>
    <row r="55" spans="1:22" ht="14.4">
      <c r="A55" s="381" t="s">
        <v>3074</v>
      </c>
      <c r="B55" s="382" t="s">
        <v>3972</v>
      </c>
      <c r="C55" s="382" t="s">
        <v>2699</v>
      </c>
      <c r="D55" s="382" t="s">
        <v>2262</v>
      </c>
      <c r="E55" s="382" t="s">
        <v>2925</v>
      </c>
      <c r="F55" s="382" t="s">
        <v>3992</v>
      </c>
      <c r="G55" s="382" t="s">
        <v>2263</v>
      </c>
      <c r="H55" s="383" t="s">
        <v>15</v>
      </c>
      <c r="I55" s="384">
        <v>46229</v>
      </c>
      <c r="J55" s="385">
        <v>0.27152777777777776</v>
      </c>
      <c r="K55" s="383">
        <v>1</v>
      </c>
      <c r="L55" s="383" t="s">
        <v>3832</v>
      </c>
      <c r="M55" s="386">
        <v>0</v>
      </c>
      <c r="N55" s="387">
        <v>0</v>
      </c>
      <c r="O55" s="388" t="s">
        <v>3656</v>
      </c>
      <c r="P55"/>
      <c r="Q55"/>
      <c r="R55" s="301" t="s">
        <v>3590</v>
      </c>
      <c r="S55" s="292" t="s">
        <v>3591</v>
      </c>
      <c r="T55" s="293" t="s">
        <v>3466</v>
      </c>
      <c r="U55" s="292" t="s">
        <v>3467</v>
      </c>
      <c r="V55" s="293">
        <v>0</v>
      </c>
    </row>
    <row r="56" spans="1:22" ht="14.4">
      <c r="A56" s="381" t="s">
        <v>3074</v>
      </c>
      <c r="B56" s="382" t="s">
        <v>3973</v>
      </c>
      <c r="C56" s="382" t="s">
        <v>2699</v>
      </c>
      <c r="D56" s="382" t="s">
        <v>2262</v>
      </c>
      <c r="E56" s="382" t="s">
        <v>2925</v>
      </c>
      <c r="F56" s="382" t="s">
        <v>3993</v>
      </c>
      <c r="G56" s="382" t="s">
        <v>2263</v>
      </c>
      <c r="H56" s="383" t="s">
        <v>15</v>
      </c>
      <c r="I56" s="384">
        <v>46229</v>
      </c>
      <c r="J56" s="385">
        <v>0.28263888888888888</v>
      </c>
      <c r="K56" s="383">
        <v>1</v>
      </c>
      <c r="L56" s="383" t="s">
        <v>3832</v>
      </c>
      <c r="M56" s="386">
        <v>0</v>
      </c>
      <c r="N56" s="387">
        <v>0</v>
      </c>
      <c r="O56" s="388" t="s">
        <v>3656</v>
      </c>
      <c r="P56"/>
      <c r="Q56"/>
      <c r="R56" s="302" t="s">
        <v>3592</v>
      </c>
      <c r="S56" s="290" t="s">
        <v>3593</v>
      </c>
      <c r="T56" s="291" t="s">
        <v>3466</v>
      </c>
      <c r="U56" s="290" t="s">
        <v>3467</v>
      </c>
      <c r="V56" s="291">
        <v>0</v>
      </c>
    </row>
    <row r="57" spans="1:22" ht="14.4">
      <c r="A57" s="381" t="s">
        <v>3074</v>
      </c>
      <c r="B57" s="382" t="s">
        <v>3974</v>
      </c>
      <c r="C57" s="382" t="s">
        <v>2699</v>
      </c>
      <c r="D57" s="382" t="s">
        <v>2262</v>
      </c>
      <c r="E57" s="382" t="s">
        <v>2925</v>
      </c>
      <c r="F57" s="382" t="s">
        <v>3994</v>
      </c>
      <c r="G57" s="382" t="s">
        <v>2263</v>
      </c>
      <c r="H57" s="383" t="s">
        <v>15</v>
      </c>
      <c r="I57" s="384">
        <v>46229</v>
      </c>
      <c r="J57" s="385">
        <v>0.54652777777777772</v>
      </c>
      <c r="K57" s="383">
        <v>1</v>
      </c>
      <c r="L57" s="383" t="s">
        <v>3832</v>
      </c>
      <c r="M57" s="386">
        <v>0</v>
      </c>
      <c r="N57" s="387">
        <v>0</v>
      </c>
      <c r="O57" s="388" t="s">
        <v>3656</v>
      </c>
      <c r="P57"/>
      <c r="Q57"/>
      <c r="R57" s="301" t="s">
        <v>3594</v>
      </c>
      <c r="S57" s="292" t="s">
        <v>3595</v>
      </c>
      <c r="T57" s="293" t="s">
        <v>3466</v>
      </c>
      <c r="U57" s="292" t="s">
        <v>3467</v>
      </c>
      <c r="V57" s="293">
        <v>0</v>
      </c>
    </row>
    <row r="58" spans="1:22" ht="14.4">
      <c r="A58" s="381" t="s">
        <v>3074</v>
      </c>
      <c r="B58" s="382" t="s">
        <v>3975</v>
      </c>
      <c r="C58" s="382" t="s">
        <v>2699</v>
      </c>
      <c r="D58" s="382" t="s">
        <v>2262</v>
      </c>
      <c r="E58" s="382" t="s">
        <v>2925</v>
      </c>
      <c r="F58" s="382" t="s">
        <v>3995</v>
      </c>
      <c r="G58" s="382" t="s">
        <v>2263</v>
      </c>
      <c r="H58" s="383" t="s">
        <v>15</v>
      </c>
      <c r="I58" s="384">
        <v>46229</v>
      </c>
      <c r="J58" s="385">
        <v>0.27291666666666664</v>
      </c>
      <c r="K58" s="383">
        <v>1</v>
      </c>
      <c r="L58" s="383" t="s">
        <v>3832</v>
      </c>
      <c r="M58" s="386">
        <v>0</v>
      </c>
      <c r="N58" s="387">
        <v>0</v>
      </c>
      <c r="O58" s="388" t="s">
        <v>3656</v>
      </c>
      <c r="P58"/>
      <c r="Q58"/>
      <c r="R58" s="302" t="s">
        <v>3596</v>
      </c>
      <c r="S58" s="290" t="s">
        <v>3597</v>
      </c>
      <c r="T58" s="291" t="s">
        <v>3466</v>
      </c>
      <c r="U58" s="290" t="s">
        <v>3467</v>
      </c>
      <c r="V58" s="291">
        <v>0</v>
      </c>
    </row>
    <row r="59" spans="1:22" ht="14.4">
      <c r="A59" s="381" t="s">
        <v>3074</v>
      </c>
      <c r="B59" s="382" t="s">
        <v>3976</v>
      </c>
      <c r="C59" s="382" t="s">
        <v>2699</v>
      </c>
      <c r="D59" s="382" t="s">
        <v>2262</v>
      </c>
      <c r="E59" s="382" t="s">
        <v>2925</v>
      </c>
      <c r="F59" s="382" t="s">
        <v>3996</v>
      </c>
      <c r="G59" s="382" t="s">
        <v>2263</v>
      </c>
      <c r="H59" s="383" t="s">
        <v>15</v>
      </c>
      <c r="I59" s="384">
        <v>46229</v>
      </c>
      <c r="J59" s="385">
        <v>0.27708333333333335</v>
      </c>
      <c r="K59" s="383">
        <v>1</v>
      </c>
      <c r="L59" s="383" t="s">
        <v>3832</v>
      </c>
      <c r="M59" s="386">
        <v>0</v>
      </c>
      <c r="N59" s="387">
        <v>0</v>
      </c>
      <c r="O59" s="388" t="s">
        <v>3656</v>
      </c>
      <c r="P59"/>
      <c r="Q59"/>
      <c r="R59" s="301" t="s">
        <v>3598</v>
      </c>
      <c r="S59" s="292" t="s">
        <v>3599</v>
      </c>
      <c r="T59" s="293" t="s">
        <v>3466</v>
      </c>
      <c r="U59" s="292" t="s">
        <v>3467</v>
      </c>
      <c r="V59" s="293">
        <v>0</v>
      </c>
    </row>
    <row r="60" spans="1:22" ht="14.4">
      <c r="A60" s="381" t="s">
        <v>3074</v>
      </c>
      <c r="B60" s="382" t="s">
        <v>3977</v>
      </c>
      <c r="C60" s="382" t="s">
        <v>2699</v>
      </c>
      <c r="D60" s="382" t="s">
        <v>2262</v>
      </c>
      <c r="E60" s="382" t="s">
        <v>2925</v>
      </c>
      <c r="F60" s="382" t="s">
        <v>3997</v>
      </c>
      <c r="G60" s="382" t="s">
        <v>2263</v>
      </c>
      <c r="H60" s="383" t="s">
        <v>15</v>
      </c>
      <c r="I60" s="384">
        <v>46229</v>
      </c>
      <c r="J60" s="385">
        <v>0.28263888888888888</v>
      </c>
      <c r="K60" s="383">
        <v>1</v>
      </c>
      <c r="L60" s="383" t="s">
        <v>3832</v>
      </c>
      <c r="M60" s="386">
        <v>0</v>
      </c>
      <c r="N60" s="387">
        <v>0</v>
      </c>
      <c r="O60" s="388" t="s">
        <v>3656</v>
      </c>
      <c r="P60"/>
      <c r="Q60"/>
      <c r="R60" s="302" t="s">
        <v>3600</v>
      </c>
      <c r="S60" s="290" t="s">
        <v>3601</v>
      </c>
      <c r="T60" s="291" t="s">
        <v>3466</v>
      </c>
      <c r="U60" s="290" t="s">
        <v>3467</v>
      </c>
      <c r="V60" s="291">
        <v>0</v>
      </c>
    </row>
    <row r="61" spans="1:22" ht="14.4">
      <c r="A61" s="381" t="s">
        <v>3978</v>
      </c>
      <c r="B61" s="382" t="s">
        <v>3979</v>
      </c>
      <c r="C61" s="382" t="s">
        <v>2705</v>
      </c>
      <c r="D61" s="382" t="s">
        <v>3652</v>
      </c>
      <c r="E61" s="382" t="s">
        <v>295</v>
      </c>
      <c r="F61" s="382" t="s">
        <v>3574</v>
      </c>
      <c r="G61" s="382" t="s">
        <v>3575</v>
      </c>
      <c r="H61" s="383" t="s">
        <v>15</v>
      </c>
      <c r="I61" s="384">
        <v>46229</v>
      </c>
      <c r="J61" s="385">
        <v>0.35694444444444445</v>
      </c>
      <c r="K61" s="383">
        <v>1</v>
      </c>
      <c r="L61" s="383" t="s">
        <v>3832</v>
      </c>
      <c r="M61" s="386">
        <v>12.81</v>
      </c>
      <c r="N61" s="387">
        <v>600</v>
      </c>
      <c r="O61" s="388" t="s">
        <v>3653</v>
      </c>
      <c r="P61"/>
      <c r="Q61"/>
      <c r="R61" s="301" t="s">
        <v>3602</v>
      </c>
      <c r="S61" s="292" t="s">
        <v>3603</v>
      </c>
      <c r="T61" s="293" t="s">
        <v>3466</v>
      </c>
      <c r="U61" s="292" t="s">
        <v>3467</v>
      </c>
      <c r="V61" s="293">
        <v>0</v>
      </c>
    </row>
    <row r="62" spans="1:22" ht="14.4">
      <c r="A62" s="381" t="s">
        <v>3978</v>
      </c>
      <c r="B62" s="382" t="s">
        <v>3979</v>
      </c>
      <c r="C62" s="382" t="s">
        <v>2699</v>
      </c>
      <c r="D62" s="382" t="s">
        <v>2262</v>
      </c>
      <c r="E62" s="382" t="s">
        <v>2925</v>
      </c>
      <c r="F62" s="382" t="s">
        <v>3998</v>
      </c>
      <c r="G62" s="382" t="s">
        <v>2263</v>
      </c>
      <c r="H62" s="383" t="s">
        <v>15</v>
      </c>
      <c r="I62" s="384">
        <v>46229</v>
      </c>
      <c r="J62" s="385">
        <v>0.35694444444444445</v>
      </c>
      <c r="K62" s="383">
        <v>1</v>
      </c>
      <c r="L62" s="383" t="s">
        <v>3832</v>
      </c>
      <c r="M62" s="386">
        <v>0</v>
      </c>
      <c r="N62" s="387">
        <v>0</v>
      </c>
      <c r="O62" s="388" t="s">
        <v>3656</v>
      </c>
      <c r="P62"/>
      <c r="Q62"/>
      <c r="R62" s="302" t="s">
        <v>3604</v>
      </c>
      <c r="S62" s="290" t="s">
        <v>3605</v>
      </c>
      <c r="T62" s="291" t="s">
        <v>3466</v>
      </c>
      <c r="U62" s="290" t="s">
        <v>3467</v>
      </c>
      <c r="V62" s="291">
        <v>0</v>
      </c>
    </row>
    <row r="63" spans="1:22" ht="14.4">
      <c r="A63" s="381" t="s">
        <v>3808</v>
      </c>
      <c r="B63" s="382" t="s">
        <v>3840</v>
      </c>
      <c r="C63" s="382" t="s">
        <v>2705</v>
      </c>
      <c r="D63" s="382" t="s">
        <v>3652</v>
      </c>
      <c r="E63" s="382" t="s">
        <v>295</v>
      </c>
      <c r="F63" s="382" t="s">
        <v>3500</v>
      </c>
      <c r="G63" s="382" t="s">
        <v>3501</v>
      </c>
      <c r="H63" s="383" t="s">
        <v>15</v>
      </c>
      <c r="I63" s="384">
        <v>46227</v>
      </c>
      <c r="J63" s="385">
        <v>0.30694444444444446</v>
      </c>
      <c r="K63" s="383">
        <v>3</v>
      </c>
      <c r="L63" s="383" t="s">
        <v>3689</v>
      </c>
      <c r="M63" s="386">
        <v>12.81</v>
      </c>
      <c r="N63" s="387">
        <v>600</v>
      </c>
      <c r="O63" s="388" t="s">
        <v>3653</v>
      </c>
      <c r="P63"/>
      <c r="Q63"/>
      <c r="R63" s="301" t="s">
        <v>3606</v>
      </c>
      <c r="S63" s="292" t="s">
        <v>3607</v>
      </c>
      <c r="T63" s="293" t="s">
        <v>3466</v>
      </c>
      <c r="U63" s="292" t="s">
        <v>3467</v>
      </c>
      <c r="V63" s="293">
        <v>0</v>
      </c>
    </row>
    <row r="64" spans="1:22" ht="14.4">
      <c r="A64" s="381" t="s">
        <v>3808</v>
      </c>
      <c r="B64" s="382" t="s">
        <v>3843</v>
      </c>
      <c r="C64" s="382" t="s">
        <v>2699</v>
      </c>
      <c r="D64" s="382" t="s">
        <v>2262</v>
      </c>
      <c r="E64" s="382" t="s">
        <v>2925</v>
      </c>
      <c r="F64" s="382" t="s">
        <v>3718</v>
      </c>
      <c r="G64" s="382" t="s">
        <v>2263</v>
      </c>
      <c r="H64" s="383" t="s">
        <v>15</v>
      </c>
      <c r="I64" s="384">
        <v>46227</v>
      </c>
      <c r="J64" s="385">
        <v>0.27291666666666664</v>
      </c>
      <c r="K64" s="383">
        <v>3</v>
      </c>
      <c r="L64" s="383" t="s">
        <v>3689</v>
      </c>
      <c r="M64" s="386">
        <v>0</v>
      </c>
      <c r="N64" s="387">
        <v>0</v>
      </c>
      <c r="O64" s="388" t="s">
        <v>3656</v>
      </c>
      <c r="P64"/>
      <c r="Q64"/>
      <c r="R64" s="302" t="s">
        <v>3608</v>
      </c>
      <c r="S64" s="290" t="s">
        <v>3609</v>
      </c>
      <c r="T64" s="291" t="s">
        <v>3466</v>
      </c>
      <c r="U64" s="290" t="s">
        <v>3467</v>
      </c>
      <c r="V64" s="291">
        <v>0</v>
      </c>
    </row>
    <row r="65" spans="1:22" ht="14.4">
      <c r="A65" s="381" t="s">
        <v>3808</v>
      </c>
      <c r="B65" s="382" t="s">
        <v>3840</v>
      </c>
      <c r="C65" s="382" t="s">
        <v>2699</v>
      </c>
      <c r="D65" s="382" t="s">
        <v>2262</v>
      </c>
      <c r="E65" s="382" t="s">
        <v>2925</v>
      </c>
      <c r="F65" s="382" t="s">
        <v>3844</v>
      </c>
      <c r="G65" s="382" t="s">
        <v>2263</v>
      </c>
      <c r="H65" s="383" t="s">
        <v>15</v>
      </c>
      <c r="I65" s="384">
        <v>46227</v>
      </c>
      <c r="J65" s="385">
        <v>0.30694444444444446</v>
      </c>
      <c r="K65" s="383">
        <v>3</v>
      </c>
      <c r="L65" s="383" t="s">
        <v>3689</v>
      </c>
      <c r="M65" s="386">
        <v>0</v>
      </c>
      <c r="N65" s="387">
        <v>0</v>
      </c>
      <c r="O65" s="388" t="s">
        <v>3656</v>
      </c>
      <c r="P65"/>
      <c r="Q65"/>
      <c r="R65" s="301" t="s">
        <v>3610</v>
      </c>
      <c r="S65" s="292" t="s">
        <v>3611</v>
      </c>
      <c r="T65" s="293" t="s">
        <v>3466</v>
      </c>
      <c r="U65" s="292" t="s">
        <v>3467</v>
      </c>
      <c r="V65" s="293">
        <v>0</v>
      </c>
    </row>
    <row r="66" spans="1:22" ht="14.4">
      <c r="A66" s="381" t="s">
        <v>3714</v>
      </c>
      <c r="B66" s="382" t="s">
        <v>3715</v>
      </c>
      <c r="C66" s="382" t="s">
        <v>2705</v>
      </c>
      <c r="D66" s="382" t="s">
        <v>3652</v>
      </c>
      <c r="E66" s="382" t="s">
        <v>295</v>
      </c>
      <c r="F66" s="382" t="s">
        <v>3498</v>
      </c>
      <c r="G66" s="382" t="s">
        <v>3499</v>
      </c>
      <c r="H66" s="383" t="s">
        <v>15</v>
      </c>
      <c r="I66" s="384">
        <v>46226</v>
      </c>
      <c r="J66" s="385">
        <v>0.34305555555555556</v>
      </c>
      <c r="K66" s="383">
        <v>4</v>
      </c>
      <c r="L66" s="383" t="s">
        <v>3710</v>
      </c>
      <c r="M66" s="386">
        <v>12.81</v>
      </c>
      <c r="N66" s="387">
        <v>600</v>
      </c>
      <c r="O66" s="388" t="s">
        <v>3653</v>
      </c>
      <c r="P66"/>
      <c r="Q66"/>
      <c r="R66" s="302" t="s">
        <v>3612</v>
      </c>
      <c r="S66" s="290" t="s">
        <v>3613</v>
      </c>
      <c r="T66" s="291" t="s">
        <v>3466</v>
      </c>
      <c r="U66" s="290" t="s">
        <v>3467</v>
      </c>
      <c r="V66" s="291">
        <v>0</v>
      </c>
    </row>
    <row r="67" spans="1:22" ht="14.4">
      <c r="A67" s="381" t="s">
        <v>3714</v>
      </c>
      <c r="B67" s="382" t="s">
        <v>3715</v>
      </c>
      <c r="C67" s="382" t="s">
        <v>2699</v>
      </c>
      <c r="D67" s="382" t="s">
        <v>2262</v>
      </c>
      <c r="E67" s="382" t="s">
        <v>2925</v>
      </c>
      <c r="F67" s="382" t="s">
        <v>3719</v>
      </c>
      <c r="G67" s="382" t="s">
        <v>2263</v>
      </c>
      <c r="H67" s="383" t="s">
        <v>15</v>
      </c>
      <c r="I67" s="384">
        <v>46226</v>
      </c>
      <c r="J67" s="385">
        <v>0.34305555555555556</v>
      </c>
      <c r="K67" s="383">
        <v>4</v>
      </c>
      <c r="L67" s="383" t="s">
        <v>3710</v>
      </c>
      <c r="M67" s="386">
        <v>0</v>
      </c>
      <c r="N67" s="387">
        <v>0</v>
      </c>
      <c r="O67" s="388" t="s">
        <v>3656</v>
      </c>
      <c r="P67"/>
      <c r="Q67"/>
      <c r="R67" s="301" t="s">
        <v>3614</v>
      </c>
      <c r="S67" s="292" t="s">
        <v>3615</v>
      </c>
      <c r="T67" s="293" t="s">
        <v>3466</v>
      </c>
      <c r="U67" s="292" t="s">
        <v>3467</v>
      </c>
      <c r="V67" s="293">
        <v>0</v>
      </c>
    </row>
    <row r="68" spans="1:22" ht="14.4">
      <c r="A68" s="381" t="s">
        <v>3714</v>
      </c>
      <c r="B68" s="382" t="s">
        <v>3964</v>
      </c>
      <c r="C68" s="382" t="s">
        <v>2705</v>
      </c>
      <c r="D68" s="382" t="s">
        <v>3652</v>
      </c>
      <c r="E68" s="382" t="s">
        <v>295</v>
      </c>
      <c r="F68" s="382" t="s">
        <v>3548</v>
      </c>
      <c r="G68" s="382" t="s">
        <v>3549</v>
      </c>
      <c r="H68" s="383" t="s">
        <v>15</v>
      </c>
      <c r="I68" s="384">
        <v>46229</v>
      </c>
      <c r="J68" s="385">
        <v>0.42638888888888887</v>
      </c>
      <c r="K68" s="383">
        <v>1</v>
      </c>
      <c r="L68" s="383" t="s">
        <v>3832</v>
      </c>
      <c r="M68" s="386">
        <v>12.81</v>
      </c>
      <c r="N68" s="387">
        <v>600</v>
      </c>
      <c r="O68" s="388" t="s">
        <v>3653</v>
      </c>
      <c r="P68"/>
      <c r="Q68"/>
      <c r="R68" s="302" t="s">
        <v>3616</v>
      </c>
      <c r="S68" s="290" t="s">
        <v>3617</v>
      </c>
      <c r="T68" s="291" t="s">
        <v>3466</v>
      </c>
      <c r="U68" s="290" t="s">
        <v>3467</v>
      </c>
      <c r="V68" s="291">
        <v>0</v>
      </c>
    </row>
    <row r="69" spans="1:22" ht="14.4">
      <c r="A69" s="381" t="s">
        <v>3714</v>
      </c>
      <c r="B69" s="382" t="s">
        <v>3964</v>
      </c>
      <c r="C69" s="382" t="s">
        <v>2705</v>
      </c>
      <c r="D69" s="382" t="s">
        <v>3652</v>
      </c>
      <c r="E69" s="382" t="s">
        <v>295</v>
      </c>
      <c r="F69" s="382" t="s">
        <v>3608</v>
      </c>
      <c r="G69" s="382" t="s">
        <v>3609</v>
      </c>
      <c r="H69" s="383" t="s">
        <v>15</v>
      </c>
      <c r="I69" s="384">
        <v>46229</v>
      </c>
      <c r="J69" s="385">
        <v>0.28541666666666665</v>
      </c>
      <c r="K69" s="383">
        <v>1</v>
      </c>
      <c r="L69" s="383" t="s">
        <v>3832</v>
      </c>
      <c r="M69" s="386">
        <v>12.81</v>
      </c>
      <c r="N69" s="387">
        <v>600</v>
      </c>
      <c r="O69" s="388" t="s">
        <v>3653</v>
      </c>
      <c r="P69"/>
      <c r="Q69"/>
      <c r="R69" s="301" t="s">
        <v>3618</v>
      </c>
      <c r="S69" s="292" t="s">
        <v>3619</v>
      </c>
      <c r="T69" s="293" t="s">
        <v>3466</v>
      </c>
      <c r="U69" s="292" t="s">
        <v>3467</v>
      </c>
      <c r="V69" s="293">
        <v>0</v>
      </c>
    </row>
    <row r="70" spans="1:22" ht="14.4">
      <c r="A70" s="381" t="s">
        <v>3714</v>
      </c>
      <c r="B70" s="382" t="s">
        <v>3964</v>
      </c>
      <c r="C70" s="382" t="s">
        <v>2699</v>
      </c>
      <c r="D70" s="382" t="s">
        <v>2262</v>
      </c>
      <c r="E70" s="382" t="s">
        <v>2925</v>
      </c>
      <c r="F70" s="382" t="s">
        <v>3999</v>
      </c>
      <c r="G70" s="382" t="s">
        <v>2263</v>
      </c>
      <c r="H70" s="383" t="s">
        <v>15</v>
      </c>
      <c r="I70" s="384">
        <v>46229</v>
      </c>
      <c r="J70" s="385">
        <v>0.42638888888888887</v>
      </c>
      <c r="K70" s="383">
        <v>1</v>
      </c>
      <c r="L70" s="383" t="s">
        <v>3832</v>
      </c>
      <c r="M70" s="386">
        <v>0</v>
      </c>
      <c r="N70" s="387">
        <v>0</v>
      </c>
      <c r="O70" s="388" t="s">
        <v>3656</v>
      </c>
      <c r="P70"/>
      <c r="Q70"/>
      <c r="R70" s="302" t="s">
        <v>3620</v>
      </c>
      <c r="S70" s="290" t="s">
        <v>3621</v>
      </c>
      <c r="T70" s="291" t="s">
        <v>3466</v>
      </c>
      <c r="U70" s="290" t="s">
        <v>3467</v>
      </c>
      <c r="V70" s="291">
        <v>0</v>
      </c>
    </row>
    <row r="71" spans="1:22" ht="14.4">
      <c r="A71" s="381" t="s">
        <v>3714</v>
      </c>
      <c r="B71" s="382" t="s">
        <v>3964</v>
      </c>
      <c r="C71" s="382" t="s">
        <v>2699</v>
      </c>
      <c r="D71" s="382" t="s">
        <v>2262</v>
      </c>
      <c r="E71" s="382" t="s">
        <v>2925</v>
      </c>
      <c r="F71" s="382" t="s">
        <v>4000</v>
      </c>
      <c r="G71" s="382" t="s">
        <v>2263</v>
      </c>
      <c r="H71" s="383" t="s">
        <v>15</v>
      </c>
      <c r="I71" s="384">
        <v>46229</v>
      </c>
      <c r="J71" s="385">
        <v>0.28541666666666665</v>
      </c>
      <c r="K71" s="383">
        <v>1</v>
      </c>
      <c r="L71" s="383" t="s">
        <v>3832</v>
      </c>
      <c r="M71" s="386">
        <v>0</v>
      </c>
      <c r="N71" s="387">
        <v>0</v>
      </c>
      <c r="O71" s="388" t="s">
        <v>3656</v>
      </c>
      <c r="P71"/>
      <c r="Q71"/>
      <c r="R71" s="301" t="s">
        <v>3622</v>
      </c>
      <c r="S71" s="292" t="s">
        <v>3623</v>
      </c>
      <c r="T71" s="293" t="s">
        <v>3466</v>
      </c>
      <c r="U71" s="292" t="s">
        <v>3467</v>
      </c>
      <c r="V71" s="293">
        <v>0</v>
      </c>
    </row>
    <row r="72" spans="1:22" ht="14.4">
      <c r="A72" s="381" t="s">
        <v>3654</v>
      </c>
      <c r="B72" s="382" t="s">
        <v>3655</v>
      </c>
      <c r="C72" s="382" t="s">
        <v>2705</v>
      </c>
      <c r="D72" s="382" t="s">
        <v>3652</v>
      </c>
      <c r="E72" s="382" t="s">
        <v>295</v>
      </c>
      <c r="F72" s="382" t="s">
        <v>3502</v>
      </c>
      <c r="G72" s="382" t="s">
        <v>3503</v>
      </c>
      <c r="H72" s="383" t="s">
        <v>15</v>
      </c>
      <c r="I72" s="384">
        <v>46224</v>
      </c>
      <c r="J72" s="385">
        <v>0.39027777777777778</v>
      </c>
      <c r="K72" s="383">
        <v>6</v>
      </c>
      <c r="L72" s="383" t="s">
        <v>3710</v>
      </c>
      <c r="M72" s="386">
        <v>12.81</v>
      </c>
      <c r="N72" s="387">
        <v>600</v>
      </c>
      <c r="O72" s="388" t="s">
        <v>3653</v>
      </c>
      <c r="P72"/>
      <c r="Q72"/>
      <c r="R72" s="302" t="s">
        <v>3624</v>
      </c>
      <c r="S72" s="290" t="s">
        <v>3625</v>
      </c>
      <c r="T72" s="291" t="s">
        <v>3466</v>
      </c>
      <c r="U72" s="290" t="s">
        <v>3467</v>
      </c>
      <c r="V72" s="291">
        <v>0</v>
      </c>
    </row>
    <row r="73" spans="1:22" ht="14.4">
      <c r="A73" s="381" t="s">
        <v>3654</v>
      </c>
      <c r="B73" s="382" t="s">
        <v>3655</v>
      </c>
      <c r="C73" s="382" t="s">
        <v>2699</v>
      </c>
      <c r="D73" s="382" t="s">
        <v>2262</v>
      </c>
      <c r="E73" s="382" t="s">
        <v>2925</v>
      </c>
      <c r="F73" s="382" t="s">
        <v>3657</v>
      </c>
      <c r="G73" s="382" t="s">
        <v>2263</v>
      </c>
      <c r="H73" s="383" t="s">
        <v>15</v>
      </c>
      <c r="I73" s="384">
        <v>46224</v>
      </c>
      <c r="J73" s="385">
        <v>0.39027777777777778</v>
      </c>
      <c r="K73" s="383">
        <v>6</v>
      </c>
      <c r="L73" s="383" t="s">
        <v>3710</v>
      </c>
      <c r="M73" s="386">
        <v>0</v>
      </c>
      <c r="N73" s="387">
        <v>0</v>
      </c>
      <c r="O73" s="388" t="s">
        <v>3656</v>
      </c>
      <c r="P73"/>
      <c r="Q73"/>
      <c r="R73" s="301" t="s">
        <v>3626</v>
      </c>
      <c r="S73" s="292" t="s">
        <v>3627</v>
      </c>
      <c r="T73" s="293" t="s">
        <v>3466</v>
      </c>
      <c r="U73" s="292" t="s">
        <v>3467</v>
      </c>
      <c r="V73" s="293">
        <v>0</v>
      </c>
    </row>
    <row r="74" spans="1:22" ht="14.4">
      <c r="A74" s="381" t="s">
        <v>3654</v>
      </c>
      <c r="B74" s="382" t="s">
        <v>3716</v>
      </c>
      <c r="C74" s="382" t="s">
        <v>2705</v>
      </c>
      <c r="D74" s="382" t="s">
        <v>3652</v>
      </c>
      <c r="E74" s="382" t="s">
        <v>295</v>
      </c>
      <c r="F74" s="382" t="s">
        <v>3542</v>
      </c>
      <c r="G74" s="382" t="s">
        <v>3543</v>
      </c>
      <c r="H74" s="383" t="s">
        <v>15</v>
      </c>
      <c r="I74" s="384">
        <v>46226</v>
      </c>
      <c r="J74" s="385">
        <v>0.51041666666666663</v>
      </c>
      <c r="K74" s="383">
        <v>4</v>
      </c>
      <c r="L74" s="383" t="s">
        <v>3710</v>
      </c>
      <c r="M74" s="386">
        <v>12.81</v>
      </c>
      <c r="N74" s="387">
        <v>600</v>
      </c>
      <c r="O74" s="388" t="s">
        <v>3653</v>
      </c>
      <c r="P74"/>
      <c r="Q74"/>
      <c r="R74" s="302" t="s">
        <v>3628</v>
      </c>
      <c r="S74" s="290" t="s">
        <v>3629</v>
      </c>
      <c r="T74" s="291" t="s">
        <v>3466</v>
      </c>
      <c r="U74" s="290" t="s">
        <v>3467</v>
      </c>
      <c r="V74" s="291">
        <v>0</v>
      </c>
    </row>
    <row r="75" spans="1:22" ht="14.4">
      <c r="A75" s="381" t="s">
        <v>3654</v>
      </c>
      <c r="B75" s="382" t="s">
        <v>3716</v>
      </c>
      <c r="C75" s="382" t="s">
        <v>2699</v>
      </c>
      <c r="D75" s="382" t="s">
        <v>2262</v>
      </c>
      <c r="E75" s="382" t="s">
        <v>2925</v>
      </c>
      <c r="F75" s="382" t="s">
        <v>3720</v>
      </c>
      <c r="G75" s="382" t="s">
        <v>2263</v>
      </c>
      <c r="H75" s="383" t="s">
        <v>15</v>
      </c>
      <c r="I75" s="384">
        <v>46226</v>
      </c>
      <c r="J75" s="385">
        <v>0.51041666666666663</v>
      </c>
      <c r="K75" s="383">
        <v>4</v>
      </c>
      <c r="L75" s="383" t="s">
        <v>3710</v>
      </c>
      <c r="M75" s="386">
        <v>0</v>
      </c>
      <c r="N75" s="387">
        <v>0</v>
      </c>
      <c r="O75" s="388" t="s">
        <v>3656</v>
      </c>
      <c r="P75"/>
      <c r="Q75"/>
      <c r="R75" s="301" t="s">
        <v>3630</v>
      </c>
      <c r="S75" s="292" t="s">
        <v>3631</v>
      </c>
      <c r="T75" s="293" t="s">
        <v>3466</v>
      </c>
      <c r="U75" s="292" t="s">
        <v>3467</v>
      </c>
      <c r="V75" s="293">
        <v>0</v>
      </c>
    </row>
    <row r="76" spans="1:22" ht="14.4">
      <c r="N76"/>
      <c r="O76"/>
      <c r="P76"/>
      <c r="Q76"/>
      <c r="R76" s="302" t="s">
        <v>3632</v>
      </c>
      <c r="S76" s="290" t="s">
        <v>3633</v>
      </c>
      <c r="T76" s="291" t="s">
        <v>3466</v>
      </c>
      <c r="U76" s="290" t="s">
        <v>3467</v>
      </c>
      <c r="V76" s="291">
        <v>0</v>
      </c>
    </row>
    <row r="77" spans="1:22" ht="14.4">
      <c r="N77"/>
      <c r="O77"/>
      <c r="P77"/>
      <c r="Q77"/>
      <c r="R77" s="301" t="s">
        <v>3634</v>
      </c>
      <c r="S77" s="292" t="s">
        <v>3635</v>
      </c>
      <c r="T77" s="293" t="s">
        <v>3466</v>
      </c>
      <c r="U77" s="292" t="s">
        <v>3467</v>
      </c>
      <c r="V77" s="293">
        <v>0</v>
      </c>
    </row>
    <row r="78" spans="1:22" ht="14.4">
      <c r="N78"/>
      <c r="O78"/>
      <c r="P78"/>
      <c r="Q78"/>
      <c r="R78" s="302" t="s">
        <v>3636</v>
      </c>
      <c r="S78" s="290" t="s">
        <v>3637</v>
      </c>
      <c r="T78" s="291" t="s">
        <v>3466</v>
      </c>
      <c r="U78" s="290" t="s">
        <v>3467</v>
      </c>
      <c r="V78" s="291">
        <v>0</v>
      </c>
    </row>
    <row r="79" spans="1:22" ht="14.4">
      <c r="N79"/>
      <c r="O79"/>
      <c r="P79"/>
      <c r="Q79"/>
      <c r="R79" s="301" t="s">
        <v>3638</v>
      </c>
      <c r="S79" s="292" t="s">
        <v>3639</v>
      </c>
      <c r="T79" s="293" t="s">
        <v>3466</v>
      </c>
      <c r="U79" s="292" t="s">
        <v>3467</v>
      </c>
      <c r="V79" s="293">
        <v>0</v>
      </c>
    </row>
    <row r="80" spans="1:22" ht="14.4">
      <c r="N80"/>
      <c r="O80"/>
      <c r="P80"/>
      <c r="Q80"/>
      <c r="R80" s="302" t="s">
        <v>3640</v>
      </c>
      <c r="S80" s="290" t="s">
        <v>3641</v>
      </c>
      <c r="T80" s="291" t="s">
        <v>3466</v>
      </c>
      <c r="U80" s="290" t="s">
        <v>3467</v>
      </c>
      <c r="V80" s="291">
        <v>0</v>
      </c>
    </row>
    <row r="81" spans="14:18" ht="13.8">
      <c r="N81"/>
      <c r="O81"/>
      <c r="P81"/>
      <c r="Q81"/>
      <c r="R81" s="158"/>
    </row>
    <row r="82" spans="14:18" ht="13.8">
      <c r="N82"/>
      <c r="O82"/>
      <c r="P82"/>
      <c r="Q82"/>
      <c r="R82" s="158"/>
    </row>
    <row r="83" spans="14:18" ht="13.8">
      <c r="N83"/>
      <c r="O83"/>
      <c r="P83"/>
      <c r="Q83"/>
      <c r="R83" s="158"/>
    </row>
    <row r="84" spans="14:18" ht="13.8">
      <c r="N84"/>
      <c r="O84"/>
      <c r="P84"/>
      <c r="Q84"/>
      <c r="R84" s="158"/>
    </row>
    <row r="85" spans="14:18" ht="13.8">
      <c r="N85"/>
      <c r="O85"/>
      <c r="P85"/>
      <c r="Q85"/>
      <c r="R85" s="158"/>
    </row>
    <row r="86" spans="14:18" ht="13.8">
      <c r="N86"/>
      <c r="O86"/>
      <c r="P86"/>
      <c r="Q86"/>
      <c r="R86" s="158"/>
    </row>
    <row r="87" spans="14:18" ht="13.8">
      <c r="N87"/>
      <c r="O87"/>
      <c r="P87"/>
      <c r="Q87"/>
      <c r="R87" s="158"/>
    </row>
    <row r="88" spans="14:18" ht="13.8">
      <c r="N88"/>
      <c r="O88"/>
      <c r="P88"/>
      <c r="Q88"/>
      <c r="R88" s="158"/>
    </row>
    <row r="89" spans="14:18" ht="13.8">
      <c r="N89"/>
      <c r="O89"/>
      <c r="P89"/>
      <c r="Q89"/>
      <c r="R89" s="158"/>
    </row>
    <row r="90" spans="14:18" ht="13.8">
      <c r="N90"/>
      <c r="O90"/>
      <c r="P90"/>
      <c r="Q90"/>
      <c r="R90" s="158"/>
    </row>
    <row r="91" spans="14:18" ht="13.8">
      <c r="N91"/>
      <c r="O91"/>
      <c r="P91"/>
      <c r="Q91"/>
      <c r="R91" s="158"/>
    </row>
    <row r="92" spans="14:18" ht="13.8">
      <c r="N92"/>
      <c r="O92"/>
      <c r="P92"/>
      <c r="Q92"/>
      <c r="R92" s="158"/>
    </row>
    <row r="93" spans="14:18" ht="13.8">
      <c r="N93"/>
      <c r="O93"/>
      <c r="P93"/>
      <c r="Q93"/>
      <c r="R93" s="158"/>
    </row>
    <row r="94" spans="14:18" ht="13.8">
      <c r="N94"/>
      <c r="O94"/>
      <c r="P94"/>
      <c r="Q94"/>
      <c r="R94" s="158"/>
    </row>
    <row r="95" spans="14:18" ht="13.8">
      <c r="N95"/>
      <c r="O95"/>
      <c r="P95"/>
      <c r="Q95"/>
      <c r="R95" s="158"/>
    </row>
    <row r="96" spans="14:18" ht="13.8">
      <c r="N96"/>
      <c r="O96"/>
      <c r="P96"/>
      <c r="Q96"/>
      <c r="R96" s="158"/>
    </row>
    <row r="97" spans="14:18" ht="13.8">
      <c r="N97"/>
      <c r="O97"/>
      <c r="P97"/>
      <c r="Q97"/>
      <c r="R97" s="158"/>
    </row>
    <row r="98" spans="14:18" ht="13.8">
      <c r="N98"/>
      <c r="O98"/>
      <c r="P98"/>
      <c r="Q98"/>
      <c r="R98" s="158"/>
    </row>
    <row r="99" spans="14:18" ht="13.8">
      <c r="N99"/>
      <c r="O99"/>
      <c r="P99"/>
      <c r="Q99"/>
      <c r="R99" s="158"/>
    </row>
    <row r="100" spans="14:18" ht="13.8">
      <c r="N100"/>
      <c r="O100"/>
      <c r="P100"/>
      <c r="Q100"/>
      <c r="R100" s="158"/>
    </row>
    <row r="101" spans="14:18" ht="13.8">
      <c r="N101"/>
      <c r="O101"/>
      <c r="P101"/>
      <c r="Q101"/>
      <c r="R101" s="158"/>
    </row>
    <row r="102" spans="14:18" ht="13.8">
      <c r="N102"/>
      <c r="O102"/>
      <c r="P102"/>
      <c r="Q102"/>
      <c r="R102" s="158"/>
    </row>
    <row r="103" spans="14:18" ht="13.8">
      <c r="N103"/>
      <c r="O103"/>
      <c r="P103"/>
      <c r="Q103"/>
      <c r="R103" s="158"/>
    </row>
    <row r="104" spans="14:18" ht="13.8">
      <c r="N104"/>
      <c r="O104"/>
      <c r="P104"/>
      <c r="Q104"/>
      <c r="R104" s="158"/>
    </row>
    <row r="105" spans="14:18" ht="13.8">
      <c r="N105"/>
      <c r="O105"/>
      <c r="P105"/>
      <c r="Q105"/>
      <c r="R105" s="158"/>
    </row>
    <row r="106" spans="14:18" ht="13.8">
      <c r="N106"/>
      <c r="O106"/>
      <c r="P106"/>
      <c r="Q106"/>
      <c r="R106" s="158"/>
    </row>
    <row r="107" spans="14:18" ht="13.8">
      <c r="N107"/>
      <c r="O107"/>
      <c r="P107"/>
      <c r="Q107"/>
      <c r="R107" s="158"/>
    </row>
    <row r="108" spans="14:18" ht="13.8">
      <c r="N108"/>
      <c r="O108"/>
      <c r="P108"/>
      <c r="Q108"/>
      <c r="R108" s="158"/>
    </row>
    <row r="109" spans="14:18" ht="13.8">
      <c r="N109"/>
      <c r="O109"/>
      <c r="P109"/>
      <c r="Q109"/>
      <c r="R109" s="158"/>
    </row>
    <row r="110" spans="14:18" ht="13.8">
      <c r="N110"/>
      <c r="O110"/>
      <c r="P110"/>
      <c r="Q110"/>
      <c r="R110" s="158"/>
    </row>
    <row r="111" spans="14:18" ht="13.8">
      <c r="N111"/>
      <c r="O111"/>
      <c r="P111"/>
      <c r="Q111"/>
      <c r="R111" s="158"/>
    </row>
    <row r="112" spans="14:18" ht="13.8">
      <c r="N112"/>
      <c r="O112"/>
      <c r="P112"/>
      <c r="Q112"/>
      <c r="R112" s="158"/>
    </row>
    <row r="113" spans="14:18" ht="13.8">
      <c r="N113"/>
      <c r="O113"/>
      <c r="P113"/>
      <c r="Q113"/>
      <c r="R113" s="158"/>
    </row>
    <row r="114" spans="14:18" ht="13.8">
      <c r="N114"/>
      <c r="O114"/>
      <c r="P114"/>
      <c r="Q114"/>
      <c r="R114" s="158"/>
    </row>
    <row r="115" spans="14:18" ht="13.8">
      <c r="N115"/>
      <c r="O115"/>
      <c r="P115"/>
      <c r="Q115"/>
      <c r="R115" s="158"/>
    </row>
    <row r="116" spans="14:18" ht="13.8">
      <c r="N116"/>
      <c r="O116"/>
      <c r="P116"/>
      <c r="Q116"/>
      <c r="R116" s="158"/>
    </row>
    <row r="117" spans="14:18" ht="13.8">
      <c r="N117"/>
      <c r="O117"/>
      <c r="P117"/>
      <c r="Q117"/>
      <c r="R117" s="158"/>
    </row>
    <row r="118" spans="14:18" ht="13.8">
      <c r="N118"/>
      <c r="O118"/>
      <c r="P118"/>
      <c r="Q118"/>
      <c r="R118" s="158"/>
    </row>
    <row r="119" spans="14:18" ht="13.8">
      <c r="N119"/>
      <c r="O119"/>
      <c r="P119"/>
      <c r="Q119"/>
      <c r="R119" s="158"/>
    </row>
    <row r="120" spans="14:18" ht="13.8">
      <c r="N120"/>
      <c r="O120"/>
      <c r="P120"/>
      <c r="Q120"/>
      <c r="R120" s="158"/>
    </row>
    <row r="121" spans="14:18" ht="13.8">
      <c r="N121"/>
      <c r="O121"/>
      <c r="P121"/>
      <c r="Q121"/>
      <c r="R121" s="158"/>
    </row>
    <row r="122" spans="14:18" ht="13.8">
      <c r="N122"/>
      <c r="O122"/>
      <c r="P122"/>
      <c r="Q122"/>
      <c r="R122" s="158"/>
    </row>
    <row r="123" spans="14:18" ht="13.8">
      <c r="N123"/>
      <c r="O123"/>
      <c r="P123"/>
      <c r="Q123"/>
      <c r="R123" s="158"/>
    </row>
    <row r="124" spans="14:18" ht="13.8">
      <c r="N124"/>
      <c r="O124"/>
      <c r="P124"/>
      <c r="Q124"/>
      <c r="R124" s="158"/>
    </row>
    <row r="125" spans="14:18" ht="13.8">
      <c r="N125"/>
      <c r="O125"/>
      <c r="P125"/>
      <c r="Q125"/>
      <c r="R125" s="158"/>
    </row>
    <row r="126" spans="14:18" ht="13.8">
      <c r="N126"/>
      <c r="O126"/>
      <c r="P126"/>
      <c r="Q126"/>
      <c r="R126" s="158"/>
    </row>
    <row r="127" spans="14:18" ht="13.8">
      <c r="N127"/>
      <c r="O127"/>
      <c r="P127"/>
      <c r="Q127"/>
      <c r="R127" s="158"/>
    </row>
    <row r="128" spans="14:18" ht="13.8">
      <c r="N128"/>
      <c r="O128"/>
      <c r="P128"/>
      <c r="Q128"/>
      <c r="R128" s="158"/>
    </row>
    <row r="129" spans="14:18" ht="13.8">
      <c r="N129"/>
      <c r="O129"/>
      <c r="P129"/>
      <c r="Q129"/>
      <c r="R129" s="158"/>
    </row>
    <row r="130" spans="14:18" ht="13.8">
      <c r="N130"/>
      <c r="O130"/>
      <c r="P130"/>
      <c r="Q130"/>
      <c r="R130" s="158"/>
    </row>
    <row r="131" spans="14:18" ht="13.8">
      <c r="N131"/>
      <c r="O131"/>
      <c r="P131"/>
      <c r="Q131"/>
      <c r="R131" s="158"/>
    </row>
    <row r="132" spans="14:18" ht="13.8">
      <c r="N132"/>
      <c r="O132"/>
      <c r="P132"/>
      <c r="Q132"/>
      <c r="R132" s="158"/>
    </row>
    <row r="133" spans="14:18" ht="13.8">
      <c r="N133"/>
      <c r="O133"/>
      <c r="P133"/>
      <c r="Q133"/>
      <c r="R133" s="158"/>
    </row>
    <row r="134" spans="14:18" ht="13.8">
      <c r="N134"/>
      <c r="O134"/>
      <c r="P134"/>
      <c r="Q134"/>
      <c r="R134" s="158"/>
    </row>
    <row r="135" spans="14:18" ht="13.8">
      <c r="N135"/>
      <c r="O135"/>
      <c r="P135"/>
      <c r="Q135"/>
      <c r="R135" s="158"/>
    </row>
    <row r="136" spans="14:18" ht="13.8">
      <c r="N136"/>
      <c r="O136"/>
      <c r="P136"/>
      <c r="Q136"/>
      <c r="R136" s="158"/>
    </row>
    <row r="137" spans="14:18" ht="13.8">
      <c r="N137"/>
      <c r="O137"/>
      <c r="P137"/>
      <c r="Q137"/>
      <c r="R137" s="158"/>
    </row>
    <row r="138" spans="14:18" ht="13.8">
      <c r="N138"/>
      <c r="O138"/>
      <c r="P138"/>
      <c r="Q138"/>
      <c r="R138" s="158"/>
    </row>
    <row r="139" spans="14:18" ht="13.8">
      <c r="N139"/>
      <c r="O139"/>
      <c r="P139"/>
      <c r="Q139"/>
      <c r="R139" s="158"/>
    </row>
    <row r="140" spans="14:18" ht="13.8">
      <c r="N140"/>
      <c r="O140"/>
      <c r="P140"/>
      <c r="Q140"/>
      <c r="R140" s="158"/>
    </row>
    <row r="141" spans="14:18" ht="13.8">
      <c r="N141"/>
      <c r="O141"/>
      <c r="P141"/>
      <c r="Q141"/>
      <c r="R141" s="158"/>
    </row>
    <row r="142" spans="14:18" ht="13.8">
      <c r="N142"/>
      <c r="O142"/>
      <c r="P142"/>
      <c r="Q142"/>
      <c r="R142" s="158"/>
    </row>
    <row r="143" spans="14:18" ht="13.8">
      <c r="N143"/>
      <c r="O143"/>
      <c r="P143"/>
      <c r="Q143"/>
      <c r="R143" s="158"/>
    </row>
    <row r="144" spans="14:18" ht="13.8">
      <c r="N144"/>
      <c r="O144"/>
      <c r="P144"/>
      <c r="Q144"/>
      <c r="R144" s="158"/>
    </row>
    <row r="145" spans="14:18" ht="13.8">
      <c r="N145"/>
      <c r="O145"/>
      <c r="P145"/>
      <c r="Q145"/>
      <c r="R145" s="158"/>
    </row>
    <row r="146" spans="14:18" ht="13.8">
      <c r="N146"/>
      <c r="O146"/>
      <c r="P146"/>
      <c r="Q146"/>
      <c r="R146" s="158"/>
    </row>
    <row r="147" spans="14:18" ht="13.8">
      <c r="N147"/>
      <c r="O147"/>
      <c r="P147"/>
      <c r="Q147"/>
      <c r="R147" s="158"/>
    </row>
    <row r="148" spans="14:18" ht="13.8">
      <c r="N148"/>
      <c r="O148"/>
      <c r="P148"/>
      <c r="Q148"/>
      <c r="R148" s="158"/>
    </row>
    <row r="149" spans="14:18" ht="13.8">
      <c r="N149"/>
      <c r="O149"/>
      <c r="P149"/>
      <c r="Q149"/>
      <c r="R149" s="158"/>
    </row>
    <row r="150" spans="14:18" ht="13.8">
      <c r="N150"/>
      <c r="O150"/>
      <c r="P150"/>
      <c r="Q150"/>
      <c r="R150" s="158"/>
    </row>
    <row r="151" spans="14:18" ht="13.8">
      <c r="N151"/>
      <c r="O151"/>
      <c r="P151"/>
      <c r="Q151"/>
      <c r="R151" s="158"/>
    </row>
    <row r="152" spans="14:18" ht="13.8">
      <c r="N152"/>
      <c r="O152"/>
      <c r="P152"/>
      <c r="Q152"/>
      <c r="R152" s="158"/>
    </row>
    <row r="153" spans="14:18" ht="13.8">
      <c r="N153"/>
      <c r="O153"/>
      <c r="P153"/>
      <c r="Q153"/>
      <c r="R153" s="158"/>
    </row>
    <row r="154" spans="14:18" ht="13.8">
      <c r="N154"/>
      <c r="O154"/>
      <c r="P154"/>
      <c r="Q154"/>
      <c r="R154" s="158"/>
    </row>
    <row r="155" spans="14:18" ht="13.8">
      <c r="N155"/>
      <c r="O155"/>
      <c r="P155"/>
      <c r="Q155"/>
      <c r="R155" s="158"/>
    </row>
    <row r="156" spans="14:18" ht="13.8">
      <c r="N156"/>
      <c r="O156"/>
      <c r="P156"/>
      <c r="Q156"/>
      <c r="R156" s="158"/>
    </row>
    <row r="157" spans="14:18" ht="13.8">
      <c r="N157"/>
      <c r="O157"/>
      <c r="P157"/>
      <c r="Q157"/>
      <c r="R157" s="158"/>
    </row>
    <row r="158" spans="14:18" ht="13.8">
      <c r="N158"/>
      <c r="O158"/>
      <c r="P158"/>
      <c r="Q158"/>
      <c r="R158" s="158"/>
    </row>
    <row r="159" spans="14:18" ht="13.8">
      <c r="N159"/>
      <c r="O159"/>
      <c r="P159"/>
      <c r="Q159"/>
      <c r="R159" s="158"/>
    </row>
    <row r="160" spans="14:18" ht="13.8">
      <c r="N160"/>
      <c r="O160"/>
      <c r="P160"/>
      <c r="Q160"/>
      <c r="R160" s="158"/>
    </row>
    <row r="161" spans="14:18" ht="13.8">
      <c r="N161"/>
      <c r="O161"/>
      <c r="P161"/>
      <c r="Q161"/>
      <c r="R161" s="158"/>
    </row>
    <row r="162" spans="14:18" ht="13.8">
      <c r="N162"/>
      <c r="O162"/>
      <c r="P162"/>
      <c r="Q162"/>
      <c r="R162" s="158"/>
    </row>
    <row r="163" spans="14:18" ht="13.8">
      <c r="N163"/>
      <c r="O163"/>
      <c r="P163"/>
      <c r="Q163"/>
      <c r="R163" s="158"/>
    </row>
    <row r="164" spans="14:18" ht="13.8">
      <c r="N164"/>
      <c r="O164"/>
      <c r="P164"/>
      <c r="Q164"/>
      <c r="R164" s="158"/>
    </row>
    <row r="165" spans="14:18" ht="13.8">
      <c r="N165"/>
      <c r="O165"/>
      <c r="P165"/>
      <c r="Q165"/>
      <c r="R165" s="158"/>
    </row>
    <row r="166" spans="14:18" ht="13.8">
      <c r="N166"/>
      <c r="O166"/>
      <c r="P166"/>
      <c r="Q166"/>
      <c r="R166" s="158"/>
    </row>
    <row r="167" spans="14:18" ht="13.8">
      <c r="N167"/>
      <c r="O167"/>
      <c r="P167"/>
      <c r="Q167"/>
      <c r="R167" s="158"/>
    </row>
    <row r="168" spans="14:18" ht="13.8">
      <c r="N168"/>
      <c r="O168"/>
      <c r="P168"/>
      <c r="Q168"/>
      <c r="R168" s="158"/>
    </row>
    <row r="169" spans="14:18" ht="13.8">
      <c r="N169"/>
      <c r="O169"/>
      <c r="P169"/>
      <c r="Q169"/>
      <c r="R169" s="158"/>
    </row>
    <row r="170" spans="14:18" ht="13.8">
      <c r="N170"/>
      <c r="O170"/>
      <c r="P170"/>
      <c r="Q170"/>
      <c r="R170" s="158"/>
    </row>
    <row r="171" spans="14:18" ht="13.8">
      <c r="N171"/>
      <c r="O171"/>
      <c r="P171"/>
      <c r="Q171"/>
      <c r="R171" s="158"/>
    </row>
    <row r="172" spans="14:18" ht="13.8">
      <c r="N172"/>
      <c r="O172"/>
      <c r="P172"/>
      <c r="Q172"/>
      <c r="R172" s="158"/>
    </row>
    <row r="173" spans="14:18" ht="13.8">
      <c r="N173"/>
      <c r="O173"/>
      <c r="P173"/>
      <c r="Q173"/>
      <c r="R173" s="158"/>
    </row>
    <row r="174" spans="14:18" ht="13.8">
      <c r="N174"/>
      <c r="O174"/>
      <c r="P174"/>
      <c r="Q174"/>
      <c r="R174" s="158"/>
    </row>
    <row r="175" spans="14:18" ht="13.8">
      <c r="N175"/>
      <c r="O175"/>
      <c r="P175"/>
      <c r="Q175"/>
      <c r="R175" s="158"/>
    </row>
    <row r="176" spans="14:18" ht="13.8">
      <c r="N176"/>
      <c r="O176"/>
      <c r="P176"/>
      <c r="Q176"/>
      <c r="R176" s="158"/>
    </row>
    <row r="177" spans="14:18" ht="13.8">
      <c r="N177"/>
      <c r="O177"/>
      <c r="P177"/>
      <c r="Q177"/>
      <c r="R177" s="158"/>
    </row>
    <row r="178" spans="14:18" ht="13.8">
      <c r="N178"/>
      <c r="O178"/>
      <c r="P178"/>
      <c r="Q178"/>
      <c r="R178" s="158"/>
    </row>
    <row r="179" spans="14:18" ht="13.8">
      <c r="N179"/>
      <c r="O179"/>
      <c r="P179"/>
      <c r="Q179"/>
      <c r="R179" s="158"/>
    </row>
    <row r="180" spans="14:18" ht="13.8">
      <c r="N180"/>
      <c r="O180"/>
      <c r="P180"/>
      <c r="Q180"/>
      <c r="R180" s="158"/>
    </row>
    <row r="181" spans="14:18" ht="13.8">
      <c r="N181"/>
      <c r="O181"/>
      <c r="P181"/>
      <c r="Q181"/>
      <c r="R181" s="158"/>
    </row>
    <row r="182" spans="14:18" ht="13.8">
      <c r="N182"/>
      <c r="O182"/>
      <c r="P182"/>
      <c r="Q182"/>
      <c r="R182" s="158"/>
    </row>
    <row r="183" spans="14:18" ht="13.8">
      <c r="N183"/>
      <c r="O183"/>
      <c r="P183"/>
      <c r="Q183"/>
      <c r="R183" s="158"/>
    </row>
    <row r="184" spans="14:18" ht="13.8">
      <c r="N184"/>
      <c r="O184"/>
      <c r="P184"/>
      <c r="Q184"/>
      <c r="R184" s="158"/>
    </row>
    <row r="185" spans="14:18" ht="13.8">
      <c r="N185"/>
      <c r="O185"/>
      <c r="P185"/>
      <c r="Q185"/>
      <c r="R185" s="158"/>
    </row>
    <row r="186" spans="14:18" ht="13.8">
      <c r="N186"/>
      <c r="O186"/>
      <c r="P186"/>
      <c r="Q186"/>
      <c r="R186" s="158"/>
    </row>
    <row r="187" spans="14:18" ht="13.8">
      <c r="N187"/>
      <c r="O187"/>
      <c r="P187"/>
      <c r="Q187"/>
      <c r="R187" s="158"/>
    </row>
    <row r="188" spans="14:18" ht="13.8">
      <c r="N188"/>
      <c r="O188"/>
      <c r="P188"/>
      <c r="Q188"/>
      <c r="R188" s="158"/>
    </row>
    <row r="189" spans="14:18" ht="13.8">
      <c r="N189"/>
      <c r="O189"/>
      <c r="P189"/>
      <c r="Q189"/>
      <c r="R189" s="158"/>
    </row>
    <row r="190" spans="14:18" ht="13.8">
      <c r="N190"/>
      <c r="O190"/>
      <c r="P190"/>
      <c r="Q190"/>
      <c r="R190" s="158"/>
    </row>
    <row r="191" spans="14:18" ht="13.8">
      <c r="N191"/>
      <c r="O191"/>
      <c r="P191"/>
      <c r="Q191"/>
      <c r="R191" s="158"/>
    </row>
    <row r="192" spans="14:18" ht="13.8">
      <c r="N192"/>
      <c r="O192"/>
      <c r="P192"/>
      <c r="Q192"/>
      <c r="R192" s="158"/>
    </row>
    <row r="193" spans="14:18" ht="13.8">
      <c r="N193"/>
      <c r="O193"/>
      <c r="P193"/>
      <c r="Q193"/>
      <c r="R193" s="158"/>
    </row>
    <row r="194" spans="14:18" ht="13.8">
      <c r="N194"/>
      <c r="O194"/>
      <c r="P194"/>
      <c r="Q194"/>
      <c r="R194" s="158"/>
    </row>
    <row r="195" spans="14:18" ht="13.8">
      <c r="N195"/>
      <c r="O195"/>
      <c r="P195"/>
      <c r="Q195"/>
      <c r="R195" s="158"/>
    </row>
    <row r="196" spans="14:18" ht="13.8">
      <c r="N196"/>
      <c r="O196"/>
      <c r="P196"/>
      <c r="Q196"/>
      <c r="R196" s="158"/>
    </row>
    <row r="197" spans="14:18" ht="13.8">
      <c r="N197"/>
      <c r="O197"/>
      <c r="P197"/>
      <c r="Q197"/>
      <c r="R197" s="158"/>
    </row>
    <row r="198" spans="14:18" ht="13.8">
      <c r="N198"/>
      <c r="O198"/>
      <c r="P198"/>
      <c r="Q198"/>
      <c r="R198" s="158"/>
    </row>
    <row r="199" spans="14:18" ht="13.8">
      <c r="N199"/>
      <c r="O199"/>
      <c r="P199"/>
      <c r="Q199"/>
      <c r="R199" s="158"/>
    </row>
    <row r="200" spans="14:18" ht="13.8">
      <c r="N200"/>
      <c r="O200"/>
      <c r="P200"/>
      <c r="Q200"/>
      <c r="R200" s="158"/>
    </row>
    <row r="201" spans="14:18" ht="13.8">
      <c r="N201"/>
      <c r="O201"/>
    </row>
    <row r="202" spans="14:18" ht="13.8">
      <c r="N202"/>
      <c r="O202"/>
    </row>
    <row r="203" spans="14:18" ht="13.8">
      <c r="N203"/>
      <c r="O203"/>
    </row>
    <row r="204" spans="14:18" ht="13.8">
      <c r="N204"/>
      <c r="O204"/>
    </row>
    <row r="205" spans="14:18" ht="13.8">
      <c r="N205"/>
      <c r="O205"/>
    </row>
    <row r="206" spans="14:18" ht="13.8">
      <c r="N206"/>
      <c r="O206"/>
    </row>
    <row r="207" spans="14:18" ht="13.8">
      <c r="N207"/>
      <c r="O207"/>
    </row>
    <row r="208" spans="14:18" ht="13.8">
      <c r="N208"/>
      <c r="O208"/>
    </row>
    <row r="209" spans="14:15" ht="13.8">
      <c r="N209"/>
      <c r="O209"/>
    </row>
    <row r="210" spans="14:15" ht="13.8">
      <c r="N210"/>
      <c r="O210"/>
    </row>
    <row r="211" spans="14:15" ht="13.8">
      <c r="N211"/>
      <c r="O211"/>
    </row>
    <row r="212" spans="14:15" ht="13.8">
      <c r="N212"/>
      <c r="O212"/>
    </row>
    <row r="213" spans="14:15" ht="13.8">
      <c r="N213"/>
      <c r="O213"/>
    </row>
    <row r="214" spans="14:15" ht="13.8">
      <c r="N214"/>
      <c r="O214"/>
    </row>
    <row r="215" spans="14:15" ht="13.8">
      <c r="N215"/>
      <c r="O215"/>
    </row>
    <row r="216" spans="14:15" ht="13.8">
      <c r="N216"/>
      <c r="O216"/>
    </row>
    <row r="217" spans="14:15" ht="13.8">
      <c r="N217"/>
      <c r="O217"/>
    </row>
    <row r="218" spans="14:15" ht="13.8">
      <c r="N218"/>
      <c r="O218"/>
    </row>
    <row r="219" spans="14:15" ht="13.8">
      <c r="N219"/>
      <c r="O219"/>
    </row>
    <row r="220" spans="14:15" ht="13.8">
      <c r="N220"/>
      <c r="O220"/>
    </row>
    <row r="221" spans="14:15" ht="13.8">
      <c r="N221"/>
      <c r="O221"/>
    </row>
    <row r="222" spans="14:15" ht="13.8">
      <c r="N222"/>
      <c r="O222"/>
    </row>
    <row r="223" spans="14:15" ht="13.8">
      <c r="N223"/>
      <c r="O223"/>
    </row>
    <row r="224" spans="14:15" ht="13.8">
      <c r="N224"/>
      <c r="O224"/>
    </row>
    <row r="225" spans="14:15" ht="13.8">
      <c r="N225"/>
      <c r="O225"/>
    </row>
    <row r="226" spans="14:15" ht="13.8">
      <c r="N226"/>
      <c r="O226"/>
    </row>
    <row r="227" spans="14:15" ht="13.8">
      <c r="N227"/>
      <c r="O227"/>
    </row>
    <row r="228" spans="14:15" ht="13.8">
      <c r="N228"/>
      <c r="O228"/>
    </row>
    <row r="229" spans="14:15" ht="13.8">
      <c r="N229"/>
      <c r="O229"/>
    </row>
    <row r="230" spans="14:15" ht="13.8">
      <c r="N230"/>
      <c r="O230"/>
    </row>
    <row r="231" spans="14:15" ht="13.8">
      <c r="N231"/>
      <c r="O231"/>
    </row>
    <row r="232" spans="14:15" ht="13.8">
      <c r="N232"/>
      <c r="O232"/>
    </row>
    <row r="233" spans="14:15" ht="13.8">
      <c r="N233"/>
      <c r="O233"/>
    </row>
    <row r="234" spans="14:15" ht="13.8">
      <c r="N234"/>
      <c r="O234"/>
    </row>
    <row r="235" spans="14:15" ht="13.8">
      <c r="N235"/>
      <c r="O235"/>
    </row>
    <row r="236" spans="14:15" ht="13.8">
      <c r="N236"/>
      <c r="O236"/>
    </row>
    <row r="237" spans="14:15" ht="13.8">
      <c r="N237"/>
      <c r="O237"/>
    </row>
    <row r="238" spans="14:15" ht="13.8">
      <c r="N238"/>
      <c r="O238"/>
    </row>
    <row r="239" spans="14:15" ht="13.8">
      <c r="N239"/>
      <c r="O239"/>
    </row>
    <row r="240" spans="14:15" ht="13.8">
      <c r="N240"/>
      <c r="O240"/>
    </row>
    <row r="241" spans="14:15" ht="13.8">
      <c r="N241"/>
      <c r="O241"/>
    </row>
    <row r="242" spans="14:15" ht="13.8">
      <c r="N242"/>
      <c r="O242"/>
    </row>
    <row r="243" spans="14:15" ht="13.8">
      <c r="N243"/>
      <c r="O243"/>
    </row>
    <row r="244" spans="14:15" ht="13.8">
      <c r="N244"/>
      <c r="O244"/>
    </row>
    <row r="245" spans="14:15" ht="13.8">
      <c r="N245"/>
      <c r="O245"/>
    </row>
    <row r="246" spans="14:15" ht="13.8">
      <c r="N246"/>
      <c r="O246"/>
    </row>
    <row r="247" spans="14:15" ht="13.8">
      <c r="N247"/>
      <c r="O247"/>
    </row>
    <row r="248" spans="14:15" ht="13.8">
      <c r="N248"/>
      <c r="O248"/>
    </row>
    <row r="249" spans="14:15" ht="13.8">
      <c r="N249"/>
      <c r="O249"/>
    </row>
    <row r="250" spans="14:15" ht="13.8">
      <c r="N250"/>
      <c r="O250"/>
    </row>
    <row r="251" spans="14:15" ht="13.8">
      <c r="N251"/>
      <c r="O251"/>
    </row>
    <row r="252" spans="14:15" ht="13.8">
      <c r="N252"/>
      <c r="O252"/>
    </row>
    <row r="253" spans="14:15" ht="13.8">
      <c r="N253"/>
      <c r="O253"/>
    </row>
    <row r="254" spans="14:15" ht="13.8">
      <c r="N254"/>
      <c r="O254"/>
    </row>
    <row r="255" spans="14:15" ht="13.8">
      <c r="N255"/>
      <c r="O255"/>
    </row>
    <row r="256" spans="14:15" ht="13.8">
      <c r="N256"/>
      <c r="O256"/>
    </row>
    <row r="257" spans="14:15" ht="13.8">
      <c r="N257"/>
      <c r="O257"/>
    </row>
    <row r="258" spans="14:15" ht="13.8">
      <c r="N258"/>
      <c r="O258"/>
    </row>
    <row r="259" spans="14:15" ht="13.8">
      <c r="N259"/>
      <c r="O259"/>
    </row>
    <row r="260" spans="14:15" ht="13.8">
      <c r="N260"/>
      <c r="O260"/>
    </row>
    <row r="261" spans="14:15" ht="13.8">
      <c r="N261"/>
      <c r="O261"/>
    </row>
    <row r="262" spans="14:15" ht="13.8">
      <c r="N262"/>
      <c r="O262"/>
    </row>
    <row r="263" spans="14:15" ht="13.8">
      <c r="N263"/>
      <c r="O263"/>
    </row>
    <row r="264" spans="14:15" ht="13.8">
      <c r="N264"/>
      <c r="O264"/>
    </row>
    <row r="265" spans="14:15" ht="13.8">
      <c r="N265"/>
      <c r="O265"/>
    </row>
    <row r="266" spans="14:15" ht="13.8">
      <c r="N266"/>
      <c r="O266"/>
    </row>
    <row r="267" spans="14:15" ht="13.8">
      <c r="N267"/>
      <c r="O267"/>
    </row>
    <row r="268" spans="14:15" ht="13.8">
      <c r="N268"/>
      <c r="O268"/>
    </row>
    <row r="269" spans="14:15" ht="13.8">
      <c r="N269"/>
      <c r="O269"/>
    </row>
    <row r="270" spans="14:15" ht="13.8">
      <c r="N270"/>
      <c r="O270"/>
    </row>
    <row r="271" spans="14:15" ht="13.8">
      <c r="N271"/>
      <c r="O271"/>
    </row>
    <row r="272" spans="14:15" ht="13.8">
      <c r="N272"/>
      <c r="O272"/>
    </row>
    <row r="273" spans="14:15" ht="13.8">
      <c r="N273"/>
      <c r="O273"/>
    </row>
  </sheetData>
  <mergeCells count="3">
    <mergeCell ref="R3:V3"/>
    <mergeCell ref="R2:V2"/>
    <mergeCell ref="R1:V1"/>
  </mergeCells>
  <phoneticPr fontId="3" type="noConversion"/>
  <pageMargins left="0.7" right="0.7" top="0.75" bottom="0.75" header="0.3" footer="0.3"/>
  <pageSetup paperSize="176"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81103-8FC5-4F23-9DA2-B25ED3A64482}">
  <dimension ref="A1:Z527"/>
  <sheetViews>
    <sheetView showGridLines="0" workbookViewId="0">
      <pane ySplit="1" topLeftCell="A2" activePane="bottomLeft" state="frozen"/>
      <selection pane="bottomLeft" activeCell="C118" sqref="C118"/>
    </sheetView>
  </sheetViews>
  <sheetFormatPr defaultColWidth="8.69921875" defaultRowHeight="12"/>
  <cols>
    <col min="1" max="1" width="24.09765625" style="6" bestFit="1" customWidth="1"/>
    <col min="2" max="2" width="16.8984375" style="6" bestFit="1" customWidth="1"/>
    <col min="3" max="3" width="18" style="6" bestFit="1" customWidth="1"/>
    <col min="4" max="4" width="36" style="6" bestFit="1" customWidth="1"/>
    <col min="5" max="5" width="13" style="16" bestFit="1" customWidth="1"/>
    <col min="6" max="7" width="13.09765625" style="16" bestFit="1" customWidth="1"/>
    <col min="8" max="8" width="15" style="25" bestFit="1" customWidth="1"/>
    <col min="9" max="9" width="16.5" style="25" bestFit="1" customWidth="1"/>
    <col min="10" max="10" width="23.09765625" style="25" bestFit="1" customWidth="1"/>
    <col min="11" max="11" width="16" style="108" bestFit="1" customWidth="1"/>
    <col min="12" max="12" width="18.5" style="25" bestFit="1" customWidth="1"/>
    <col min="13" max="13" width="27.09765625" style="6" bestFit="1" customWidth="1"/>
    <col min="14" max="14" width="63.69921875" style="6" bestFit="1" customWidth="1"/>
    <col min="15" max="15" width="25.69921875" style="6" bestFit="1" customWidth="1"/>
    <col min="16" max="16" width="12.69921875" style="6" bestFit="1" customWidth="1"/>
    <col min="17" max="17" width="14" style="6" bestFit="1" customWidth="1"/>
    <col min="18" max="19" width="14.3984375" style="6" bestFit="1" customWidth="1"/>
    <col min="20" max="20" width="28.19921875" style="6" bestFit="1" customWidth="1"/>
    <col min="21" max="21" width="23.5" style="6" bestFit="1" customWidth="1"/>
    <col min="22" max="22" width="8.69921875" style="6" bestFit="1" customWidth="1"/>
    <col min="23" max="23" width="17.5" style="16" bestFit="1" customWidth="1"/>
    <col min="24" max="24" width="19.69921875" style="16" bestFit="1" customWidth="1"/>
    <col min="25" max="25" width="20.3984375" style="16" bestFit="1" customWidth="1"/>
    <col min="26" max="26" width="28.69921875" style="16" bestFit="1" customWidth="1"/>
    <col min="27" max="16384" width="8.69921875" style="6"/>
  </cols>
  <sheetData>
    <row r="1" spans="1:26">
      <c r="A1" s="18" t="s">
        <v>0</v>
      </c>
      <c r="B1" s="5" t="s">
        <v>1</v>
      </c>
      <c r="C1" s="5" t="s">
        <v>3</v>
      </c>
      <c r="D1" s="5" t="s">
        <v>16</v>
      </c>
      <c r="E1" s="4" t="s">
        <v>5</v>
      </c>
      <c r="F1" s="4" t="s">
        <v>6</v>
      </c>
      <c r="G1" s="4" t="s">
        <v>7</v>
      </c>
      <c r="H1" s="23" t="s">
        <v>17</v>
      </c>
      <c r="I1" s="23" t="s">
        <v>18</v>
      </c>
      <c r="J1" s="103" t="s">
        <v>19</v>
      </c>
      <c r="K1" s="105" t="s">
        <v>13</v>
      </c>
      <c r="L1" s="104" t="s">
        <v>2339</v>
      </c>
      <c r="W1" s="6"/>
      <c r="X1" s="6"/>
      <c r="Y1" s="6"/>
      <c r="Z1" s="6"/>
    </row>
    <row r="2" spans="1:26">
      <c r="A2" s="224" t="s">
        <v>14</v>
      </c>
      <c r="B2" s="213" t="s">
        <v>2340</v>
      </c>
      <c r="C2" s="213" t="s">
        <v>98</v>
      </c>
      <c r="D2" s="213" t="s">
        <v>3822</v>
      </c>
      <c r="E2" s="101">
        <v>46219</v>
      </c>
      <c r="F2" s="102" t="s">
        <v>2341</v>
      </c>
      <c r="G2" s="102">
        <v>11</v>
      </c>
      <c r="H2" s="215">
        <v>40</v>
      </c>
      <c r="I2" s="215">
        <v>280</v>
      </c>
      <c r="J2" s="215">
        <v>280</v>
      </c>
      <c r="K2" s="225">
        <v>11000</v>
      </c>
      <c r="L2" s="226" t="s">
        <v>3821</v>
      </c>
      <c r="W2" s="6"/>
      <c r="X2" s="6"/>
      <c r="Y2" s="6"/>
      <c r="Z2" s="6"/>
    </row>
    <row r="3" spans="1:26">
      <c r="A3" s="19" t="s">
        <v>14</v>
      </c>
      <c r="B3" s="10" t="s">
        <v>1869</v>
      </c>
      <c r="C3" s="10" t="s">
        <v>2345</v>
      </c>
      <c r="D3" s="10" t="s">
        <v>3823</v>
      </c>
      <c r="E3" s="8">
        <v>46219</v>
      </c>
      <c r="F3" s="9" t="s">
        <v>2346</v>
      </c>
      <c r="G3" s="9">
        <v>11</v>
      </c>
      <c r="H3" s="24">
        <v>1</v>
      </c>
      <c r="I3" s="24">
        <v>7</v>
      </c>
      <c r="J3" s="24">
        <v>7</v>
      </c>
      <c r="K3" s="106">
        <v>121.95</v>
      </c>
      <c r="L3" s="12" t="s">
        <v>3821</v>
      </c>
      <c r="W3" s="6"/>
      <c r="X3" s="6"/>
      <c r="Y3" s="6"/>
      <c r="Z3" s="6"/>
    </row>
    <row r="4" spans="1:26">
      <c r="A4" s="19" t="s">
        <v>3674</v>
      </c>
      <c r="B4" s="10" t="s">
        <v>3675</v>
      </c>
      <c r="C4" s="10" t="s">
        <v>3678</v>
      </c>
      <c r="D4" s="10" t="s">
        <v>3824</v>
      </c>
      <c r="E4" s="8">
        <v>46224</v>
      </c>
      <c r="F4" s="9" t="s">
        <v>3679</v>
      </c>
      <c r="G4" s="9">
        <v>6</v>
      </c>
      <c r="H4" s="24">
        <v>80</v>
      </c>
      <c r="I4" s="24">
        <v>560</v>
      </c>
      <c r="J4" s="24">
        <v>160</v>
      </c>
      <c r="K4" s="106">
        <v>32000</v>
      </c>
      <c r="L4" s="12" t="s">
        <v>3821</v>
      </c>
      <c r="W4" s="6"/>
      <c r="X4" s="6"/>
      <c r="Y4" s="6"/>
      <c r="Z4" s="6"/>
    </row>
    <row r="5" spans="1:26">
      <c r="A5" s="19" t="s">
        <v>3674</v>
      </c>
      <c r="B5" s="10" t="s">
        <v>3675</v>
      </c>
      <c r="C5" s="10" t="s">
        <v>3676</v>
      </c>
      <c r="D5" s="10" t="s">
        <v>3824</v>
      </c>
      <c r="E5" s="8">
        <v>46224</v>
      </c>
      <c r="F5" s="9" t="s">
        <v>3677</v>
      </c>
      <c r="G5" s="9">
        <v>6</v>
      </c>
      <c r="H5" s="24">
        <v>80</v>
      </c>
      <c r="I5" s="24">
        <v>560</v>
      </c>
      <c r="J5" s="24">
        <v>160</v>
      </c>
      <c r="K5" s="106">
        <v>32000</v>
      </c>
      <c r="L5" s="12" t="s">
        <v>3821</v>
      </c>
      <c r="W5" s="6"/>
      <c r="X5" s="6"/>
      <c r="Y5" s="6"/>
      <c r="Z5" s="6"/>
    </row>
    <row r="6" spans="1:26">
      <c r="A6" s="19" t="s">
        <v>3674</v>
      </c>
      <c r="B6" s="10" t="s">
        <v>3675</v>
      </c>
      <c r="C6" s="10" t="s">
        <v>3680</v>
      </c>
      <c r="D6" s="10" t="s">
        <v>3825</v>
      </c>
      <c r="E6" s="8">
        <v>46224</v>
      </c>
      <c r="F6" s="9" t="s">
        <v>3681</v>
      </c>
      <c r="G6" s="9">
        <v>6</v>
      </c>
      <c r="H6" s="24">
        <v>7.62</v>
      </c>
      <c r="I6" s="24">
        <v>53.34</v>
      </c>
      <c r="J6" s="24">
        <v>15.24</v>
      </c>
      <c r="K6" s="106">
        <v>399</v>
      </c>
      <c r="L6" s="12" t="s">
        <v>3821</v>
      </c>
      <c r="W6" s="6"/>
      <c r="X6" s="6"/>
      <c r="Y6" s="6"/>
      <c r="Z6" s="6"/>
    </row>
    <row r="7" spans="1:26">
      <c r="A7" s="19" t="s">
        <v>3674</v>
      </c>
      <c r="B7" s="10" t="s">
        <v>3675</v>
      </c>
      <c r="C7" s="10" t="s">
        <v>3684</v>
      </c>
      <c r="D7" s="10" t="s">
        <v>3826</v>
      </c>
      <c r="E7" s="8">
        <v>46224</v>
      </c>
      <c r="F7" s="9" t="s">
        <v>3681</v>
      </c>
      <c r="G7" s="9">
        <v>6</v>
      </c>
      <c r="H7" s="24">
        <v>1</v>
      </c>
      <c r="I7" s="24">
        <v>7</v>
      </c>
      <c r="J7" s="24">
        <v>2</v>
      </c>
      <c r="K7" s="106">
        <v>222</v>
      </c>
      <c r="L7" s="12" t="s">
        <v>3821</v>
      </c>
      <c r="W7" s="6"/>
      <c r="X7" s="6"/>
      <c r="Y7" s="6"/>
      <c r="Z7" s="6"/>
    </row>
    <row r="8" spans="1:26">
      <c r="A8" s="19" t="s">
        <v>3674</v>
      </c>
      <c r="B8" s="10" t="s">
        <v>3675</v>
      </c>
      <c r="C8" s="10" t="s">
        <v>3685</v>
      </c>
      <c r="D8" s="10" t="s">
        <v>3826</v>
      </c>
      <c r="E8" s="8">
        <v>46224</v>
      </c>
      <c r="F8" s="9" t="s">
        <v>3681</v>
      </c>
      <c r="G8" s="9">
        <v>6</v>
      </c>
      <c r="H8" s="24">
        <v>1</v>
      </c>
      <c r="I8" s="24">
        <v>7</v>
      </c>
      <c r="J8" s="24">
        <v>2</v>
      </c>
      <c r="K8" s="106">
        <v>222</v>
      </c>
      <c r="L8" s="12" t="s">
        <v>3821</v>
      </c>
      <c r="W8" s="6"/>
      <c r="X8" s="6"/>
      <c r="Y8" s="6"/>
      <c r="Z8" s="6"/>
    </row>
    <row r="9" spans="1:26">
      <c r="A9" s="19" t="s">
        <v>3674</v>
      </c>
      <c r="B9" s="10" t="s">
        <v>3675</v>
      </c>
      <c r="C9" s="10" t="s">
        <v>3686</v>
      </c>
      <c r="D9" s="10" t="s">
        <v>3827</v>
      </c>
      <c r="E9" s="8">
        <v>46224</v>
      </c>
      <c r="F9" s="9" t="s">
        <v>3687</v>
      </c>
      <c r="G9" s="9">
        <v>6</v>
      </c>
      <c r="H9" s="24">
        <v>0.1</v>
      </c>
      <c r="I9" s="24">
        <v>0.7</v>
      </c>
      <c r="J9" s="24">
        <v>0.2</v>
      </c>
      <c r="K9" s="106">
        <v>45.75</v>
      </c>
      <c r="L9" s="12" t="s">
        <v>3821</v>
      </c>
      <c r="W9" s="6"/>
      <c r="X9" s="6"/>
      <c r="Y9" s="6"/>
      <c r="Z9" s="6"/>
    </row>
    <row r="10" spans="1:26">
      <c r="A10" s="19" t="s">
        <v>3446</v>
      </c>
      <c r="B10" s="10" t="s">
        <v>3116</v>
      </c>
      <c r="C10" s="10" t="s">
        <v>3117</v>
      </c>
      <c r="D10" s="10" t="s">
        <v>3828</v>
      </c>
      <c r="E10" s="8">
        <v>46223</v>
      </c>
      <c r="F10" s="9" t="s">
        <v>3118</v>
      </c>
      <c r="G10" s="9">
        <v>7</v>
      </c>
      <c r="H10" s="24">
        <v>2</v>
      </c>
      <c r="I10" s="24">
        <v>14</v>
      </c>
      <c r="J10" s="24">
        <v>6</v>
      </c>
      <c r="K10" s="106">
        <v>3795</v>
      </c>
      <c r="L10" s="12" t="s">
        <v>3821</v>
      </c>
      <c r="W10" s="6"/>
      <c r="X10" s="6"/>
      <c r="Y10" s="6"/>
      <c r="Z10" s="6"/>
    </row>
    <row r="11" spans="1:26">
      <c r="A11" s="19" t="s">
        <v>3446</v>
      </c>
      <c r="B11" s="10" t="s">
        <v>3116</v>
      </c>
      <c r="C11" s="10" t="s">
        <v>3690</v>
      </c>
      <c r="D11" s="10" t="s">
        <v>3829</v>
      </c>
      <c r="E11" s="8">
        <v>46224</v>
      </c>
      <c r="F11" s="9" t="s">
        <v>3691</v>
      </c>
      <c r="G11" s="9">
        <v>6</v>
      </c>
      <c r="H11" s="24">
        <v>12</v>
      </c>
      <c r="I11" s="24">
        <v>84</v>
      </c>
      <c r="J11" s="24">
        <v>24</v>
      </c>
      <c r="K11" s="106">
        <v>609</v>
      </c>
      <c r="L11" s="12" t="s">
        <v>3821</v>
      </c>
      <c r="W11" s="6"/>
      <c r="X11" s="6"/>
      <c r="Y11" s="6"/>
      <c r="Z11" s="6"/>
    </row>
    <row r="12" spans="1:26">
      <c r="A12" s="19" t="s">
        <v>3446</v>
      </c>
      <c r="B12" s="10" t="s">
        <v>3116</v>
      </c>
      <c r="C12" s="10" t="s">
        <v>3692</v>
      </c>
      <c r="D12" s="10" t="s">
        <v>3829</v>
      </c>
      <c r="E12" s="8">
        <v>46224</v>
      </c>
      <c r="F12" s="9" t="s">
        <v>3691</v>
      </c>
      <c r="G12" s="9">
        <v>6</v>
      </c>
      <c r="H12" s="24">
        <v>12</v>
      </c>
      <c r="I12" s="24">
        <v>84</v>
      </c>
      <c r="J12" s="24">
        <v>24</v>
      </c>
      <c r="K12" s="106">
        <v>609</v>
      </c>
      <c r="L12" s="12" t="s">
        <v>3821</v>
      </c>
      <c r="W12" s="6"/>
      <c r="X12" s="6"/>
      <c r="Y12" s="6"/>
      <c r="Z12" s="6"/>
    </row>
    <row r="13" spans="1:26">
      <c r="A13" s="19" t="s">
        <v>3446</v>
      </c>
      <c r="B13" s="10" t="s">
        <v>3663</v>
      </c>
      <c r="C13" s="10" t="s">
        <v>3682</v>
      </c>
      <c r="D13" s="10" t="s">
        <v>3828</v>
      </c>
      <c r="E13" s="8">
        <v>46224</v>
      </c>
      <c r="F13" s="9" t="s">
        <v>3683</v>
      </c>
      <c r="G13" s="9">
        <v>6</v>
      </c>
      <c r="H13" s="24">
        <v>2</v>
      </c>
      <c r="I13" s="24">
        <v>14</v>
      </c>
      <c r="J13" s="24">
        <v>4</v>
      </c>
      <c r="K13" s="106">
        <v>3795</v>
      </c>
      <c r="L13" s="12" t="s">
        <v>3821</v>
      </c>
      <c r="W13" s="6"/>
      <c r="X13" s="6"/>
      <c r="Y13" s="6"/>
      <c r="Z13" s="6"/>
    </row>
    <row r="14" spans="1:26">
      <c r="A14" s="372" t="s">
        <v>11</v>
      </c>
      <c r="B14" s="373" t="s">
        <v>2342</v>
      </c>
      <c r="C14" s="373" t="s">
        <v>2343</v>
      </c>
      <c r="D14" s="373" t="s">
        <v>3825</v>
      </c>
      <c r="E14" s="13">
        <v>46219</v>
      </c>
      <c r="F14" s="14" t="s">
        <v>2344</v>
      </c>
      <c r="G14" s="14">
        <v>11</v>
      </c>
      <c r="H14" s="29">
        <v>7.62</v>
      </c>
      <c r="I14" s="29">
        <v>53.34</v>
      </c>
      <c r="J14" s="29">
        <v>53.34</v>
      </c>
      <c r="K14" s="107">
        <v>399</v>
      </c>
      <c r="L14" s="15" t="s">
        <v>3821</v>
      </c>
      <c r="W14" s="6"/>
      <c r="X14" s="6"/>
      <c r="Y14" s="6"/>
      <c r="Z14" s="6"/>
    </row>
    <row r="71" spans="23:26">
      <c r="W71" s="6"/>
      <c r="X71" s="6"/>
      <c r="Y71" s="6"/>
      <c r="Z71" s="6"/>
    </row>
    <row r="72" spans="23:26">
      <c r="W72" s="6"/>
      <c r="X72" s="6"/>
      <c r="Y72" s="6"/>
      <c r="Z72" s="6"/>
    </row>
    <row r="73" spans="23:26">
      <c r="W73" s="6"/>
      <c r="X73" s="6"/>
      <c r="Y73" s="6"/>
      <c r="Z73" s="6"/>
    </row>
    <row r="74" spans="23:26">
      <c r="W74" s="6"/>
      <c r="X74" s="6"/>
      <c r="Y74" s="6"/>
      <c r="Z74" s="6"/>
    </row>
    <row r="75" spans="23:26">
      <c r="W75" s="6"/>
      <c r="X75" s="6"/>
      <c r="Y75" s="6"/>
      <c r="Z75" s="6"/>
    </row>
    <row r="76" spans="23:26">
      <c r="W76" s="6"/>
      <c r="X76" s="6"/>
      <c r="Y76" s="6"/>
      <c r="Z76" s="6"/>
    </row>
    <row r="77" spans="23:26">
      <c r="W77" s="6"/>
      <c r="X77" s="6"/>
      <c r="Y77" s="6"/>
      <c r="Z77" s="6"/>
    </row>
    <row r="78" spans="23:26">
      <c r="W78" s="6"/>
      <c r="X78" s="6"/>
      <c r="Y78" s="6"/>
      <c r="Z78" s="6"/>
    </row>
    <row r="79" spans="23:26">
      <c r="W79" s="6"/>
      <c r="X79" s="6"/>
      <c r="Y79" s="6"/>
      <c r="Z79" s="6"/>
    </row>
    <row r="80" spans="23:26">
      <c r="W80" s="6"/>
      <c r="X80" s="6"/>
      <c r="Y80" s="6"/>
      <c r="Z80" s="6"/>
    </row>
    <row r="81" spans="23:26">
      <c r="W81" s="6"/>
      <c r="X81" s="6"/>
      <c r="Y81" s="6"/>
      <c r="Z81" s="6"/>
    </row>
    <row r="82" spans="23:26">
      <c r="W82" s="6"/>
      <c r="X82" s="6"/>
      <c r="Y82" s="6"/>
      <c r="Z82" s="6"/>
    </row>
    <row r="83" spans="23:26">
      <c r="W83" s="6"/>
      <c r="X83" s="6"/>
      <c r="Y83" s="6"/>
      <c r="Z83" s="6"/>
    </row>
    <row r="84" spans="23:26">
      <c r="W84" s="6"/>
      <c r="X84" s="6"/>
      <c r="Y84" s="6"/>
      <c r="Z84" s="6"/>
    </row>
    <row r="85" spans="23:26">
      <c r="W85" s="6"/>
      <c r="X85" s="6"/>
      <c r="Y85" s="6"/>
      <c r="Z85" s="6"/>
    </row>
    <row r="86" spans="23:26">
      <c r="W86" s="6"/>
      <c r="X86" s="6"/>
      <c r="Y86" s="6"/>
      <c r="Z86" s="6"/>
    </row>
    <row r="87" spans="23:26">
      <c r="W87" s="6"/>
      <c r="X87" s="6"/>
      <c r="Y87" s="6"/>
      <c r="Z87" s="6"/>
    </row>
    <row r="88" spans="23:26">
      <c r="W88" s="6"/>
      <c r="X88" s="6"/>
      <c r="Y88" s="6"/>
      <c r="Z88" s="6"/>
    </row>
    <row r="89" spans="23:26">
      <c r="W89" s="6"/>
      <c r="X89" s="6"/>
      <c r="Y89" s="6"/>
      <c r="Z89" s="6"/>
    </row>
    <row r="90" spans="23:26">
      <c r="W90" s="6"/>
      <c r="X90" s="6"/>
      <c r="Y90" s="6"/>
      <c r="Z90" s="6"/>
    </row>
    <row r="91" spans="23:26">
      <c r="W91" s="6"/>
      <c r="X91" s="6"/>
      <c r="Y91" s="6"/>
      <c r="Z91" s="6"/>
    </row>
    <row r="92" spans="23:26">
      <c r="W92" s="6"/>
      <c r="X92" s="6"/>
      <c r="Y92" s="6"/>
      <c r="Z92" s="6"/>
    </row>
    <row r="93" spans="23:26">
      <c r="W93" s="6"/>
      <c r="X93" s="6"/>
      <c r="Y93" s="6"/>
      <c r="Z93" s="6"/>
    </row>
    <row r="94" spans="23:26">
      <c r="W94" s="6"/>
      <c r="X94" s="6"/>
      <c r="Y94" s="6"/>
      <c r="Z94" s="6"/>
    </row>
    <row r="95" spans="23:26">
      <c r="W95" s="6"/>
      <c r="X95" s="6"/>
      <c r="Y95" s="6"/>
      <c r="Z95" s="6"/>
    </row>
    <row r="96" spans="23:26">
      <c r="W96" s="6"/>
      <c r="X96" s="6"/>
      <c r="Y96" s="6"/>
      <c r="Z96" s="6"/>
    </row>
    <row r="97" spans="23:26">
      <c r="W97" s="6"/>
      <c r="X97" s="6"/>
      <c r="Y97" s="6"/>
      <c r="Z97" s="6"/>
    </row>
    <row r="98" spans="23:26">
      <c r="W98" s="6"/>
      <c r="X98" s="6"/>
      <c r="Y98" s="6"/>
      <c r="Z98" s="6"/>
    </row>
    <row r="99" spans="23:26">
      <c r="W99" s="6"/>
      <c r="X99" s="6"/>
      <c r="Y99" s="6"/>
      <c r="Z99" s="6"/>
    </row>
    <row r="100" spans="23:26">
      <c r="W100" s="6"/>
      <c r="X100" s="6"/>
      <c r="Y100" s="6"/>
      <c r="Z100" s="6"/>
    </row>
    <row r="101" spans="23:26">
      <c r="W101" s="6"/>
      <c r="X101" s="6"/>
      <c r="Y101" s="6"/>
      <c r="Z101" s="6"/>
    </row>
    <row r="102" spans="23:26">
      <c r="W102" s="6"/>
      <c r="X102" s="6"/>
      <c r="Y102" s="6"/>
      <c r="Z102" s="6"/>
    </row>
    <row r="103" spans="23:26">
      <c r="W103" s="6"/>
      <c r="X103" s="6"/>
      <c r="Y103" s="6"/>
      <c r="Z103" s="6"/>
    </row>
    <row r="104" spans="23:26">
      <c r="W104" s="6"/>
      <c r="X104" s="6"/>
      <c r="Y104" s="6"/>
      <c r="Z104" s="6"/>
    </row>
    <row r="105" spans="23:26">
      <c r="W105" s="6"/>
      <c r="X105" s="6"/>
      <c r="Y105" s="6"/>
      <c r="Z105" s="6"/>
    </row>
    <row r="106" spans="23:26">
      <c r="W106" s="6"/>
      <c r="X106" s="6"/>
      <c r="Y106" s="6"/>
      <c r="Z106" s="6"/>
    </row>
    <row r="107" spans="23:26">
      <c r="W107" s="6"/>
      <c r="X107" s="6"/>
      <c r="Y107" s="6"/>
      <c r="Z107" s="6"/>
    </row>
    <row r="108" spans="23:26">
      <c r="W108" s="6"/>
      <c r="X108" s="6"/>
      <c r="Y108" s="6"/>
      <c r="Z108" s="6"/>
    </row>
    <row r="109" spans="23:26">
      <c r="W109" s="6"/>
      <c r="X109" s="6"/>
      <c r="Y109" s="6"/>
      <c r="Z109" s="6"/>
    </row>
    <row r="110" spans="23:26">
      <c r="W110" s="6"/>
      <c r="X110" s="6"/>
      <c r="Y110" s="6"/>
      <c r="Z110" s="6"/>
    </row>
    <row r="111" spans="23:26">
      <c r="W111" s="6"/>
      <c r="X111" s="6"/>
      <c r="Y111" s="6"/>
      <c r="Z111" s="6"/>
    </row>
    <row r="112" spans="23:26">
      <c r="W112" s="6"/>
      <c r="X112" s="6"/>
      <c r="Y112" s="6"/>
      <c r="Z112" s="6"/>
    </row>
    <row r="113" spans="23:26">
      <c r="W113" s="6"/>
      <c r="X113" s="6"/>
      <c r="Y113" s="6"/>
      <c r="Z113" s="6"/>
    </row>
    <row r="114" spans="23:26">
      <c r="W114" s="6"/>
      <c r="X114" s="6"/>
      <c r="Y114" s="6"/>
      <c r="Z114" s="6"/>
    </row>
    <row r="115" spans="23:26">
      <c r="W115" s="6"/>
      <c r="X115" s="6"/>
      <c r="Y115" s="6"/>
      <c r="Z115" s="6"/>
    </row>
    <row r="116" spans="23:26">
      <c r="W116" s="6"/>
      <c r="X116" s="6"/>
      <c r="Y116" s="6"/>
      <c r="Z116" s="6"/>
    </row>
    <row r="117" spans="23:26">
      <c r="W117" s="6"/>
      <c r="X117" s="6"/>
      <c r="Y117" s="6"/>
      <c r="Z117" s="6"/>
    </row>
    <row r="118" spans="23:26">
      <c r="W118" s="6"/>
      <c r="X118" s="6"/>
      <c r="Y118" s="6"/>
      <c r="Z118" s="6"/>
    </row>
    <row r="119" spans="23:26">
      <c r="W119" s="6"/>
      <c r="X119" s="6"/>
      <c r="Y119" s="6"/>
      <c r="Z119" s="6"/>
    </row>
    <row r="120" spans="23:26">
      <c r="W120" s="6"/>
      <c r="X120" s="6"/>
      <c r="Y120" s="6"/>
      <c r="Z120" s="6"/>
    </row>
    <row r="121" spans="23:26">
      <c r="W121" s="6"/>
      <c r="X121" s="6"/>
      <c r="Y121" s="6"/>
      <c r="Z121" s="6"/>
    </row>
    <row r="122" spans="23:26">
      <c r="W122" s="6"/>
      <c r="X122" s="6"/>
      <c r="Y122" s="6"/>
      <c r="Z122" s="6"/>
    </row>
    <row r="123" spans="23:26">
      <c r="W123" s="6"/>
      <c r="X123" s="6"/>
      <c r="Y123" s="6"/>
      <c r="Z123" s="6"/>
    </row>
    <row r="124" spans="23:26">
      <c r="W124" s="6"/>
      <c r="X124" s="6"/>
      <c r="Y124" s="6"/>
      <c r="Z124" s="6"/>
    </row>
    <row r="125" spans="23:26">
      <c r="W125" s="6"/>
      <c r="X125" s="6"/>
      <c r="Y125" s="6"/>
      <c r="Z125" s="6"/>
    </row>
    <row r="126" spans="23:26">
      <c r="W126" s="6"/>
      <c r="X126" s="6"/>
      <c r="Y126" s="6"/>
      <c r="Z126" s="6"/>
    </row>
    <row r="127" spans="23:26">
      <c r="W127" s="6"/>
      <c r="X127" s="6"/>
      <c r="Y127" s="6"/>
      <c r="Z127" s="6"/>
    </row>
    <row r="128" spans="23:26">
      <c r="W128" s="6"/>
      <c r="X128" s="6"/>
      <c r="Y128" s="6"/>
      <c r="Z128" s="6"/>
    </row>
    <row r="129" spans="23:26">
      <c r="W129" s="6"/>
      <c r="X129" s="6"/>
      <c r="Y129" s="6"/>
      <c r="Z129" s="6"/>
    </row>
    <row r="130" spans="23:26">
      <c r="W130" s="6"/>
      <c r="X130" s="6"/>
      <c r="Y130" s="6"/>
      <c r="Z130" s="6"/>
    </row>
    <row r="131" spans="23:26">
      <c r="W131" s="6"/>
      <c r="X131" s="6"/>
      <c r="Y131" s="6"/>
      <c r="Z131" s="6"/>
    </row>
    <row r="132" spans="23:26">
      <c r="W132" s="6"/>
      <c r="X132" s="6"/>
      <c r="Y132" s="6"/>
      <c r="Z132" s="6"/>
    </row>
    <row r="133" spans="23:26">
      <c r="W133" s="6"/>
      <c r="X133" s="6"/>
      <c r="Y133" s="6"/>
      <c r="Z133" s="6"/>
    </row>
    <row r="134" spans="23:26">
      <c r="W134" s="6"/>
      <c r="X134" s="6"/>
      <c r="Y134" s="6"/>
      <c r="Z134" s="6"/>
    </row>
    <row r="135" spans="23:26">
      <c r="W135" s="6"/>
      <c r="X135" s="6"/>
      <c r="Y135" s="6"/>
      <c r="Z135" s="6"/>
    </row>
    <row r="136" spans="23:26">
      <c r="W136" s="6"/>
      <c r="X136" s="6"/>
      <c r="Y136" s="6"/>
      <c r="Z136" s="6"/>
    </row>
    <row r="137" spans="23:26">
      <c r="W137" s="6"/>
      <c r="X137" s="6"/>
      <c r="Y137" s="6"/>
      <c r="Z137" s="6"/>
    </row>
    <row r="138" spans="23:26">
      <c r="W138" s="6"/>
      <c r="X138" s="6"/>
      <c r="Y138" s="6"/>
      <c r="Z138" s="6"/>
    </row>
    <row r="139" spans="23:26">
      <c r="W139" s="6"/>
      <c r="X139" s="6"/>
      <c r="Y139" s="6"/>
      <c r="Z139" s="6"/>
    </row>
    <row r="140" spans="23:26">
      <c r="W140" s="6"/>
      <c r="X140" s="6"/>
      <c r="Y140" s="6"/>
      <c r="Z140" s="6"/>
    </row>
    <row r="141" spans="23:26">
      <c r="W141" s="6"/>
      <c r="X141" s="6"/>
      <c r="Y141" s="6"/>
      <c r="Z141" s="6"/>
    </row>
    <row r="142" spans="23:26">
      <c r="W142" s="6"/>
      <c r="X142" s="6"/>
      <c r="Y142" s="6"/>
      <c r="Z142" s="6"/>
    </row>
    <row r="143" spans="23:26">
      <c r="W143" s="6"/>
      <c r="X143" s="6"/>
      <c r="Y143" s="6"/>
      <c r="Z143" s="6"/>
    </row>
    <row r="144" spans="23:26">
      <c r="W144" s="6"/>
      <c r="X144" s="6"/>
      <c r="Y144" s="6"/>
      <c r="Z144" s="6"/>
    </row>
    <row r="145" spans="23:26">
      <c r="W145" s="6"/>
      <c r="X145" s="6"/>
      <c r="Y145" s="6"/>
      <c r="Z145" s="6"/>
    </row>
    <row r="146" spans="23:26">
      <c r="W146" s="6"/>
      <c r="X146" s="6"/>
      <c r="Y146" s="6"/>
      <c r="Z146" s="6"/>
    </row>
    <row r="147" spans="23:26">
      <c r="W147" s="6"/>
      <c r="X147" s="6"/>
      <c r="Y147" s="6"/>
      <c r="Z147" s="6"/>
    </row>
    <row r="148" spans="23:26">
      <c r="W148" s="6"/>
      <c r="X148" s="6"/>
      <c r="Y148" s="6"/>
      <c r="Z148" s="6"/>
    </row>
    <row r="149" spans="23:26">
      <c r="W149" s="6"/>
      <c r="X149" s="6"/>
      <c r="Y149" s="6"/>
      <c r="Z149" s="6"/>
    </row>
    <row r="150" spans="23:26">
      <c r="W150" s="6"/>
      <c r="X150" s="6"/>
      <c r="Y150" s="6"/>
      <c r="Z150" s="6"/>
    </row>
    <row r="151" spans="23:26">
      <c r="W151" s="6"/>
      <c r="X151" s="6"/>
      <c r="Y151" s="6"/>
      <c r="Z151" s="6"/>
    </row>
    <row r="152" spans="23:26">
      <c r="W152" s="6"/>
      <c r="X152" s="6"/>
      <c r="Y152" s="6"/>
      <c r="Z152" s="6"/>
    </row>
    <row r="153" spans="23:26">
      <c r="W153" s="6"/>
      <c r="X153" s="6"/>
      <c r="Y153" s="6"/>
      <c r="Z153" s="6"/>
    </row>
    <row r="154" spans="23:26">
      <c r="W154" s="6"/>
      <c r="X154" s="6"/>
      <c r="Y154" s="6"/>
      <c r="Z154" s="6"/>
    </row>
    <row r="155" spans="23:26">
      <c r="W155" s="6"/>
      <c r="X155" s="6"/>
      <c r="Y155" s="6"/>
      <c r="Z155" s="6"/>
    </row>
    <row r="156" spans="23:26">
      <c r="W156" s="6"/>
      <c r="X156" s="6"/>
      <c r="Y156" s="6"/>
      <c r="Z156" s="6"/>
    </row>
    <row r="157" spans="23:26">
      <c r="W157" s="6"/>
      <c r="X157" s="6"/>
      <c r="Y157" s="6"/>
      <c r="Z157" s="6"/>
    </row>
    <row r="158" spans="23:26">
      <c r="W158" s="6"/>
      <c r="X158" s="6"/>
      <c r="Y158" s="6"/>
      <c r="Z158" s="6"/>
    </row>
    <row r="159" spans="23:26">
      <c r="W159" s="6"/>
      <c r="X159" s="6"/>
      <c r="Y159" s="6"/>
      <c r="Z159" s="6"/>
    </row>
    <row r="160" spans="23:26">
      <c r="W160" s="6"/>
      <c r="X160" s="6"/>
      <c r="Y160" s="6"/>
      <c r="Z160" s="6"/>
    </row>
    <row r="161" spans="23:26">
      <c r="W161" s="6"/>
      <c r="X161" s="6"/>
      <c r="Y161" s="6"/>
      <c r="Z161" s="6"/>
    </row>
    <row r="162" spans="23:26">
      <c r="W162" s="6"/>
      <c r="X162" s="6"/>
      <c r="Y162" s="6"/>
      <c r="Z162" s="6"/>
    </row>
    <row r="163" spans="23:26">
      <c r="W163" s="6"/>
      <c r="X163" s="6"/>
      <c r="Y163" s="6"/>
      <c r="Z163" s="6"/>
    </row>
    <row r="164" spans="23:26">
      <c r="W164" s="6"/>
      <c r="X164" s="6"/>
      <c r="Y164" s="6"/>
      <c r="Z164" s="6"/>
    </row>
    <row r="165" spans="23:26">
      <c r="W165" s="6"/>
      <c r="X165" s="6"/>
      <c r="Y165" s="6"/>
      <c r="Z165" s="6"/>
    </row>
    <row r="166" spans="23:26">
      <c r="W166" s="6"/>
      <c r="X166" s="6"/>
      <c r="Y166" s="6"/>
      <c r="Z166" s="6"/>
    </row>
    <row r="167" spans="23:26">
      <c r="W167" s="6"/>
      <c r="X167" s="6"/>
      <c r="Y167" s="6"/>
      <c r="Z167" s="6"/>
    </row>
    <row r="168" spans="23:26">
      <c r="W168" s="6"/>
      <c r="X168" s="6"/>
      <c r="Y168" s="6"/>
      <c r="Z168" s="6"/>
    </row>
    <row r="169" spans="23:26">
      <c r="W169" s="6"/>
      <c r="X169" s="6"/>
      <c r="Y169" s="6"/>
      <c r="Z169" s="6"/>
    </row>
    <row r="170" spans="23:26">
      <c r="W170" s="6"/>
      <c r="X170" s="6"/>
      <c r="Y170" s="6"/>
      <c r="Z170" s="6"/>
    </row>
    <row r="171" spans="23:26">
      <c r="W171" s="6"/>
      <c r="X171" s="6"/>
      <c r="Y171" s="6"/>
      <c r="Z171" s="6"/>
    </row>
    <row r="172" spans="23:26">
      <c r="W172" s="6"/>
      <c r="X172" s="6"/>
      <c r="Y172" s="6"/>
      <c r="Z172" s="6"/>
    </row>
    <row r="173" spans="23:26">
      <c r="W173" s="6"/>
      <c r="X173" s="6"/>
      <c r="Y173" s="6"/>
      <c r="Z173" s="6"/>
    </row>
    <row r="174" spans="23:26">
      <c r="W174" s="6"/>
      <c r="X174" s="6"/>
      <c r="Y174" s="6"/>
      <c r="Z174" s="6"/>
    </row>
    <row r="175" spans="23:26">
      <c r="W175" s="6"/>
      <c r="X175" s="6"/>
      <c r="Y175" s="6"/>
      <c r="Z175" s="6"/>
    </row>
    <row r="176" spans="23:26">
      <c r="W176" s="6"/>
      <c r="X176" s="6"/>
      <c r="Y176" s="6"/>
      <c r="Z176" s="6"/>
    </row>
    <row r="177" spans="23:26">
      <c r="W177" s="6"/>
      <c r="X177" s="6"/>
      <c r="Y177" s="6"/>
      <c r="Z177" s="6"/>
    </row>
    <row r="178" spans="23:26">
      <c r="W178" s="6"/>
      <c r="X178" s="6"/>
      <c r="Y178" s="6"/>
      <c r="Z178" s="6"/>
    </row>
    <row r="179" spans="23:26">
      <c r="W179" s="6"/>
      <c r="X179" s="6"/>
      <c r="Y179" s="6"/>
      <c r="Z179" s="6"/>
    </row>
    <row r="180" spans="23:26">
      <c r="W180" s="6"/>
      <c r="X180" s="6"/>
      <c r="Y180" s="6"/>
      <c r="Z180" s="6"/>
    </row>
    <row r="181" spans="23:26">
      <c r="W181" s="6"/>
      <c r="X181" s="6"/>
      <c r="Y181" s="6"/>
      <c r="Z181" s="6"/>
    </row>
    <row r="182" spans="23:26">
      <c r="W182" s="6"/>
      <c r="X182" s="6"/>
      <c r="Y182" s="6"/>
      <c r="Z182" s="6"/>
    </row>
    <row r="183" spans="23:26">
      <c r="W183" s="6"/>
      <c r="X183" s="6"/>
      <c r="Y183" s="6"/>
      <c r="Z183" s="6"/>
    </row>
    <row r="184" spans="23:26">
      <c r="W184" s="6"/>
      <c r="X184" s="6"/>
      <c r="Y184" s="6"/>
      <c r="Z184" s="6"/>
    </row>
    <row r="185" spans="23:26">
      <c r="W185" s="6"/>
      <c r="X185" s="6"/>
      <c r="Y185" s="6"/>
      <c r="Z185" s="6"/>
    </row>
    <row r="186" spans="23:26">
      <c r="W186" s="6"/>
      <c r="X186" s="6"/>
      <c r="Y186" s="6"/>
      <c r="Z186" s="6"/>
    </row>
    <row r="187" spans="23:26">
      <c r="W187" s="6"/>
      <c r="X187" s="6"/>
      <c r="Y187" s="6"/>
      <c r="Z187" s="6"/>
    </row>
    <row r="188" spans="23:26">
      <c r="W188" s="6"/>
      <c r="X188" s="6"/>
      <c r="Y188" s="6"/>
      <c r="Z188" s="6"/>
    </row>
    <row r="189" spans="23:26">
      <c r="W189" s="6"/>
      <c r="X189" s="6"/>
      <c r="Y189" s="6"/>
      <c r="Z189" s="6"/>
    </row>
    <row r="190" spans="23:26">
      <c r="W190" s="6"/>
      <c r="X190" s="6"/>
      <c r="Y190" s="6"/>
      <c r="Z190" s="6"/>
    </row>
    <row r="191" spans="23:26">
      <c r="W191" s="6"/>
      <c r="X191" s="6"/>
      <c r="Y191" s="6"/>
      <c r="Z191" s="6"/>
    </row>
    <row r="192" spans="23:26">
      <c r="W192" s="6"/>
      <c r="X192" s="6"/>
      <c r="Y192" s="6"/>
      <c r="Z192" s="6"/>
    </row>
    <row r="193" spans="23:26">
      <c r="W193" s="6"/>
      <c r="X193" s="6"/>
      <c r="Y193" s="6"/>
      <c r="Z193" s="6"/>
    </row>
    <row r="194" spans="23:26">
      <c r="W194" s="6"/>
      <c r="X194" s="6"/>
      <c r="Y194" s="6"/>
      <c r="Z194" s="6"/>
    </row>
    <row r="195" spans="23:26">
      <c r="W195" s="6"/>
      <c r="X195" s="6"/>
      <c r="Y195" s="6"/>
      <c r="Z195" s="6"/>
    </row>
    <row r="196" spans="23:26">
      <c r="W196" s="6"/>
      <c r="X196" s="6"/>
      <c r="Y196" s="6"/>
      <c r="Z196" s="6"/>
    </row>
    <row r="197" spans="23:26">
      <c r="W197" s="6"/>
      <c r="X197" s="6"/>
      <c r="Y197" s="6"/>
      <c r="Z197" s="6"/>
    </row>
    <row r="198" spans="23:26">
      <c r="W198" s="6"/>
      <c r="X198" s="6"/>
      <c r="Y198" s="6"/>
      <c r="Z198" s="6"/>
    </row>
    <row r="199" spans="23:26">
      <c r="W199" s="6"/>
      <c r="X199" s="6"/>
      <c r="Y199" s="6"/>
      <c r="Z199" s="6"/>
    </row>
    <row r="200" spans="23:26">
      <c r="W200" s="6"/>
      <c r="X200" s="6"/>
      <c r="Y200" s="6"/>
      <c r="Z200" s="6"/>
    </row>
    <row r="201" spans="23:26">
      <c r="W201" s="6"/>
      <c r="X201" s="6"/>
      <c r="Y201" s="6"/>
      <c r="Z201" s="6"/>
    </row>
    <row r="202" spans="23:26">
      <c r="W202" s="6"/>
      <c r="X202" s="6"/>
      <c r="Y202" s="6"/>
      <c r="Z202" s="6"/>
    </row>
    <row r="203" spans="23:26">
      <c r="W203" s="6"/>
      <c r="X203" s="6"/>
      <c r="Y203" s="6"/>
      <c r="Z203" s="6"/>
    </row>
    <row r="204" spans="23:26">
      <c r="W204" s="6"/>
      <c r="X204" s="6"/>
      <c r="Y204" s="6"/>
      <c r="Z204" s="6"/>
    </row>
    <row r="205" spans="23:26">
      <c r="W205" s="6"/>
      <c r="X205" s="6"/>
      <c r="Y205" s="6"/>
      <c r="Z205" s="6"/>
    </row>
    <row r="206" spans="23:26">
      <c r="W206" s="6"/>
      <c r="X206" s="6"/>
      <c r="Y206" s="6"/>
      <c r="Z206" s="6"/>
    </row>
    <row r="207" spans="23:26">
      <c r="W207" s="6"/>
      <c r="X207" s="6"/>
      <c r="Y207" s="6"/>
      <c r="Z207" s="6"/>
    </row>
    <row r="208" spans="23:26">
      <c r="W208" s="6"/>
      <c r="X208" s="6"/>
      <c r="Y208" s="6"/>
      <c r="Z208" s="6"/>
    </row>
    <row r="209" spans="23:26">
      <c r="W209" s="6"/>
      <c r="X209" s="6"/>
      <c r="Y209" s="6"/>
      <c r="Z209" s="6"/>
    </row>
    <row r="210" spans="23:26">
      <c r="W210" s="6"/>
      <c r="X210" s="6"/>
      <c r="Y210" s="6"/>
      <c r="Z210" s="6"/>
    </row>
    <row r="211" spans="23:26">
      <c r="W211" s="6"/>
      <c r="X211" s="6"/>
      <c r="Y211" s="6"/>
      <c r="Z211" s="6"/>
    </row>
    <row r="212" spans="23:26">
      <c r="W212" s="6"/>
      <c r="X212" s="6"/>
      <c r="Y212" s="6"/>
      <c r="Z212" s="6"/>
    </row>
    <row r="213" spans="23:26">
      <c r="W213" s="6"/>
      <c r="X213" s="6"/>
      <c r="Y213" s="6"/>
      <c r="Z213" s="6"/>
    </row>
    <row r="214" spans="23:26">
      <c r="W214" s="6"/>
      <c r="X214" s="6"/>
      <c r="Y214" s="6"/>
      <c r="Z214" s="6"/>
    </row>
    <row r="215" spans="23:26">
      <c r="W215" s="6"/>
      <c r="X215" s="6"/>
      <c r="Y215" s="6"/>
      <c r="Z215" s="6"/>
    </row>
    <row r="216" spans="23:26">
      <c r="W216" s="6"/>
      <c r="X216" s="6"/>
      <c r="Y216" s="6"/>
      <c r="Z216" s="6"/>
    </row>
    <row r="217" spans="23:26">
      <c r="W217" s="6"/>
      <c r="X217" s="6"/>
      <c r="Y217" s="6"/>
      <c r="Z217" s="6"/>
    </row>
    <row r="218" spans="23:26">
      <c r="W218" s="6"/>
      <c r="X218" s="6"/>
      <c r="Y218" s="6"/>
      <c r="Z218" s="6"/>
    </row>
    <row r="219" spans="23:26">
      <c r="W219" s="6"/>
      <c r="X219" s="6"/>
      <c r="Y219" s="6"/>
      <c r="Z219" s="6"/>
    </row>
    <row r="220" spans="23:26">
      <c r="W220" s="6"/>
      <c r="X220" s="6"/>
      <c r="Y220" s="6"/>
      <c r="Z220" s="6"/>
    </row>
    <row r="221" spans="23:26">
      <c r="W221" s="6"/>
      <c r="X221" s="6"/>
      <c r="Y221" s="6"/>
      <c r="Z221" s="6"/>
    </row>
    <row r="222" spans="23:26">
      <c r="W222" s="6"/>
      <c r="X222" s="6"/>
      <c r="Y222" s="6"/>
      <c r="Z222" s="6"/>
    </row>
    <row r="223" spans="23:26">
      <c r="W223" s="6"/>
      <c r="X223" s="6"/>
      <c r="Y223" s="6"/>
      <c r="Z223" s="6"/>
    </row>
    <row r="224" spans="23:26">
      <c r="W224" s="6"/>
      <c r="X224" s="6"/>
      <c r="Y224" s="6"/>
      <c r="Z224" s="6"/>
    </row>
    <row r="225" spans="23:26">
      <c r="W225" s="6"/>
      <c r="X225" s="6"/>
      <c r="Y225" s="6"/>
      <c r="Z225" s="6"/>
    </row>
    <row r="226" spans="23:26">
      <c r="W226" s="6"/>
      <c r="X226" s="6"/>
      <c r="Y226" s="6"/>
      <c r="Z226" s="6"/>
    </row>
    <row r="227" spans="23:26">
      <c r="W227" s="6"/>
      <c r="X227" s="6"/>
      <c r="Y227" s="6"/>
      <c r="Z227" s="6"/>
    </row>
    <row r="228" spans="23:26">
      <c r="W228" s="6"/>
      <c r="X228" s="6"/>
      <c r="Y228" s="6"/>
      <c r="Z228" s="6"/>
    </row>
    <row r="229" spans="23:26">
      <c r="W229" s="6"/>
      <c r="X229" s="6"/>
      <c r="Y229" s="6"/>
      <c r="Z229" s="6"/>
    </row>
    <row r="230" spans="23:26">
      <c r="W230" s="6"/>
      <c r="X230" s="6"/>
      <c r="Y230" s="6"/>
      <c r="Z230" s="6"/>
    </row>
    <row r="231" spans="23:26">
      <c r="W231" s="6"/>
      <c r="X231" s="6"/>
      <c r="Y231" s="6"/>
      <c r="Z231" s="6"/>
    </row>
    <row r="232" spans="23:26">
      <c r="W232" s="6"/>
      <c r="X232" s="6"/>
      <c r="Y232" s="6"/>
      <c r="Z232" s="6"/>
    </row>
    <row r="233" spans="23:26">
      <c r="W233" s="6"/>
      <c r="X233" s="6"/>
      <c r="Y233" s="6"/>
      <c r="Z233" s="6"/>
    </row>
    <row r="234" spans="23:26">
      <c r="W234" s="6"/>
      <c r="X234" s="6"/>
      <c r="Y234" s="6"/>
      <c r="Z234" s="6"/>
    </row>
    <row r="235" spans="23:26">
      <c r="W235" s="6"/>
      <c r="X235" s="6"/>
      <c r="Y235" s="6"/>
      <c r="Z235" s="6"/>
    </row>
    <row r="236" spans="23:26">
      <c r="W236" s="6"/>
      <c r="X236" s="6"/>
      <c r="Y236" s="6"/>
      <c r="Z236" s="6"/>
    </row>
    <row r="237" spans="23:26">
      <c r="W237" s="6"/>
      <c r="X237" s="6"/>
      <c r="Y237" s="6"/>
      <c r="Z237" s="6"/>
    </row>
    <row r="238" spans="23:26">
      <c r="W238" s="6"/>
      <c r="X238" s="6"/>
      <c r="Y238" s="6"/>
      <c r="Z238" s="6"/>
    </row>
    <row r="239" spans="23:26">
      <c r="W239" s="6"/>
      <c r="X239" s="6"/>
      <c r="Y239" s="6"/>
      <c r="Z239" s="6"/>
    </row>
    <row r="240" spans="23:26">
      <c r="W240" s="6"/>
      <c r="X240" s="6"/>
      <c r="Y240" s="6"/>
      <c r="Z240" s="6"/>
    </row>
    <row r="241" spans="23:26">
      <c r="W241" s="6"/>
      <c r="X241" s="6"/>
      <c r="Y241" s="6"/>
      <c r="Z241" s="6"/>
    </row>
    <row r="242" spans="23:26">
      <c r="W242" s="6"/>
      <c r="X242" s="6"/>
      <c r="Y242" s="6"/>
      <c r="Z242" s="6"/>
    </row>
    <row r="243" spans="23:26">
      <c r="W243" s="6"/>
      <c r="X243" s="6"/>
      <c r="Y243" s="6"/>
      <c r="Z243" s="6"/>
    </row>
    <row r="244" spans="23:26">
      <c r="W244" s="6"/>
      <c r="X244" s="6"/>
      <c r="Y244" s="6"/>
      <c r="Z244" s="6"/>
    </row>
    <row r="245" spans="23:26">
      <c r="W245" s="6"/>
      <c r="X245" s="6"/>
      <c r="Y245" s="6"/>
      <c r="Z245" s="6"/>
    </row>
    <row r="246" spans="23:26">
      <c r="W246" s="6"/>
      <c r="X246" s="6"/>
      <c r="Y246" s="6"/>
      <c r="Z246" s="6"/>
    </row>
    <row r="247" spans="23:26">
      <c r="W247" s="6"/>
      <c r="X247" s="6"/>
      <c r="Y247" s="6"/>
      <c r="Z247" s="6"/>
    </row>
    <row r="248" spans="23:26">
      <c r="W248" s="6"/>
      <c r="X248" s="6"/>
      <c r="Y248" s="6"/>
      <c r="Z248" s="6"/>
    </row>
    <row r="249" spans="23:26">
      <c r="W249" s="6"/>
      <c r="X249" s="6"/>
      <c r="Y249" s="6"/>
      <c r="Z249" s="6"/>
    </row>
    <row r="250" spans="23:26">
      <c r="W250" s="6"/>
      <c r="X250" s="6"/>
      <c r="Y250" s="6"/>
      <c r="Z250" s="6"/>
    </row>
    <row r="251" spans="23:26">
      <c r="W251" s="6"/>
      <c r="X251" s="6"/>
      <c r="Y251" s="6"/>
      <c r="Z251" s="6"/>
    </row>
    <row r="252" spans="23:26">
      <c r="W252" s="6"/>
      <c r="X252" s="6"/>
      <c r="Y252" s="6"/>
      <c r="Z252" s="6"/>
    </row>
    <row r="253" spans="23:26">
      <c r="W253" s="6"/>
      <c r="X253" s="6"/>
      <c r="Y253" s="6"/>
      <c r="Z253" s="6"/>
    </row>
    <row r="254" spans="23:26">
      <c r="W254" s="6"/>
      <c r="X254" s="6"/>
      <c r="Y254" s="6"/>
      <c r="Z254" s="6"/>
    </row>
    <row r="255" spans="23:26">
      <c r="W255" s="6"/>
      <c r="X255" s="6"/>
      <c r="Y255" s="6"/>
      <c r="Z255" s="6"/>
    </row>
    <row r="256" spans="23:26">
      <c r="W256" s="6"/>
      <c r="X256" s="6"/>
      <c r="Y256" s="6"/>
      <c r="Z256" s="6"/>
    </row>
    <row r="257" spans="23:26">
      <c r="W257" s="6"/>
      <c r="X257" s="6"/>
      <c r="Y257" s="6"/>
      <c r="Z257" s="6"/>
    </row>
    <row r="258" spans="23:26">
      <c r="W258" s="6"/>
      <c r="X258" s="6"/>
      <c r="Y258" s="6"/>
      <c r="Z258" s="6"/>
    </row>
    <row r="259" spans="23:26">
      <c r="W259" s="6"/>
      <c r="X259" s="6"/>
      <c r="Y259" s="6"/>
      <c r="Z259" s="6"/>
    </row>
    <row r="260" spans="23:26">
      <c r="W260" s="6"/>
      <c r="X260" s="6"/>
      <c r="Y260" s="6"/>
      <c r="Z260" s="6"/>
    </row>
    <row r="261" spans="23:26">
      <c r="W261" s="6"/>
      <c r="X261" s="6"/>
      <c r="Y261" s="6"/>
      <c r="Z261" s="6"/>
    </row>
    <row r="262" spans="23:26">
      <c r="W262" s="6"/>
      <c r="X262" s="6"/>
      <c r="Y262" s="6"/>
      <c r="Z262" s="6"/>
    </row>
    <row r="263" spans="23:26">
      <c r="W263" s="6"/>
      <c r="X263" s="6"/>
      <c r="Y263" s="6"/>
      <c r="Z263" s="6"/>
    </row>
    <row r="264" spans="23:26">
      <c r="W264" s="6"/>
      <c r="X264" s="6"/>
      <c r="Y264" s="6"/>
      <c r="Z264" s="6"/>
    </row>
    <row r="265" spans="23:26">
      <c r="W265" s="6"/>
      <c r="X265" s="6"/>
      <c r="Y265" s="6"/>
      <c r="Z265" s="6"/>
    </row>
    <row r="266" spans="23:26">
      <c r="W266" s="6"/>
      <c r="X266" s="6"/>
      <c r="Y266" s="6"/>
      <c r="Z266" s="6"/>
    </row>
    <row r="267" spans="23:26">
      <c r="W267" s="6"/>
      <c r="X267" s="6"/>
      <c r="Y267" s="6"/>
      <c r="Z267" s="6"/>
    </row>
    <row r="268" spans="23:26">
      <c r="W268" s="6"/>
      <c r="X268" s="6"/>
      <c r="Y268" s="6"/>
      <c r="Z268" s="6"/>
    </row>
    <row r="269" spans="23:26">
      <c r="W269" s="6"/>
      <c r="X269" s="6"/>
      <c r="Y269" s="6"/>
      <c r="Z269" s="6"/>
    </row>
    <row r="270" spans="23:26">
      <c r="W270" s="6"/>
      <c r="X270" s="6"/>
      <c r="Y270" s="6"/>
      <c r="Z270" s="6"/>
    </row>
    <row r="271" spans="23:26">
      <c r="W271" s="6"/>
      <c r="X271" s="6"/>
      <c r="Y271" s="6"/>
      <c r="Z271" s="6"/>
    </row>
    <row r="272" spans="23:26">
      <c r="W272" s="6"/>
      <c r="X272" s="6"/>
      <c r="Y272" s="6"/>
      <c r="Z272" s="6"/>
    </row>
    <row r="273" spans="23:26">
      <c r="W273" s="6"/>
      <c r="X273" s="6"/>
      <c r="Y273" s="6"/>
      <c r="Z273" s="6"/>
    </row>
    <row r="274" spans="23:26">
      <c r="W274" s="6"/>
      <c r="X274" s="6"/>
      <c r="Y274" s="6"/>
      <c r="Z274" s="6"/>
    </row>
    <row r="275" spans="23:26">
      <c r="W275" s="6"/>
      <c r="X275" s="6"/>
      <c r="Y275" s="6"/>
      <c r="Z275" s="6"/>
    </row>
    <row r="276" spans="23:26">
      <c r="W276" s="6"/>
      <c r="X276" s="6"/>
      <c r="Y276" s="6"/>
      <c r="Z276" s="6"/>
    </row>
    <row r="277" spans="23:26">
      <c r="W277" s="6"/>
      <c r="X277" s="6"/>
      <c r="Y277" s="6"/>
      <c r="Z277" s="6"/>
    </row>
    <row r="278" spans="23:26">
      <c r="W278" s="6"/>
      <c r="X278" s="6"/>
      <c r="Y278" s="6"/>
      <c r="Z278" s="6"/>
    </row>
    <row r="279" spans="23:26">
      <c r="W279" s="6"/>
      <c r="X279" s="6"/>
      <c r="Y279" s="6"/>
      <c r="Z279" s="6"/>
    </row>
    <row r="280" spans="23:26">
      <c r="W280" s="6"/>
      <c r="X280" s="6"/>
      <c r="Y280" s="6"/>
      <c r="Z280" s="6"/>
    </row>
    <row r="281" spans="23:26">
      <c r="W281" s="6"/>
      <c r="X281" s="6"/>
      <c r="Y281" s="6"/>
      <c r="Z281" s="6"/>
    </row>
    <row r="282" spans="23:26">
      <c r="W282" s="6"/>
      <c r="X282" s="6"/>
      <c r="Y282" s="6"/>
      <c r="Z282" s="6"/>
    </row>
    <row r="283" spans="23:26">
      <c r="W283" s="6"/>
      <c r="X283" s="6"/>
      <c r="Y283" s="6"/>
      <c r="Z283" s="6"/>
    </row>
    <row r="284" spans="23:26">
      <c r="W284" s="6"/>
      <c r="X284" s="6"/>
      <c r="Y284" s="6"/>
      <c r="Z284" s="6"/>
    </row>
    <row r="285" spans="23:26">
      <c r="W285" s="6"/>
      <c r="X285" s="6"/>
      <c r="Y285" s="6"/>
      <c r="Z285" s="6"/>
    </row>
    <row r="286" spans="23:26">
      <c r="W286" s="6"/>
      <c r="X286" s="6"/>
      <c r="Y286" s="6"/>
      <c r="Z286" s="6"/>
    </row>
    <row r="287" spans="23:26">
      <c r="W287" s="6"/>
      <c r="X287" s="6"/>
      <c r="Y287" s="6"/>
      <c r="Z287" s="6"/>
    </row>
    <row r="288" spans="23:26">
      <c r="W288" s="6"/>
      <c r="X288" s="6"/>
      <c r="Y288" s="6"/>
      <c r="Z288" s="6"/>
    </row>
    <row r="289" spans="23:26">
      <c r="W289" s="6"/>
      <c r="X289" s="6"/>
      <c r="Y289" s="6"/>
      <c r="Z289" s="6"/>
    </row>
    <row r="290" spans="23:26">
      <c r="W290" s="6"/>
      <c r="X290" s="6"/>
      <c r="Y290" s="6"/>
      <c r="Z290" s="6"/>
    </row>
    <row r="291" spans="23:26">
      <c r="W291" s="6"/>
      <c r="X291" s="6"/>
      <c r="Y291" s="6"/>
      <c r="Z291" s="6"/>
    </row>
    <row r="292" spans="23:26">
      <c r="W292" s="6"/>
      <c r="X292" s="6"/>
      <c r="Y292" s="6"/>
      <c r="Z292" s="6"/>
    </row>
    <row r="293" spans="23:26">
      <c r="W293" s="6"/>
      <c r="X293" s="6"/>
      <c r="Y293" s="6"/>
      <c r="Z293" s="6"/>
    </row>
    <row r="294" spans="23:26">
      <c r="W294" s="6"/>
      <c r="X294" s="6"/>
      <c r="Y294" s="6"/>
      <c r="Z294" s="6"/>
    </row>
    <row r="295" spans="23:26">
      <c r="W295" s="6"/>
      <c r="X295" s="6"/>
      <c r="Y295" s="6"/>
      <c r="Z295" s="6"/>
    </row>
    <row r="296" spans="23:26">
      <c r="W296" s="6"/>
      <c r="X296" s="6"/>
      <c r="Y296" s="6"/>
      <c r="Z296" s="6"/>
    </row>
    <row r="297" spans="23:26">
      <c r="W297" s="6"/>
      <c r="X297" s="6"/>
      <c r="Y297" s="6"/>
      <c r="Z297" s="6"/>
    </row>
    <row r="298" spans="23:26">
      <c r="W298" s="6"/>
      <c r="X298" s="6"/>
      <c r="Y298" s="6"/>
      <c r="Z298" s="6"/>
    </row>
    <row r="299" spans="23:26">
      <c r="W299" s="6"/>
      <c r="X299" s="6"/>
      <c r="Y299" s="6"/>
      <c r="Z299" s="6"/>
    </row>
    <row r="300" spans="23:26">
      <c r="W300" s="6"/>
      <c r="X300" s="6"/>
      <c r="Y300" s="6"/>
      <c r="Z300" s="6"/>
    </row>
    <row r="301" spans="23:26">
      <c r="W301" s="6"/>
      <c r="X301" s="6"/>
      <c r="Y301" s="6"/>
      <c r="Z301" s="6"/>
    </row>
    <row r="302" spans="23:26">
      <c r="W302" s="6"/>
      <c r="X302" s="6"/>
      <c r="Y302" s="6"/>
      <c r="Z302" s="6"/>
    </row>
    <row r="303" spans="23:26">
      <c r="W303" s="6"/>
      <c r="X303" s="6"/>
      <c r="Y303" s="6"/>
      <c r="Z303" s="6"/>
    </row>
    <row r="304" spans="23:26">
      <c r="W304" s="6"/>
      <c r="X304" s="6"/>
      <c r="Y304" s="6"/>
      <c r="Z304" s="6"/>
    </row>
    <row r="305" spans="23:26">
      <c r="W305" s="6"/>
      <c r="X305" s="6"/>
      <c r="Y305" s="6"/>
      <c r="Z305" s="6"/>
    </row>
    <row r="306" spans="23:26">
      <c r="W306" s="6"/>
      <c r="X306" s="6"/>
      <c r="Y306" s="6"/>
      <c r="Z306" s="6"/>
    </row>
    <row r="307" spans="23:26">
      <c r="W307" s="6"/>
      <c r="X307" s="6"/>
      <c r="Y307" s="6"/>
      <c r="Z307" s="6"/>
    </row>
    <row r="308" spans="23:26">
      <c r="W308" s="6"/>
      <c r="X308" s="6"/>
      <c r="Y308" s="6"/>
      <c r="Z308" s="6"/>
    </row>
    <row r="309" spans="23:26">
      <c r="W309" s="6"/>
      <c r="X309" s="6"/>
      <c r="Y309" s="6"/>
      <c r="Z309" s="6"/>
    </row>
    <row r="310" spans="23:26">
      <c r="W310" s="6"/>
      <c r="X310" s="6"/>
      <c r="Y310" s="6"/>
      <c r="Z310" s="6"/>
    </row>
    <row r="311" spans="23:26">
      <c r="W311" s="6"/>
      <c r="X311" s="6"/>
      <c r="Y311" s="6"/>
      <c r="Z311" s="6"/>
    </row>
    <row r="312" spans="23:26">
      <c r="W312" s="6"/>
      <c r="X312" s="6"/>
      <c r="Y312" s="6"/>
      <c r="Z312" s="6"/>
    </row>
    <row r="313" spans="23:26">
      <c r="W313" s="6"/>
      <c r="X313" s="6"/>
      <c r="Y313" s="6"/>
      <c r="Z313" s="6"/>
    </row>
    <row r="314" spans="23:26">
      <c r="W314" s="6"/>
      <c r="X314" s="6"/>
      <c r="Y314" s="6"/>
      <c r="Z314" s="6"/>
    </row>
    <row r="315" spans="23:26">
      <c r="W315" s="6"/>
      <c r="X315" s="6"/>
      <c r="Y315" s="6"/>
      <c r="Z315" s="6"/>
    </row>
    <row r="316" spans="23:26">
      <c r="W316" s="6"/>
      <c r="X316" s="6"/>
      <c r="Y316" s="6"/>
      <c r="Z316" s="6"/>
    </row>
    <row r="317" spans="23:26">
      <c r="W317" s="6"/>
      <c r="X317" s="6"/>
      <c r="Y317" s="6"/>
      <c r="Z317" s="6"/>
    </row>
    <row r="318" spans="23:26">
      <c r="W318" s="6"/>
      <c r="X318" s="6"/>
      <c r="Y318" s="6"/>
      <c r="Z318" s="6"/>
    </row>
    <row r="319" spans="23:26">
      <c r="W319" s="6"/>
      <c r="X319" s="6"/>
      <c r="Y319" s="6"/>
      <c r="Z319" s="6"/>
    </row>
    <row r="320" spans="23:26">
      <c r="W320" s="6"/>
      <c r="X320" s="6"/>
      <c r="Y320" s="6"/>
      <c r="Z320" s="6"/>
    </row>
    <row r="321" spans="23:26">
      <c r="W321" s="6"/>
      <c r="X321" s="6"/>
      <c r="Y321" s="6"/>
      <c r="Z321" s="6"/>
    </row>
    <row r="322" spans="23:26">
      <c r="W322" s="6"/>
      <c r="X322" s="6"/>
      <c r="Y322" s="6"/>
      <c r="Z322" s="6"/>
    </row>
    <row r="323" spans="23:26">
      <c r="W323" s="6"/>
      <c r="X323" s="6"/>
      <c r="Y323" s="6"/>
      <c r="Z323" s="6"/>
    </row>
    <row r="324" spans="23:26">
      <c r="W324" s="6"/>
      <c r="X324" s="6"/>
      <c r="Y324" s="6"/>
      <c r="Z324" s="6"/>
    </row>
    <row r="325" spans="23:26">
      <c r="W325" s="6"/>
      <c r="X325" s="6"/>
      <c r="Y325" s="6"/>
      <c r="Z325" s="6"/>
    </row>
    <row r="326" spans="23:26">
      <c r="W326" s="6"/>
      <c r="X326" s="6"/>
      <c r="Y326" s="6"/>
      <c r="Z326" s="6"/>
    </row>
    <row r="327" spans="23:26">
      <c r="W327" s="6"/>
      <c r="X327" s="6"/>
      <c r="Y327" s="6"/>
      <c r="Z327" s="6"/>
    </row>
    <row r="328" spans="23:26">
      <c r="W328" s="6"/>
      <c r="X328" s="6"/>
      <c r="Y328" s="6"/>
      <c r="Z328" s="6"/>
    </row>
    <row r="329" spans="23:26">
      <c r="W329" s="6"/>
      <c r="X329" s="6"/>
      <c r="Y329" s="6"/>
      <c r="Z329" s="6"/>
    </row>
    <row r="330" spans="23:26">
      <c r="W330" s="6"/>
      <c r="X330" s="6"/>
      <c r="Y330" s="6"/>
      <c r="Z330" s="6"/>
    </row>
    <row r="331" spans="23:26">
      <c r="W331" s="6"/>
      <c r="X331" s="6"/>
      <c r="Y331" s="6"/>
      <c r="Z331" s="6"/>
    </row>
    <row r="332" spans="23:26">
      <c r="W332" s="6"/>
      <c r="X332" s="6"/>
      <c r="Y332" s="6"/>
      <c r="Z332" s="6"/>
    </row>
    <row r="333" spans="23:26">
      <c r="W333" s="6"/>
      <c r="X333" s="6"/>
      <c r="Y333" s="6"/>
      <c r="Z333" s="6"/>
    </row>
    <row r="334" spans="23:26">
      <c r="W334" s="6"/>
      <c r="X334" s="6"/>
      <c r="Y334" s="6"/>
      <c r="Z334" s="6"/>
    </row>
    <row r="335" spans="23:26">
      <c r="W335" s="6"/>
      <c r="X335" s="6"/>
      <c r="Y335" s="6"/>
      <c r="Z335" s="6"/>
    </row>
    <row r="336" spans="23:26">
      <c r="W336" s="6"/>
      <c r="X336" s="6"/>
      <c r="Y336" s="6"/>
      <c r="Z336" s="6"/>
    </row>
    <row r="337" spans="23:26">
      <c r="W337" s="6"/>
      <c r="X337" s="6"/>
      <c r="Y337" s="6"/>
      <c r="Z337" s="6"/>
    </row>
    <row r="338" spans="23:26">
      <c r="W338" s="6"/>
      <c r="X338" s="6"/>
      <c r="Y338" s="6"/>
      <c r="Z338" s="6"/>
    </row>
    <row r="339" spans="23:26">
      <c r="W339" s="6"/>
      <c r="X339" s="6"/>
      <c r="Y339" s="6"/>
      <c r="Z339" s="6"/>
    </row>
    <row r="340" spans="23:26">
      <c r="W340" s="6"/>
      <c r="X340" s="6"/>
      <c r="Y340" s="6"/>
      <c r="Z340" s="6"/>
    </row>
    <row r="341" spans="23:26">
      <c r="W341" s="6"/>
      <c r="X341" s="6"/>
      <c r="Y341" s="6"/>
      <c r="Z341" s="6"/>
    </row>
    <row r="342" spans="23:26">
      <c r="W342" s="6"/>
      <c r="X342" s="6"/>
      <c r="Y342" s="6"/>
      <c r="Z342" s="6"/>
    </row>
    <row r="343" spans="23:26">
      <c r="W343" s="6"/>
      <c r="X343" s="6"/>
      <c r="Y343" s="6"/>
      <c r="Z343" s="6"/>
    </row>
    <row r="344" spans="23:26">
      <c r="W344" s="6"/>
      <c r="X344" s="6"/>
      <c r="Y344" s="6"/>
      <c r="Z344" s="6"/>
    </row>
    <row r="345" spans="23:26">
      <c r="W345" s="6"/>
      <c r="X345" s="6"/>
      <c r="Y345" s="6"/>
      <c r="Z345" s="6"/>
    </row>
    <row r="346" spans="23:26">
      <c r="W346" s="6"/>
      <c r="X346" s="6"/>
      <c r="Y346" s="6"/>
      <c r="Z346" s="6"/>
    </row>
    <row r="347" spans="23:26">
      <c r="W347" s="6"/>
      <c r="X347" s="6"/>
      <c r="Y347" s="6"/>
      <c r="Z347" s="6"/>
    </row>
    <row r="348" spans="23:26">
      <c r="W348" s="6"/>
      <c r="X348" s="6"/>
      <c r="Y348" s="6"/>
      <c r="Z348" s="6"/>
    </row>
    <row r="349" spans="23:26">
      <c r="W349" s="6"/>
      <c r="X349" s="6"/>
      <c r="Y349" s="6"/>
      <c r="Z349" s="6"/>
    </row>
    <row r="350" spans="23:26">
      <c r="W350" s="6"/>
      <c r="X350" s="6"/>
      <c r="Y350" s="6"/>
      <c r="Z350" s="6"/>
    </row>
    <row r="351" spans="23:26">
      <c r="W351" s="6"/>
      <c r="X351" s="6"/>
      <c r="Y351" s="6"/>
      <c r="Z351" s="6"/>
    </row>
    <row r="352" spans="23:26">
      <c r="W352" s="6"/>
      <c r="X352" s="6"/>
      <c r="Y352" s="6"/>
      <c r="Z352" s="6"/>
    </row>
    <row r="353" spans="23:26">
      <c r="W353" s="6"/>
      <c r="X353" s="6"/>
      <c r="Y353" s="6"/>
      <c r="Z353" s="6"/>
    </row>
    <row r="354" spans="23:26">
      <c r="W354" s="6"/>
      <c r="X354" s="6"/>
      <c r="Y354" s="6"/>
      <c r="Z354" s="6"/>
    </row>
    <row r="355" spans="23:26">
      <c r="W355" s="6"/>
      <c r="X355" s="6"/>
      <c r="Y355" s="6"/>
      <c r="Z355" s="6"/>
    </row>
    <row r="356" spans="23:26">
      <c r="W356" s="6"/>
      <c r="X356" s="6"/>
      <c r="Y356" s="6"/>
      <c r="Z356" s="6"/>
    </row>
    <row r="357" spans="23:26">
      <c r="W357" s="6"/>
      <c r="X357" s="6"/>
      <c r="Y357" s="6"/>
      <c r="Z357" s="6"/>
    </row>
    <row r="358" spans="23:26">
      <c r="W358" s="6"/>
      <c r="X358" s="6"/>
      <c r="Y358" s="6"/>
      <c r="Z358" s="6"/>
    </row>
    <row r="359" spans="23:26">
      <c r="W359" s="6"/>
      <c r="X359" s="6"/>
      <c r="Y359" s="6"/>
      <c r="Z359" s="6"/>
    </row>
    <row r="360" spans="23:26">
      <c r="W360" s="6"/>
      <c r="X360" s="6"/>
      <c r="Y360" s="6"/>
      <c r="Z360" s="6"/>
    </row>
    <row r="361" spans="23:26">
      <c r="W361" s="6"/>
      <c r="X361" s="6"/>
      <c r="Y361" s="6"/>
      <c r="Z361" s="6"/>
    </row>
    <row r="362" spans="23:26">
      <c r="W362" s="6"/>
      <c r="X362" s="6"/>
      <c r="Y362" s="6"/>
      <c r="Z362" s="6"/>
    </row>
    <row r="363" spans="23:26">
      <c r="W363" s="6"/>
      <c r="X363" s="6"/>
      <c r="Y363" s="6"/>
      <c r="Z363" s="6"/>
    </row>
    <row r="364" spans="23:26">
      <c r="W364" s="6"/>
      <c r="X364" s="6"/>
      <c r="Y364" s="6"/>
      <c r="Z364" s="6"/>
    </row>
    <row r="365" spans="23:26">
      <c r="W365" s="6"/>
      <c r="X365" s="6"/>
      <c r="Y365" s="6"/>
      <c r="Z365" s="6"/>
    </row>
    <row r="366" spans="23:26">
      <c r="W366" s="6"/>
      <c r="X366" s="6"/>
      <c r="Y366" s="6"/>
      <c r="Z366" s="6"/>
    </row>
    <row r="367" spans="23:26">
      <c r="W367" s="6"/>
      <c r="X367" s="6"/>
      <c r="Y367" s="6"/>
      <c r="Z367" s="6"/>
    </row>
    <row r="368" spans="23:26">
      <c r="W368" s="6"/>
      <c r="X368" s="6"/>
      <c r="Y368" s="6"/>
      <c r="Z368" s="6"/>
    </row>
    <row r="369" spans="23:26">
      <c r="W369" s="6"/>
      <c r="X369" s="6"/>
      <c r="Y369" s="6"/>
      <c r="Z369" s="6"/>
    </row>
    <row r="370" spans="23:26">
      <c r="W370" s="6"/>
      <c r="X370" s="6"/>
      <c r="Y370" s="6"/>
      <c r="Z370" s="6"/>
    </row>
    <row r="371" spans="23:26">
      <c r="W371" s="6"/>
      <c r="X371" s="6"/>
      <c r="Y371" s="6"/>
      <c r="Z371" s="6"/>
    </row>
    <row r="372" spans="23:26">
      <c r="W372" s="6"/>
      <c r="X372" s="6"/>
      <c r="Y372" s="6"/>
      <c r="Z372" s="6"/>
    </row>
    <row r="373" spans="23:26">
      <c r="W373" s="6"/>
      <c r="X373" s="6"/>
      <c r="Y373" s="6"/>
      <c r="Z373" s="6"/>
    </row>
    <row r="374" spans="23:26">
      <c r="W374" s="6"/>
      <c r="X374" s="6"/>
      <c r="Y374" s="6"/>
      <c r="Z374" s="6"/>
    </row>
    <row r="375" spans="23:26">
      <c r="W375" s="6"/>
      <c r="X375" s="6"/>
      <c r="Y375" s="6"/>
      <c r="Z375" s="6"/>
    </row>
    <row r="376" spans="23:26">
      <c r="W376" s="6"/>
      <c r="X376" s="6"/>
      <c r="Y376" s="6"/>
      <c r="Z376" s="6"/>
    </row>
    <row r="377" spans="23:26">
      <c r="W377" s="6"/>
      <c r="X377" s="6"/>
      <c r="Y377" s="6"/>
      <c r="Z377" s="6"/>
    </row>
    <row r="378" spans="23:26">
      <c r="W378" s="6"/>
      <c r="X378" s="6"/>
      <c r="Y378" s="6"/>
      <c r="Z378" s="6"/>
    </row>
    <row r="379" spans="23:26">
      <c r="W379" s="6"/>
      <c r="X379" s="6"/>
      <c r="Y379" s="6"/>
      <c r="Z379" s="6"/>
    </row>
    <row r="380" spans="23:26">
      <c r="W380" s="6"/>
      <c r="X380" s="6"/>
      <c r="Y380" s="6"/>
      <c r="Z380" s="6"/>
    </row>
    <row r="381" spans="23:26">
      <c r="W381" s="6"/>
      <c r="X381" s="6"/>
      <c r="Y381" s="6"/>
      <c r="Z381" s="6"/>
    </row>
    <row r="382" spans="23:26">
      <c r="W382" s="6"/>
      <c r="X382" s="6"/>
      <c r="Y382" s="6"/>
      <c r="Z382" s="6"/>
    </row>
    <row r="383" spans="23:26">
      <c r="W383" s="6"/>
      <c r="X383" s="6"/>
      <c r="Y383" s="6"/>
      <c r="Z383" s="6"/>
    </row>
    <row r="384" spans="23:26">
      <c r="W384" s="6"/>
      <c r="X384" s="6"/>
      <c r="Y384" s="6"/>
      <c r="Z384" s="6"/>
    </row>
    <row r="385" spans="23:26">
      <c r="W385" s="6"/>
      <c r="X385" s="6"/>
      <c r="Y385" s="6"/>
      <c r="Z385" s="6"/>
    </row>
    <row r="386" spans="23:26">
      <c r="W386" s="6"/>
      <c r="X386" s="6"/>
      <c r="Y386" s="6"/>
      <c r="Z386" s="6"/>
    </row>
    <row r="387" spans="23:26">
      <c r="W387" s="6"/>
      <c r="X387" s="6"/>
      <c r="Y387" s="6"/>
      <c r="Z387" s="6"/>
    </row>
    <row r="388" spans="23:26">
      <c r="W388" s="6"/>
      <c r="X388" s="6"/>
      <c r="Y388" s="6"/>
      <c r="Z388" s="6"/>
    </row>
    <row r="389" spans="23:26">
      <c r="W389" s="6"/>
      <c r="X389" s="6"/>
      <c r="Y389" s="6"/>
      <c r="Z389" s="6"/>
    </row>
    <row r="390" spans="23:26">
      <c r="W390" s="6"/>
      <c r="X390" s="6"/>
      <c r="Y390" s="6"/>
      <c r="Z390" s="6"/>
    </row>
    <row r="391" spans="23:26">
      <c r="W391" s="6"/>
      <c r="X391" s="6"/>
      <c r="Y391" s="6"/>
      <c r="Z391" s="6"/>
    </row>
    <row r="392" spans="23:26">
      <c r="W392" s="6"/>
      <c r="X392" s="6"/>
      <c r="Y392" s="6"/>
      <c r="Z392" s="6"/>
    </row>
    <row r="393" spans="23:26">
      <c r="W393" s="6"/>
      <c r="X393" s="6"/>
      <c r="Y393" s="6"/>
      <c r="Z393" s="6"/>
    </row>
    <row r="394" spans="23:26">
      <c r="W394" s="6"/>
      <c r="X394" s="6"/>
      <c r="Y394" s="6"/>
      <c r="Z394" s="6"/>
    </row>
    <row r="395" spans="23:26">
      <c r="W395" s="6"/>
      <c r="X395" s="6"/>
      <c r="Y395" s="6"/>
      <c r="Z395" s="6"/>
    </row>
    <row r="396" spans="23:26">
      <c r="W396" s="6"/>
      <c r="X396" s="6"/>
      <c r="Y396" s="6"/>
      <c r="Z396" s="6"/>
    </row>
    <row r="397" spans="23:26">
      <c r="W397" s="6"/>
      <c r="X397" s="6"/>
      <c r="Y397" s="6"/>
      <c r="Z397" s="6"/>
    </row>
    <row r="398" spans="23:26">
      <c r="W398" s="6"/>
      <c r="X398" s="6"/>
      <c r="Y398" s="6"/>
      <c r="Z398" s="6"/>
    </row>
    <row r="399" spans="23:26">
      <c r="W399" s="6"/>
      <c r="X399" s="6"/>
      <c r="Y399" s="6"/>
      <c r="Z399" s="6"/>
    </row>
    <row r="400" spans="23:26">
      <c r="W400" s="6"/>
      <c r="X400" s="6"/>
      <c r="Y400" s="6"/>
      <c r="Z400" s="6"/>
    </row>
    <row r="401" spans="23:26">
      <c r="W401" s="6"/>
      <c r="X401" s="6"/>
      <c r="Y401" s="6"/>
      <c r="Z401" s="6"/>
    </row>
    <row r="402" spans="23:26">
      <c r="W402" s="6"/>
      <c r="X402" s="6"/>
      <c r="Y402" s="6"/>
      <c r="Z402" s="6"/>
    </row>
    <row r="403" spans="23:26">
      <c r="W403" s="6"/>
      <c r="X403" s="6"/>
      <c r="Y403" s="6"/>
      <c r="Z403" s="6"/>
    </row>
    <row r="404" spans="23:26">
      <c r="W404" s="6"/>
      <c r="X404" s="6"/>
      <c r="Y404" s="6"/>
      <c r="Z404" s="6"/>
    </row>
    <row r="405" spans="23:26">
      <c r="W405" s="6"/>
      <c r="X405" s="6"/>
      <c r="Y405" s="6"/>
      <c r="Z405" s="6"/>
    </row>
    <row r="406" spans="23:26">
      <c r="W406" s="6"/>
      <c r="X406" s="6"/>
      <c r="Y406" s="6"/>
      <c r="Z406" s="6"/>
    </row>
    <row r="407" spans="23:26">
      <c r="W407" s="6"/>
      <c r="X407" s="6"/>
      <c r="Y407" s="6"/>
      <c r="Z407" s="6"/>
    </row>
    <row r="408" spans="23:26">
      <c r="W408" s="6"/>
      <c r="X408" s="6"/>
      <c r="Y408" s="6"/>
      <c r="Z408" s="6"/>
    </row>
    <row r="409" spans="23:26">
      <c r="W409" s="6"/>
      <c r="X409" s="6"/>
      <c r="Y409" s="6"/>
      <c r="Z409" s="6"/>
    </row>
    <row r="410" spans="23:26">
      <c r="W410" s="6"/>
      <c r="X410" s="6"/>
      <c r="Y410" s="6"/>
      <c r="Z410" s="6"/>
    </row>
    <row r="411" spans="23:26">
      <c r="W411" s="6"/>
      <c r="X411" s="6"/>
      <c r="Y411" s="6"/>
      <c r="Z411" s="6"/>
    </row>
    <row r="412" spans="23:26">
      <c r="W412" s="6"/>
      <c r="X412" s="6"/>
      <c r="Y412" s="6"/>
      <c r="Z412" s="6"/>
    </row>
    <row r="413" spans="23:26">
      <c r="W413" s="6"/>
      <c r="X413" s="6"/>
      <c r="Y413" s="6"/>
      <c r="Z413" s="6"/>
    </row>
    <row r="414" spans="23:26">
      <c r="W414" s="6"/>
      <c r="X414" s="6"/>
      <c r="Y414" s="6"/>
      <c r="Z414" s="6"/>
    </row>
    <row r="415" spans="23:26">
      <c r="W415" s="6"/>
      <c r="X415" s="6"/>
      <c r="Y415" s="6"/>
      <c r="Z415" s="6"/>
    </row>
    <row r="416" spans="23:26">
      <c r="W416" s="6"/>
      <c r="X416" s="6"/>
      <c r="Y416" s="6"/>
      <c r="Z416" s="6"/>
    </row>
    <row r="417" spans="23:26">
      <c r="W417" s="6"/>
      <c r="X417" s="6"/>
      <c r="Y417" s="6"/>
      <c r="Z417" s="6"/>
    </row>
    <row r="418" spans="23:26">
      <c r="W418" s="6"/>
      <c r="X418" s="6"/>
      <c r="Y418" s="6"/>
      <c r="Z418" s="6"/>
    </row>
    <row r="419" spans="23:26">
      <c r="W419" s="6"/>
      <c r="X419" s="6"/>
      <c r="Y419" s="6"/>
      <c r="Z419" s="6"/>
    </row>
    <row r="420" spans="23:26">
      <c r="W420" s="6"/>
      <c r="X420" s="6"/>
      <c r="Y420" s="6"/>
      <c r="Z420" s="6"/>
    </row>
    <row r="421" spans="23:26">
      <c r="W421" s="6"/>
      <c r="X421" s="6"/>
      <c r="Y421" s="6"/>
      <c r="Z421" s="6"/>
    </row>
    <row r="422" spans="23:26">
      <c r="W422" s="6"/>
      <c r="X422" s="6"/>
      <c r="Y422" s="6"/>
      <c r="Z422" s="6"/>
    </row>
    <row r="423" spans="23:26">
      <c r="W423" s="6"/>
      <c r="X423" s="6"/>
      <c r="Y423" s="6"/>
      <c r="Z423" s="6"/>
    </row>
    <row r="424" spans="23:26">
      <c r="W424" s="6"/>
      <c r="X424" s="6"/>
      <c r="Y424" s="6"/>
      <c r="Z424" s="6"/>
    </row>
    <row r="425" spans="23:26">
      <c r="W425" s="6"/>
      <c r="X425" s="6"/>
      <c r="Y425" s="6"/>
      <c r="Z425" s="6"/>
    </row>
    <row r="426" spans="23:26">
      <c r="W426" s="6"/>
      <c r="X426" s="6"/>
      <c r="Y426" s="6"/>
      <c r="Z426" s="6"/>
    </row>
    <row r="427" spans="23:26">
      <c r="W427" s="6"/>
      <c r="X427" s="6"/>
      <c r="Y427" s="6"/>
      <c r="Z427" s="6"/>
    </row>
    <row r="428" spans="23:26">
      <c r="W428" s="6"/>
      <c r="X428" s="6"/>
      <c r="Y428" s="6"/>
      <c r="Z428" s="6"/>
    </row>
    <row r="429" spans="23:26">
      <c r="W429" s="6"/>
      <c r="X429" s="6"/>
      <c r="Y429" s="6"/>
      <c r="Z429" s="6"/>
    </row>
    <row r="430" spans="23:26">
      <c r="W430" s="6"/>
      <c r="X430" s="6"/>
      <c r="Y430" s="6"/>
      <c r="Z430" s="6"/>
    </row>
    <row r="431" spans="23:26">
      <c r="W431" s="6"/>
      <c r="X431" s="6"/>
      <c r="Y431" s="6"/>
      <c r="Z431" s="6"/>
    </row>
    <row r="432" spans="23:26">
      <c r="W432" s="6"/>
      <c r="X432" s="6"/>
      <c r="Y432" s="6"/>
      <c r="Z432" s="6"/>
    </row>
    <row r="433" spans="23:26">
      <c r="W433" s="6"/>
      <c r="X433" s="6"/>
      <c r="Y433" s="6"/>
      <c r="Z433" s="6"/>
    </row>
    <row r="434" spans="23:26">
      <c r="W434" s="6"/>
      <c r="X434" s="6"/>
      <c r="Y434" s="6"/>
      <c r="Z434" s="6"/>
    </row>
    <row r="435" spans="23:26">
      <c r="W435" s="6"/>
      <c r="X435" s="6"/>
      <c r="Y435" s="6"/>
      <c r="Z435" s="6"/>
    </row>
    <row r="436" spans="23:26">
      <c r="W436" s="6"/>
      <c r="X436" s="6"/>
      <c r="Y436" s="6"/>
      <c r="Z436" s="6"/>
    </row>
    <row r="437" spans="23:26">
      <c r="W437" s="6"/>
      <c r="X437" s="6"/>
      <c r="Y437" s="6"/>
      <c r="Z437" s="6"/>
    </row>
    <row r="438" spans="23:26">
      <c r="W438" s="6"/>
      <c r="X438" s="6"/>
      <c r="Y438" s="6"/>
      <c r="Z438" s="6"/>
    </row>
    <row r="439" spans="23:26">
      <c r="W439" s="6"/>
      <c r="X439" s="6"/>
      <c r="Y439" s="6"/>
      <c r="Z439" s="6"/>
    </row>
    <row r="440" spans="23:26">
      <c r="W440" s="6"/>
      <c r="X440" s="6"/>
      <c r="Y440" s="6"/>
      <c r="Z440" s="6"/>
    </row>
    <row r="441" spans="23:26">
      <c r="W441" s="6"/>
      <c r="X441" s="6"/>
      <c r="Y441" s="6"/>
      <c r="Z441" s="6"/>
    </row>
    <row r="442" spans="23:26">
      <c r="W442" s="6"/>
      <c r="X442" s="6"/>
      <c r="Y442" s="6"/>
      <c r="Z442" s="6"/>
    </row>
    <row r="443" spans="23:26">
      <c r="W443" s="6"/>
      <c r="X443" s="6"/>
      <c r="Y443" s="6"/>
      <c r="Z443" s="6"/>
    </row>
    <row r="444" spans="23:26">
      <c r="W444" s="6"/>
      <c r="X444" s="6"/>
      <c r="Y444" s="6"/>
      <c r="Z444" s="6"/>
    </row>
    <row r="445" spans="23:26">
      <c r="W445" s="6"/>
      <c r="X445" s="6"/>
      <c r="Y445" s="6"/>
      <c r="Z445" s="6"/>
    </row>
    <row r="446" spans="23:26">
      <c r="W446" s="6"/>
      <c r="X446" s="6"/>
      <c r="Y446" s="6"/>
      <c r="Z446" s="6"/>
    </row>
    <row r="447" spans="23:26">
      <c r="W447" s="6"/>
      <c r="X447" s="6"/>
      <c r="Y447" s="6"/>
      <c r="Z447" s="6"/>
    </row>
    <row r="448" spans="23:26">
      <c r="W448" s="6"/>
      <c r="X448" s="6"/>
      <c r="Y448" s="6"/>
      <c r="Z448" s="6"/>
    </row>
    <row r="449" spans="23:26">
      <c r="W449" s="6"/>
      <c r="X449" s="6"/>
      <c r="Y449" s="6"/>
      <c r="Z449" s="6"/>
    </row>
    <row r="450" spans="23:26">
      <c r="W450" s="6"/>
      <c r="X450" s="6"/>
      <c r="Y450" s="6"/>
      <c r="Z450" s="6"/>
    </row>
    <row r="451" spans="23:26">
      <c r="W451" s="6"/>
      <c r="X451" s="6"/>
      <c r="Y451" s="6"/>
      <c r="Z451" s="6"/>
    </row>
    <row r="452" spans="23:26">
      <c r="W452" s="6"/>
      <c r="X452" s="6"/>
      <c r="Y452" s="6"/>
      <c r="Z452" s="6"/>
    </row>
    <row r="453" spans="23:26">
      <c r="W453" s="6"/>
      <c r="X453" s="6"/>
      <c r="Y453" s="6"/>
      <c r="Z453" s="6"/>
    </row>
    <row r="454" spans="23:26">
      <c r="W454" s="6"/>
      <c r="X454" s="6"/>
      <c r="Y454" s="6"/>
      <c r="Z454" s="6"/>
    </row>
    <row r="455" spans="23:26">
      <c r="W455" s="6"/>
      <c r="X455" s="6"/>
      <c r="Y455" s="6"/>
      <c r="Z455" s="6"/>
    </row>
    <row r="456" spans="23:26">
      <c r="W456" s="6"/>
      <c r="X456" s="6"/>
      <c r="Y456" s="6"/>
      <c r="Z456" s="6"/>
    </row>
    <row r="457" spans="23:26">
      <c r="W457" s="6"/>
      <c r="X457" s="6"/>
      <c r="Y457" s="6"/>
      <c r="Z457" s="6"/>
    </row>
    <row r="458" spans="23:26">
      <c r="W458" s="6"/>
      <c r="X458" s="6"/>
      <c r="Y458" s="6"/>
      <c r="Z458" s="6"/>
    </row>
    <row r="459" spans="23:26">
      <c r="W459" s="6"/>
      <c r="X459" s="6"/>
      <c r="Y459" s="6"/>
      <c r="Z459" s="6"/>
    </row>
    <row r="460" spans="23:26">
      <c r="W460" s="6"/>
      <c r="X460" s="6"/>
      <c r="Y460" s="6"/>
      <c r="Z460" s="6"/>
    </row>
    <row r="461" spans="23:26">
      <c r="W461" s="6"/>
      <c r="X461" s="6"/>
      <c r="Y461" s="6"/>
      <c r="Z461" s="6"/>
    </row>
    <row r="462" spans="23:26">
      <c r="W462" s="6"/>
      <c r="X462" s="6"/>
      <c r="Y462" s="6"/>
      <c r="Z462" s="6"/>
    </row>
    <row r="463" spans="23:26">
      <c r="W463" s="6"/>
      <c r="X463" s="6"/>
      <c r="Y463" s="6"/>
      <c r="Z463" s="6"/>
    </row>
    <row r="464" spans="23:26">
      <c r="W464" s="6"/>
      <c r="X464" s="6"/>
      <c r="Y464" s="6"/>
      <c r="Z464" s="6"/>
    </row>
    <row r="465" spans="23:26">
      <c r="W465" s="6"/>
      <c r="X465" s="6"/>
      <c r="Y465" s="6"/>
      <c r="Z465" s="6"/>
    </row>
    <row r="466" spans="23:26">
      <c r="W466" s="6"/>
      <c r="X466" s="6"/>
      <c r="Y466" s="6"/>
      <c r="Z466" s="6"/>
    </row>
    <row r="467" spans="23:26">
      <c r="W467" s="6"/>
      <c r="X467" s="6"/>
      <c r="Y467" s="6"/>
      <c r="Z467" s="6"/>
    </row>
    <row r="468" spans="23:26">
      <c r="W468" s="6"/>
      <c r="X468" s="6"/>
      <c r="Y468" s="6"/>
      <c r="Z468" s="6"/>
    </row>
    <row r="469" spans="23:26">
      <c r="W469" s="6"/>
      <c r="X469" s="6"/>
      <c r="Y469" s="6"/>
      <c r="Z469" s="6"/>
    </row>
    <row r="470" spans="23:26">
      <c r="W470" s="6"/>
      <c r="X470" s="6"/>
      <c r="Y470" s="6"/>
      <c r="Z470" s="6"/>
    </row>
    <row r="471" spans="23:26">
      <c r="W471" s="6"/>
      <c r="X471" s="6"/>
      <c r="Y471" s="6"/>
      <c r="Z471" s="6"/>
    </row>
    <row r="472" spans="23:26">
      <c r="W472" s="6"/>
      <c r="X472" s="6"/>
      <c r="Y472" s="6"/>
      <c r="Z472" s="6"/>
    </row>
    <row r="473" spans="23:26">
      <c r="W473" s="6"/>
      <c r="X473" s="6"/>
      <c r="Y473" s="6"/>
      <c r="Z473" s="6"/>
    </row>
    <row r="474" spans="23:26">
      <c r="W474" s="6"/>
      <c r="X474" s="6"/>
      <c r="Y474" s="6"/>
      <c r="Z474" s="6"/>
    </row>
    <row r="475" spans="23:26">
      <c r="W475" s="6"/>
      <c r="X475" s="6"/>
      <c r="Y475" s="6"/>
      <c r="Z475" s="6"/>
    </row>
    <row r="476" spans="23:26">
      <c r="W476" s="6"/>
      <c r="X476" s="6"/>
      <c r="Y476" s="6"/>
      <c r="Z476" s="6"/>
    </row>
    <row r="477" spans="23:26">
      <c r="W477" s="6"/>
      <c r="X477" s="6"/>
      <c r="Y477" s="6"/>
      <c r="Z477" s="6"/>
    </row>
    <row r="478" spans="23:26">
      <c r="W478" s="6"/>
      <c r="X478" s="6"/>
      <c r="Y478" s="6"/>
      <c r="Z478" s="6"/>
    </row>
    <row r="479" spans="23:26">
      <c r="W479" s="6"/>
      <c r="X479" s="6"/>
      <c r="Y479" s="6"/>
      <c r="Z479" s="6"/>
    </row>
    <row r="480" spans="23:26">
      <c r="W480" s="6"/>
      <c r="X480" s="6"/>
      <c r="Y480" s="6"/>
      <c r="Z480" s="6"/>
    </row>
    <row r="481" spans="23:26">
      <c r="W481" s="6"/>
      <c r="X481" s="6"/>
      <c r="Y481" s="6"/>
      <c r="Z481" s="6"/>
    </row>
    <row r="482" spans="23:26">
      <c r="W482" s="6"/>
      <c r="X482" s="6"/>
      <c r="Y482" s="6"/>
      <c r="Z482" s="6"/>
    </row>
    <row r="483" spans="23:26">
      <c r="W483" s="6"/>
      <c r="X483" s="6"/>
      <c r="Y483" s="6"/>
      <c r="Z483" s="6"/>
    </row>
    <row r="484" spans="23:26">
      <c r="W484" s="6"/>
      <c r="X484" s="6"/>
      <c r="Y484" s="6"/>
      <c r="Z484" s="6"/>
    </row>
    <row r="485" spans="23:26">
      <c r="W485" s="6"/>
      <c r="X485" s="6"/>
      <c r="Y485" s="6"/>
      <c r="Z485" s="6"/>
    </row>
    <row r="486" spans="23:26">
      <c r="W486" s="6"/>
      <c r="X486" s="6"/>
      <c r="Y486" s="6"/>
      <c r="Z486" s="6"/>
    </row>
    <row r="487" spans="23:26">
      <c r="W487" s="6"/>
      <c r="X487" s="6"/>
      <c r="Y487" s="6"/>
      <c r="Z487" s="6"/>
    </row>
    <row r="488" spans="23:26">
      <c r="W488" s="6"/>
      <c r="X488" s="6"/>
      <c r="Y488" s="6"/>
      <c r="Z488" s="6"/>
    </row>
    <row r="489" spans="23:26">
      <c r="W489" s="6"/>
      <c r="X489" s="6"/>
      <c r="Y489" s="6"/>
      <c r="Z489" s="6"/>
    </row>
    <row r="490" spans="23:26">
      <c r="W490" s="6"/>
      <c r="X490" s="6"/>
      <c r="Y490" s="6"/>
      <c r="Z490" s="6"/>
    </row>
    <row r="491" spans="23:26">
      <c r="W491" s="6"/>
      <c r="X491" s="6"/>
      <c r="Y491" s="6"/>
      <c r="Z491" s="6"/>
    </row>
    <row r="492" spans="23:26">
      <c r="W492" s="6"/>
      <c r="X492" s="6"/>
      <c r="Y492" s="6"/>
      <c r="Z492" s="6"/>
    </row>
    <row r="493" spans="23:26">
      <c r="W493" s="6"/>
      <c r="X493" s="6"/>
      <c r="Y493" s="6"/>
      <c r="Z493" s="6"/>
    </row>
    <row r="494" spans="23:26">
      <c r="W494" s="6"/>
      <c r="X494" s="6"/>
      <c r="Y494" s="6"/>
      <c r="Z494" s="6"/>
    </row>
    <row r="495" spans="23:26">
      <c r="W495" s="6"/>
      <c r="X495" s="6"/>
      <c r="Y495" s="6"/>
      <c r="Z495" s="6"/>
    </row>
    <row r="496" spans="23:26">
      <c r="W496" s="6"/>
      <c r="X496" s="6"/>
      <c r="Y496" s="6"/>
      <c r="Z496" s="6"/>
    </row>
    <row r="497" spans="23:26">
      <c r="W497" s="6"/>
      <c r="X497" s="6"/>
      <c r="Y497" s="6"/>
      <c r="Z497" s="6"/>
    </row>
    <row r="498" spans="23:26">
      <c r="W498" s="6"/>
      <c r="X498" s="6"/>
      <c r="Y498" s="6"/>
      <c r="Z498" s="6"/>
    </row>
    <row r="499" spans="23:26">
      <c r="W499" s="6"/>
      <c r="X499" s="6"/>
      <c r="Y499" s="6"/>
      <c r="Z499" s="6"/>
    </row>
    <row r="500" spans="23:26">
      <c r="W500" s="6"/>
      <c r="X500" s="6"/>
      <c r="Y500" s="6"/>
      <c r="Z500" s="6"/>
    </row>
    <row r="501" spans="23:26">
      <c r="W501" s="6"/>
      <c r="X501" s="6"/>
      <c r="Y501" s="6"/>
      <c r="Z501" s="6"/>
    </row>
    <row r="502" spans="23:26">
      <c r="W502" s="6"/>
      <c r="X502" s="6"/>
      <c r="Y502" s="6"/>
      <c r="Z502" s="6"/>
    </row>
    <row r="503" spans="23:26">
      <c r="W503" s="6"/>
      <c r="X503" s="6"/>
      <c r="Y503" s="6"/>
      <c r="Z503" s="6"/>
    </row>
    <row r="504" spans="23:26">
      <c r="W504" s="6"/>
      <c r="X504" s="6"/>
      <c r="Y504" s="6"/>
      <c r="Z504" s="6"/>
    </row>
    <row r="505" spans="23:26">
      <c r="W505" s="6"/>
      <c r="X505" s="6"/>
      <c r="Y505" s="6"/>
      <c r="Z505" s="6"/>
    </row>
    <row r="506" spans="23:26">
      <c r="W506" s="6"/>
      <c r="X506" s="6"/>
      <c r="Y506" s="6"/>
      <c r="Z506" s="6"/>
    </row>
    <row r="507" spans="23:26">
      <c r="W507" s="6"/>
      <c r="X507" s="6"/>
      <c r="Y507" s="6"/>
      <c r="Z507" s="6"/>
    </row>
    <row r="508" spans="23:26">
      <c r="W508" s="6"/>
      <c r="X508" s="6"/>
      <c r="Y508" s="6"/>
      <c r="Z508" s="6"/>
    </row>
    <row r="509" spans="23:26">
      <c r="W509" s="6"/>
      <c r="X509" s="6"/>
      <c r="Y509" s="6"/>
      <c r="Z509" s="6"/>
    </row>
    <row r="510" spans="23:26">
      <c r="W510" s="6"/>
      <c r="X510" s="6"/>
      <c r="Y510" s="6"/>
      <c r="Z510" s="6"/>
    </row>
    <row r="511" spans="23:26">
      <c r="W511" s="6"/>
      <c r="X511" s="6"/>
      <c r="Y511" s="6"/>
      <c r="Z511" s="6"/>
    </row>
    <row r="512" spans="23:26">
      <c r="W512" s="6"/>
      <c r="X512" s="6"/>
      <c r="Y512" s="6"/>
      <c r="Z512" s="6"/>
    </row>
    <row r="513" spans="23:26">
      <c r="W513" s="6"/>
      <c r="X513" s="6"/>
      <c r="Y513" s="6"/>
      <c r="Z513" s="6"/>
    </row>
    <row r="514" spans="23:26">
      <c r="W514" s="6"/>
      <c r="X514" s="6"/>
      <c r="Y514" s="6"/>
      <c r="Z514" s="6"/>
    </row>
    <row r="515" spans="23:26">
      <c r="W515" s="6"/>
      <c r="X515" s="6"/>
      <c r="Y515" s="6"/>
      <c r="Z515" s="6"/>
    </row>
    <row r="516" spans="23:26">
      <c r="W516" s="6"/>
      <c r="X516" s="6"/>
      <c r="Y516" s="6"/>
      <c r="Z516" s="6"/>
    </row>
    <row r="517" spans="23:26">
      <c r="W517" s="6"/>
      <c r="X517" s="6"/>
      <c r="Y517" s="6"/>
      <c r="Z517" s="6"/>
    </row>
    <row r="518" spans="23:26">
      <c r="W518" s="6"/>
      <c r="X518" s="6"/>
      <c r="Y518" s="6"/>
      <c r="Z518" s="6"/>
    </row>
    <row r="519" spans="23:26">
      <c r="W519" s="6"/>
      <c r="X519" s="6"/>
      <c r="Y519" s="6"/>
      <c r="Z519" s="6"/>
    </row>
    <row r="520" spans="23:26">
      <c r="W520" s="6"/>
      <c r="X520" s="6"/>
      <c r="Y520" s="6"/>
      <c r="Z520" s="6"/>
    </row>
    <row r="521" spans="23:26">
      <c r="W521" s="6"/>
      <c r="X521" s="6"/>
      <c r="Y521" s="6"/>
      <c r="Z521" s="6"/>
    </row>
    <row r="522" spans="23:26">
      <c r="W522" s="6"/>
      <c r="X522" s="6"/>
      <c r="Y522" s="6"/>
      <c r="Z522" s="6"/>
    </row>
    <row r="523" spans="23:26">
      <c r="W523" s="6"/>
      <c r="X523" s="6"/>
      <c r="Y523" s="6"/>
      <c r="Z523" s="6"/>
    </row>
    <row r="524" spans="23:26">
      <c r="W524" s="6"/>
      <c r="X524" s="6"/>
      <c r="Y524" s="6"/>
      <c r="Z524" s="6"/>
    </row>
    <row r="525" spans="23:26">
      <c r="W525" s="6"/>
      <c r="X525" s="6"/>
      <c r="Y525" s="6"/>
      <c r="Z525" s="6"/>
    </row>
    <row r="526" spans="23:26">
      <c r="W526" s="6"/>
      <c r="X526" s="6"/>
      <c r="Y526" s="6"/>
      <c r="Z526" s="6"/>
    </row>
    <row r="527" spans="23:26">
      <c r="W527" s="6"/>
      <c r="X527" s="6"/>
      <c r="Y527" s="6"/>
      <c r="Z527" s="6"/>
    </row>
  </sheetData>
  <phoneticPr fontId="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FC353-B7B6-4F11-B1D5-0B75D825AAAA}">
  <dimension ref="A1:AJ214"/>
  <sheetViews>
    <sheetView showGridLines="0" topLeftCell="B1" workbookViewId="0">
      <pane ySplit="1" topLeftCell="A52" activePane="bottomLeft" state="frozen"/>
      <selection pane="bottomLeft" activeCell="K234" sqref="K234"/>
    </sheetView>
  </sheetViews>
  <sheetFormatPr defaultColWidth="8.69921875" defaultRowHeight="12"/>
  <cols>
    <col min="1" max="1" width="32.69921875" style="6" hidden="1" customWidth="1"/>
    <col min="2" max="2" width="13.69921875" style="6" bestFit="1" customWidth="1"/>
    <col min="3" max="3" width="19.69921875" style="6" hidden="1" customWidth="1"/>
    <col min="4" max="4" width="50.69921875" style="6" hidden="1" customWidth="1"/>
    <col min="5" max="5" width="35.69921875" style="6" bestFit="1" customWidth="1"/>
    <col min="6" max="6" width="30" style="6" hidden="1" customWidth="1"/>
    <col min="7" max="7" width="15.69921875" style="6" hidden="1" customWidth="1"/>
    <col min="8" max="8" width="22.59765625" style="6" hidden="1" customWidth="1"/>
    <col min="9" max="9" width="30" style="6" hidden="1" customWidth="1"/>
    <col min="10" max="10" width="23.3984375" style="6" hidden="1" customWidth="1"/>
    <col min="11" max="11" width="46.8984375" style="6" bestFit="1" customWidth="1"/>
    <col min="12" max="12" width="16.59765625" style="16" bestFit="1" customWidth="1"/>
    <col min="13" max="13" width="10" style="6" hidden="1" customWidth="1"/>
    <col min="14" max="14" width="8.59765625" style="6" hidden="1" customWidth="1"/>
    <col min="15" max="15" width="15.296875" style="6" bestFit="1" customWidth="1"/>
    <col min="16" max="16" width="21.09765625" style="16" bestFit="1" customWidth="1"/>
    <col min="17" max="17" width="21.296875" style="16" bestFit="1" customWidth="1"/>
    <col min="18" max="18" width="23.19921875" style="16" bestFit="1" customWidth="1"/>
    <col min="19" max="19" width="16.69921875" style="6" hidden="1" customWidth="1"/>
    <col min="20" max="20" width="17.19921875" style="6" hidden="1" customWidth="1"/>
    <col min="21" max="21" width="7" style="6" hidden="1" customWidth="1"/>
    <col min="22" max="22" width="14.796875" style="28" bestFit="1" customWidth="1"/>
    <col min="23" max="23" width="16.5" style="28" bestFit="1" customWidth="1"/>
    <col min="24" max="24" width="17.09765625" style="28" bestFit="1" customWidth="1"/>
    <col min="25" max="25" width="27.19921875" style="28" bestFit="1" customWidth="1"/>
    <col min="26" max="26" width="25.3984375" style="28" bestFit="1" customWidth="1"/>
    <col min="27" max="27" width="13.8984375" style="16" bestFit="1" customWidth="1"/>
    <col min="28" max="28" width="15.796875" style="16" bestFit="1" customWidth="1"/>
    <col min="29" max="29" width="13.296875" style="16" bestFit="1" customWidth="1"/>
    <col min="30" max="30" width="16.796875" style="16" bestFit="1" customWidth="1"/>
    <col min="31" max="31" width="16.3984375" style="16" bestFit="1" customWidth="1"/>
    <col min="32" max="32" width="15.796875" style="16" bestFit="1" customWidth="1"/>
    <col min="33" max="33" width="13.796875" style="16" bestFit="1" customWidth="1"/>
    <col min="34" max="34" width="16.59765625" style="16" bestFit="1" customWidth="1"/>
    <col min="35" max="35" width="15.296875" style="16" bestFit="1" customWidth="1"/>
    <col min="36" max="36" width="14.69921875" style="16" bestFit="1" customWidth="1"/>
    <col min="37" max="16384" width="8.69921875" style="6"/>
  </cols>
  <sheetData>
    <row r="1" spans="1:36">
      <c r="A1" s="18" t="s">
        <v>115</v>
      </c>
      <c r="B1" s="5" t="s">
        <v>116</v>
      </c>
      <c r="C1" s="5" t="s">
        <v>117</v>
      </c>
      <c r="D1" s="5" t="s">
        <v>118</v>
      </c>
      <c r="E1" s="5" t="s">
        <v>119</v>
      </c>
      <c r="F1" s="175" t="s">
        <v>120</v>
      </c>
      <c r="G1" s="175" t="s">
        <v>2919</v>
      </c>
      <c r="H1" s="175" t="s">
        <v>121</v>
      </c>
      <c r="I1" s="5" t="s">
        <v>122</v>
      </c>
      <c r="J1" s="5" t="s">
        <v>123</v>
      </c>
      <c r="K1" s="5" t="s">
        <v>16</v>
      </c>
      <c r="L1" s="4" t="s">
        <v>3</v>
      </c>
      <c r="M1" s="5" t="s">
        <v>12</v>
      </c>
      <c r="N1" s="5" t="s">
        <v>0</v>
      </c>
      <c r="O1" s="5" t="s">
        <v>1</v>
      </c>
      <c r="P1" s="4" t="s">
        <v>124</v>
      </c>
      <c r="Q1" s="4" t="s">
        <v>125</v>
      </c>
      <c r="R1" s="4" t="s">
        <v>126</v>
      </c>
      <c r="S1" s="5" t="s">
        <v>127</v>
      </c>
      <c r="T1" s="5" t="s">
        <v>128</v>
      </c>
      <c r="U1" s="5" t="s">
        <v>129</v>
      </c>
      <c r="V1" s="23" t="s">
        <v>17</v>
      </c>
      <c r="W1" s="23" t="s">
        <v>18</v>
      </c>
      <c r="X1" s="23" t="s">
        <v>130</v>
      </c>
      <c r="Y1" s="23" t="s">
        <v>131</v>
      </c>
      <c r="Z1" s="23" t="s">
        <v>132</v>
      </c>
      <c r="AA1" s="4" t="s">
        <v>133</v>
      </c>
      <c r="AB1" s="4" t="s">
        <v>134</v>
      </c>
      <c r="AC1" s="4" t="s">
        <v>135</v>
      </c>
      <c r="AD1" s="4" t="s">
        <v>136</v>
      </c>
      <c r="AE1" s="4" t="s">
        <v>137</v>
      </c>
      <c r="AF1" s="4" t="s">
        <v>138</v>
      </c>
      <c r="AG1" s="4" t="s">
        <v>139</v>
      </c>
      <c r="AH1" s="4" t="s">
        <v>140</v>
      </c>
      <c r="AI1" s="4" t="s">
        <v>141</v>
      </c>
      <c r="AJ1" s="20" t="s">
        <v>142</v>
      </c>
    </row>
    <row r="2" spans="1:36" hidden="1">
      <c r="A2" s="224" t="s">
        <v>3233</v>
      </c>
      <c r="B2" s="213" t="s">
        <v>3143</v>
      </c>
      <c r="C2" s="213" t="s">
        <v>3144</v>
      </c>
      <c r="D2" s="213" t="s">
        <v>3234</v>
      </c>
      <c r="E2" s="213" t="s">
        <v>3146</v>
      </c>
      <c r="F2" s="213" t="s">
        <v>2713</v>
      </c>
      <c r="G2" s="213" t="s">
        <v>2712</v>
      </c>
      <c r="H2" s="213" t="s">
        <v>707</v>
      </c>
      <c r="I2" s="213" t="s">
        <v>3320</v>
      </c>
      <c r="J2" s="213" t="s">
        <v>3321</v>
      </c>
      <c r="K2" s="213" t="s">
        <v>2252</v>
      </c>
      <c r="L2" s="102" t="s">
        <v>3365</v>
      </c>
      <c r="M2" s="213" t="s">
        <v>15</v>
      </c>
      <c r="N2" s="213" t="s">
        <v>3150</v>
      </c>
      <c r="O2" s="213" t="s">
        <v>3151</v>
      </c>
      <c r="P2" s="101">
        <v>46223</v>
      </c>
      <c r="Q2" s="102" t="s">
        <v>3323</v>
      </c>
      <c r="R2" s="102">
        <v>7</v>
      </c>
      <c r="S2" s="213" t="s">
        <v>3153</v>
      </c>
      <c r="T2" s="213" t="s">
        <v>2250</v>
      </c>
      <c r="U2" s="213" t="s">
        <v>3150</v>
      </c>
      <c r="V2" s="215">
        <v>2.0699999999999998</v>
      </c>
      <c r="W2" s="215">
        <v>14.49</v>
      </c>
      <c r="X2" s="215">
        <v>62.1</v>
      </c>
      <c r="Y2" s="215">
        <v>14.49</v>
      </c>
      <c r="Z2" s="215">
        <v>14.49</v>
      </c>
      <c r="AA2" s="102" t="s">
        <v>3154</v>
      </c>
      <c r="AB2" s="102">
        <v>0</v>
      </c>
      <c r="AC2" s="102">
        <v>0</v>
      </c>
      <c r="AD2" s="101"/>
      <c r="AE2" s="101"/>
      <c r="AF2" s="101"/>
      <c r="AG2" s="101"/>
      <c r="AH2" s="102"/>
      <c r="AI2" s="101">
        <v>46216</v>
      </c>
      <c r="AJ2" s="232">
        <v>46229</v>
      </c>
    </row>
    <row r="3" spans="1:36" hidden="1">
      <c r="A3" s="19" t="s">
        <v>3233</v>
      </c>
      <c r="B3" s="10" t="s">
        <v>3143</v>
      </c>
      <c r="C3" s="10" t="s">
        <v>3144</v>
      </c>
      <c r="D3" s="10" t="s">
        <v>3234</v>
      </c>
      <c r="E3" s="10" t="s">
        <v>3146</v>
      </c>
      <c r="F3" s="10" t="s">
        <v>2713</v>
      </c>
      <c r="G3" s="10" t="s">
        <v>2712</v>
      </c>
      <c r="H3" s="10" t="s">
        <v>707</v>
      </c>
      <c r="I3" s="10" t="s">
        <v>3320</v>
      </c>
      <c r="J3" s="10" t="s">
        <v>3321</v>
      </c>
      <c r="K3" s="10" t="s">
        <v>2252</v>
      </c>
      <c r="L3" s="9" t="s">
        <v>3328</v>
      </c>
      <c r="M3" s="10" t="s">
        <v>15</v>
      </c>
      <c r="N3" s="10" t="s">
        <v>3150</v>
      </c>
      <c r="O3" s="10" t="s">
        <v>3151</v>
      </c>
      <c r="P3" s="8">
        <v>46223</v>
      </c>
      <c r="Q3" s="9" t="s">
        <v>3323</v>
      </c>
      <c r="R3" s="9">
        <v>7</v>
      </c>
      <c r="S3" s="10" t="s">
        <v>3153</v>
      </c>
      <c r="T3" s="10" t="s">
        <v>2250</v>
      </c>
      <c r="U3" s="10" t="s">
        <v>3150</v>
      </c>
      <c r="V3" s="24">
        <v>2.0699999999999998</v>
      </c>
      <c r="W3" s="24">
        <v>14.49</v>
      </c>
      <c r="X3" s="24">
        <v>62.1</v>
      </c>
      <c r="Y3" s="24">
        <v>14.49</v>
      </c>
      <c r="Z3" s="24">
        <v>14.49</v>
      </c>
      <c r="AA3" s="9" t="s">
        <v>3154</v>
      </c>
      <c r="AB3" s="9">
        <v>0</v>
      </c>
      <c r="AC3" s="9">
        <v>0</v>
      </c>
      <c r="AD3" s="8"/>
      <c r="AE3" s="8"/>
      <c r="AF3" s="8"/>
      <c r="AG3" s="8"/>
      <c r="AH3" s="9"/>
      <c r="AI3" s="8">
        <v>46216</v>
      </c>
      <c r="AJ3" s="231">
        <v>46229</v>
      </c>
    </row>
    <row r="4" spans="1:36" hidden="1">
      <c r="A4" s="19" t="s">
        <v>3233</v>
      </c>
      <c r="B4" s="10" t="s">
        <v>3143</v>
      </c>
      <c r="C4" s="10" t="s">
        <v>3144</v>
      </c>
      <c r="D4" s="10" t="s">
        <v>3234</v>
      </c>
      <c r="E4" s="10" t="s">
        <v>3146</v>
      </c>
      <c r="F4" s="10" t="s">
        <v>2713</v>
      </c>
      <c r="G4" s="10" t="s">
        <v>2712</v>
      </c>
      <c r="H4" s="10" t="s">
        <v>707</v>
      </c>
      <c r="I4" s="10" t="s">
        <v>3320</v>
      </c>
      <c r="J4" s="10" t="s">
        <v>3321</v>
      </c>
      <c r="K4" s="10" t="s">
        <v>2252</v>
      </c>
      <c r="L4" s="9" t="s">
        <v>3366</v>
      </c>
      <c r="M4" s="10" t="s">
        <v>15</v>
      </c>
      <c r="N4" s="10" t="s">
        <v>3150</v>
      </c>
      <c r="O4" s="10" t="s">
        <v>3151</v>
      </c>
      <c r="P4" s="8">
        <v>46223</v>
      </c>
      <c r="Q4" s="9" t="s">
        <v>3323</v>
      </c>
      <c r="R4" s="9">
        <v>7</v>
      </c>
      <c r="S4" s="10" t="s">
        <v>3153</v>
      </c>
      <c r="T4" s="10" t="s">
        <v>2250</v>
      </c>
      <c r="U4" s="10" t="s">
        <v>3150</v>
      </c>
      <c r="V4" s="24">
        <v>2.0699999999999998</v>
      </c>
      <c r="W4" s="24">
        <v>14.49</v>
      </c>
      <c r="X4" s="24">
        <v>62.1</v>
      </c>
      <c r="Y4" s="24">
        <v>14.49</v>
      </c>
      <c r="Z4" s="24">
        <v>14.49</v>
      </c>
      <c r="AA4" s="9" t="s">
        <v>3154</v>
      </c>
      <c r="AB4" s="9">
        <v>0</v>
      </c>
      <c r="AC4" s="9">
        <v>0</v>
      </c>
      <c r="AD4" s="8"/>
      <c r="AE4" s="8"/>
      <c r="AF4" s="8"/>
      <c r="AG4" s="8"/>
      <c r="AH4" s="9"/>
      <c r="AI4" s="8">
        <v>46216</v>
      </c>
      <c r="AJ4" s="231">
        <v>46229</v>
      </c>
    </row>
    <row r="5" spans="1:36" hidden="1">
      <c r="A5" s="19" t="s">
        <v>3233</v>
      </c>
      <c r="B5" s="10" t="s">
        <v>3143</v>
      </c>
      <c r="C5" s="10" t="s">
        <v>3144</v>
      </c>
      <c r="D5" s="10" t="s">
        <v>3234</v>
      </c>
      <c r="E5" s="10" t="s">
        <v>3146</v>
      </c>
      <c r="F5" s="10" t="s">
        <v>2713</v>
      </c>
      <c r="G5" s="10" t="s">
        <v>2712</v>
      </c>
      <c r="H5" s="10" t="s">
        <v>707</v>
      </c>
      <c r="I5" s="10" t="s">
        <v>3320</v>
      </c>
      <c r="J5" s="10" t="s">
        <v>3321</v>
      </c>
      <c r="K5" s="10" t="s">
        <v>2252</v>
      </c>
      <c r="L5" s="9" t="s">
        <v>3367</v>
      </c>
      <c r="M5" s="10" t="s">
        <v>15</v>
      </c>
      <c r="N5" s="10" t="s">
        <v>3150</v>
      </c>
      <c r="O5" s="10" t="s">
        <v>3151</v>
      </c>
      <c r="P5" s="8">
        <v>46223</v>
      </c>
      <c r="Q5" s="9" t="s">
        <v>3323</v>
      </c>
      <c r="R5" s="9">
        <v>7</v>
      </c>
      <c r="S5" s="10" t="s">
        <v>3153</v>
      </c>
      <c r="T5" s="10" t="s">
        <v>2250</v>
      </c>
      <c r="U5" s="10" t="s">
        <v>3150</v>
      </c>
      <c r="V5" s="24">
        <v>2.0699999999999998</v>
      </c>
      <c r="W5" s="24">
        <v>14.49</v>
      </c>
      <c r="X5" s="24">
        <v>62.1</v>
      </c>
      <c r="Y5" s="24">
        <v>14.49</v>
      </c>
      <c r="Z5" s="24">
        <v>14.49</v>
      </c>
      <c r="AA5" s="9" t="s">
        <v>3154</v>
      </c>
      <c r="AB5" s="9">
        <v>0</v>
      </c>
      <c r="AC5" s="9">
        <v>0</v>
      </c>
      <c r="AD5" s="8"/>
      <c r="AE5" s="8"/>
      <c r="AF5" s="8"/>
      <c r="AG5" s="8"/>
      <c r="AH5" s="9"/>
      <c r="AI5" s="8">
        <v>46216</v>
      </c>
      <c r="AJ5" s="231">
        <v>46229</v>
      </c>
    </row>
    <row r="6" spans="1:36" hidden="1">
      <c r="A6" s="19" t="s">
        <v>3233</v>
      </c>
      <c r="B6" s="10" t="s">
        <v>3143</v>
      </c>
      <c r="C6" s="10" t="s">
        <v>3144</v>
      </c>
      <c r="D6" s="10" t="s">
        <v>3234</v>
      </c>
      <c r="E6" s="10" t="s">
        <v>3146</v>
      </c>
      <c r="F6" s="10" t="s">
        <v>2713</v>
      </c>
      <c r="G6" s="10" t="s">
        <v>2712</v>
      </c>
      <c r="H6" s="10" t="s">
        <v>707</v>
      </c>
      <c r="I6" s="10" t="s">
        <v>3320</v>
      </c>
      <c r="J6" s="10" t="s">
        <v>3321</v>
      </c>
      <c r="K6" s="10" t="s">
        <v>2252</v>
      </c>
      <c r="L6" s="9" t="s">
        <v>3364</v>
      </c>
      <c r="M6" s="10" t="s">
        <v>15</v>
      </c>
      <c r="N6" s="10" t="s">
        <v>3150</v>
      </c>
      <c r="O6" s="10" t="s">
        <v>3151</v>
      </c>
      <c r="P6" s="8">
        <v>46223</v>
      </c>
      <c r="Q6" s="9" t="s">
        <v>3323</v>
      </c>
      <c r="R6" s="9">
        <v>7</v>
      </c>
      <c r="S6" s="10" t="s">
        <v>3153</v>
      </c>
      <c r="T6" s="10" t="s">
        <v>2250</v>
      </c>
      <c r="U6" s="10" t="s">
        <v>3150</v>
      </c>
      <c r="V6" s="24">
        <v>2.0699999999999998</v>
      </c>
      <c r="W6" s="24">
        <v>14.49</v>
      </c>
      <c r="X6" s="24">
        <v>62.1</v>
      </c>
      <c r="Y6" s="24">
        <v>14.49</v>
      </c>
      <c r="Z6" s="24">
        <v>14.49</v>
      </c>
      <c r="AA6" s="9" t="s">
        <v>3154</v>
      </c>
      <c r="AB6" s="9">
        <v>0</v>
      </c>
      <c r="AC6" s="9">
        <v>0</v>
      </c>
      <c r="AD6" s="8"/>
      <c r="AE6" s="8"/>
      <c r="AF6" s="8"/>
      <c r="AG6" s="8"/>
      <c r="AH6" s="9"/>
      <c r="AI6" s="8">
        <v>46216</v>
      </c>
      <c r="AJ6" s="231">
        <v>46229</v>
      </c>
    </row>
    <row r="7" spans="1:36" hidden="1">
      <c r="A7" s="19" t="s">
        <v>3233</v>
      </c>
      <c r="B7" s="10" t="s">
        <v>3143</v>
      </c>
      <c r="C7" s="10" t="s">
        <v>3144</v>
      </c>
      <c r="D7" s="10" t="s">
        <v>3234</v>
      </c>
      <c r="E7" s="10" t="s">
        <v>3146</v>
      </c>
      <c r="F7" s="10" t="s">
        <v>2713</v>
      </c>
      <c r="G7" s="10" t="s">
        <v>2712</v>
      </c>
      <c r="H7" s="10" t="s">
        <v>707</v>
      </c>
      <c r="I7" s="10" t="s">
        <v>3320</v>
      </c>
      <c r="J7" s="10" t="s">
        <v>3321</v>
      </c>
      <c r="K7" s="10" t="s">
        <v>2252</v>
      </c>
      <c r="L7" s="9" t="s">
        <v>3363</v>
      </c>
      <c r="M7" s="10" t="s">
        <v>15</v>
      </c>
      <c r="N7" s="10" t="s">
        <v>3150</v>
      </c>
      <c r="O7" s="10" t="s">
        <v>3151</v>
      </c>
      <c r="P7" s="8">
        <v>46223</v>
      </c>
      <c r="Q7" s="9" t="s">
        <v>3323</v>
      </c>
      <c r="R7" s="9">
        <v>7</v>
      </c>
      <c r="S7" s="10" t="s">
        <v>3153</v>
      </c>
      <c r="T7" s="10" t="s">
        <v>2250</v>
      </c>
      <c r="U7" s="10" t="s">
        <v>3150</v>
      </c>
      <c r="V7" s="24">
        <v>2.0699999999999998</v>
      </c>
      <c r="W7" s="24">
        <v>14.49</v>
      </c>
      <c r="X7" s="24">
        <v>62.1</v>
      </c>
      <c r="Y7" s="24">
        <v>14.49</v>
      </c>
      <c r="Z7" s="24">
        <v>14.49</v>
      </c>
      <c r="AA7" s="9" t="s">
        <v>3154</v>
      </c>
      <c r="AB7" s="9">
        <v>0</v>
      </c>
      <c r="AC7" s="9">
        <v>0</v>
      </c>
      <c r="AD7" s="8"/>
      <c r="AE7" s="8"/>
      <c r="AF7" s="8"/>
      <c r="AG7" s="8"/>
      <c r="AH7" s="9"/>
      <c r="AI7" s="8">
        <v>46216</v>
      </c>
      <c r="AJ7" s="231">
        <v>46229</v>
      </c>
    </row>
    <row r="8" spans="1:36" hidden="1">
      <c r="A8" s="19" t="s">
        <v>3233</v>
      </c>
      <c r="B8" s="10" t="s">
        <v>3143</v>
      </c>
      <c r="C8" s="10" t="s">
        <v>3144</v>
      </c>
      <c r="D8" s="10" t="s">
        <v>3234</v>
      </c>
      <c r="E8" s="10" t="s">
        <v>3146</v>
      </c>
      <c r="F8" s="10" t="s">
        <v>2713</v>
      </c>
      <c r="G8" s="10" t="s">
        <v>2712</v>
      </c>
      <c r="H8" s="10" t="s">
        <v>707</v>
      </c>
      <c r="I8" s="10" t="s">
        <v>3320</v>
      </c>
      <c r="J8" s="10" t="s">
        <v>3321</v>
      </c>
      <c r="K8" s="10" t="s">
        <v>2252</v>
      </c>
      <c r="L8" s="9" t="s">
        <v>3360</v>
      </c>
      <c r="M8" s="10" t="s">
        <v>15</v>
      </c>
      <c r="N8" s="10" t="s">
        <v>3150</v>
      </c>
      <c r="O8" s="10" t="s">
        <v>3151</v>
      </c>
      <c r="P8" s="8">
        <v>46223</v>
      </c>
      <c r="Q8" s="9" t="s">
        <v>3323</v>
      </c>
      <c r="R8" s="9">
        <v>7</v>
      </c>
      <c r="S8" s="10" t="s">
        <v>3153</v>
      </c>
      <c r="T8" s="10" t="s">
        <v>2250</v>
      </c>
      <c r="U8" s="10" t="s">
        <v>3150</v>
      </c>
      <c r="V8" s="24">
        <v>2.0699999999999998</v>
      </c>
      <c r="W8" s="24">
        <v>14.49</v>
      </c>
      <c r="X8" s="24">
        <v>62.1</v>
      </c>
      <c r="Y8" s="24">
        <v>14.49</v>
      </c>
      <c r="Z8" s="24">
        <v>14.49</v>
      </c>
      <c r="AA8" s="9" t="s">
        <v>3154</v>
      </c>
      <c r="AB8" s="9">
        <v>0</v>
      </c>
      <c r="AC8" s="9">
        <v>0</v>
      </c>
      <c r="AD8" s="8"/>
      <c r="AE8" s="8"/>
      <c r="AF8" s="8"/>
      <c r="AG8" s="8"/>
      <c r="AH8" s="9"/>
      <c r="AI8" s="8">
        <v>46216</v>
      </c>
      <c r="AJ8" s="231">
        <v>46229</v>
      </c>
    </row>
    <row r="9" spans="1:36" hidden="1">
      <c r="A9" s="19" t="s">
        <v>3233</v>
      </c>
      <c r="B9" s="10" t="s">
        <v>3143</v>
      </c>
      <c r="C9" s="10" t="s">
        <v>3144</v>
      </c>
      <c r="D9" s="10" t="s">
        <v>3234</v>
      </c>
      <c r="E9" s="10" t="s">
        <v>3146</v>
      </c>
      <c r="F9" s="10" t="s">
        <v>2713</v>
      </c>
      <c r="G9" s="10" t="s">
        <v>2712</v>
      </c>
      <c r="H9" s="10" t="s">
        <v>707</v>
      </c>
      <c r="I9" s="10" t="s">
        <v>3320</v>
      </c>
      <c r="J9" s="10" t="s">
        <v>3321</v>
      </c>
      <c r="K9" s="10" t="s">
        <v>2252</v>
      </c>
      <c r="L9" s="9" t="s">
        <v>3361</v>
      </c>
      <c r="M9" s="10" t="s">
        <v>15</v>
      </c>
      <c r="N9" s="10" t="s">
        <v>3150</v>
      </c>
      <c r="O9" s="10" t="s">
        <v>3151</v>
      </c>
      <c r="P9" s="8">
        <v>46223</v>
      </c>
      <c r="Q9" s="9" t="s">
        <v>3323</v>
      </c>
      <c r="R9" s="9">
        <v>7</v>
      </c>
      <c r="S9" s="10" t="s">
        <v>3153</v>
      </c>
      <c r="T9" s="10" t="s">
        <v>2250</v>
      </c>
      <c r="U9" s="10" t="s">
        <v>3150</v>
      </c>
      <c r="V9" s="24">
        <v>2.0699999999999998</v>
      </c>
      <c r="W9" s="24">
        <v>14.49</v>
      </c>
      <c r="X9" s="24">
        <v>62.1</v>
      </c>
      <c r="Y9" s="24">
        <v>14.49</v>
      </c>
      <c r="Z9" s="24">
        <v>14.49</v>
      </c>
      <c r="AA9" s="9" t="s">
        <v>3154</v>
      </c>
      <c r="AB9" s="9">
        <v>0</v>
      </c>
      <c r="AC9" s="9">
        <v>0</v>
      </c>
      <c r="AD9" s="8"/>
      <c r="AE9" s="8"/>
      <c r="AF9" s="8"/>
      <c r="AG9" s="8"/>
      <c r="AH9" s="9"/>
      <c r="AI9" s="8">
        <v>46216</v>
      </c>
      <c r="AJ9" s="231">
        <v>46229</v>
      </c>
    </row>
    <row r="10" spans="1:36" hidden="1">
      <c r="A10" s="19" t="s">
        <v>3233</v>
      </c>
      <c r="B10" s="10" t="s">
        <v>3143</v>
      </c>
      <c r="C10" s="10" t="s">
        <v>3144</v>
      </c>
      <c r="D10" s="10" t="s">
        <v>3234</v>
      </c>
      <c r="E10" s="10" t="s">
        <v>3146</v>
      </c>
      <c r="F10" s="10" t="s">
        <v>2713</v>
      </c>
      <c r="G10" s="10" t="s">
        <v>2712</v>
      </c>
      <c r="H10" s="10" t="s">
        <v>707</v>
      </c>
      <c r="I10" s="10" t="s">
        <v>3320</v>
      </c>
      <c r="J10" s="10" t="s">
        <v>3321</v>
      </c>
      <c r="K10" s="10" t="s">
        <v>2252</v>
      </c>
      <c r="L10" s="9" t="s">
        <v>3371</v>
      </c>
      <c r="M10" s="10" t="s">
        <v>15</v>
      </c>
      <c r="N10" s="10" t="s">
        <v>3150</v>
      </c>
      <c r="O10" s="10" t="s">
        <v>3151</v>
      </c>
      <c r="P10" s="8">
        <v>46223</v>
      </c>
      <c r="Q10" s="9" t="s">
        <v>3323</v>
      </c>
      <c r="R10" s="9">
        <v>7</v>
      </c>
      <c r="S10" s="10" t="s">
        <v>3153</v>
      </c>
      <c r="T10" s="10" t="s">
        <v>2250</v>
      </c>
      <c r="U10" s="10" t="s">
        <v>3150</v>
      </c>
      <c r="V10" s="24">
        <v>2.0699999999999998</v>
      </c>
      <c r="W10" s="24">
        <v>14.49</v>
      </c>
      <c r="X10" s="24">
        <v>62.1</v>
      </c>
      <c r="Y10" s="24">
        <v>14.49</v>
      </c>
      <c r="Z10" s="24">
        <v>14.49</v>
      </c>
      <c r="AA10" s="9" t="s">
        <v>3154</v>
      </c>
      <c r="AB10" s="9">
        <v>0</v>
      </c>
      <c r="AC10" s="9">
        <v>0</v>
      </c>
      <c r="AD10" s="8"/>
      <c r="AE10" s="8"/>
      <c r="AF10" s="8"/>
      <c r="AG10" s="8"/>
      <c r="AH10" s="9"/>
      <c r="AI10" s="8">
        <v>46216</v>
      </c>
      <c r="AJ10" s="231">
        <v>46229</v>
      </c>
    </row>
    <row r="11" spans="1:36" hidden="1">
      <c r="A11" s="19" t="s">
        <v>3233</v>
      </c>
      <c r="B11" s="10" t="s">
        <v>3143</v>
      </c>
      <c r="C11" s="10" t="s">
        <v>3144</v>
      </c>
      <c r="D11" s="10" t="s">
        <v>3234</v>
      </c>
      <c r="E11" s="10" t="s">
        <v>3146</v>
      </c>
      <c r="F11" s="10" t="s">
        <v>2713</v>
      </c>
      <c r="G11" s="10" t="s">
        <v>2712</v>
      </c>
      <c r="H11" s="10" t="s">
        <v>707</v>
      </c>
      <c r="I11" s="10" t="s">
        <v>3320</v>
      </c>
      <c r="J11" s="10" t="s">
        <v>3321</v>
      </c>
      <c r="K11" s="10" t="s">
        <v>2252</v>
      </c>
      <c r="L11" s="9" t="s">
        <v>3368</v>
      </c>
      <c r="M11" s="10" t="s">
        <v>15</v>
      </c>
      <c r="N11" s="10" t="s">
        <v>3150</v>
      </c>
      <c r="O11" s="10" t="s">
        <v>3151</v>
      </c>
      <c r="P11" s="8">
        <v>46223</v>
      </c>
      <c r="Q11" s="9" t="s">
        <v>3323</v>
      </c>
      <c r="R11" s="9">
        <v>7</v>
      </c>
      <c r="S11" s="10" t="s">
        <v>3153</v>
      </c>
      <c r="T11" s="10" t="s">
        <v>2250</v>
      </c>
      <c r="U11" s="10" t="s">
        <v>3150</v>
      </c>
      <c r="V11" s="24">
        <v>2.0699999999999998</v>
      </c>
      <c r="W11" s="24">
        <v>14.49</v>
      </c>
      <c r="X11" s="24">
        <v>62.1</v>
      </c>
      <c r="Y11" s="24">
        <v>14.49</v>
      </c>
      <c r="Z11" s="24">
        <v>14.49</v>
      </c>
      <c r="AA11" s="9" t="s">
        <v>3154</v>
      </c>
      <c r="AB11" s="9">
        <v>0</v>
      </c>
      <c r="AC11" s="9">
        <v>0</v>
      </c>
      <c r="AD11" s="8"/>
      <c r="AE11" s="8"/>
      <c r="AF11" s="8"/>
      <c r="AG11" s="8"/>
      <c r="AH11" s="9"/>
      <c r="AI11" s="8">
        <v>46216</v>
      </c>
      <c r="AJ11" s="231">
        <v>46229</v>
      </c>
    </row>
    <row r="12" spans="1:36" hidden="1">
      <c r="A12" s="19" t="s">
        <v>3233</v>
      </c>
      <c r="B12" s="10" t="s">
        <v>3143</v>
      </c>
      <c r="C12" s="10" t="s">
        <v>3144</v>
      </c>
      <c r="D12" s="10" t="s">
        <v>3234</v>
      </c>
      <c r="E12" s="10" t="s">
        <v>3146</v>
      </c>
      <c r="F12" s="10" t="s">
        <v>2713</v>
      </c>
      <c r="G12" s="10" t="s">
        <v>2712</v>
      </c>
      <c r="H12" s="10" t="s">
        <v>707</v>
      </c>
      <c r="I12" s="10" t="s">
        <v>3320</v>
      </c>
      <c r="J12" s="10" t="s">
        <v>3321</v>
      </c>
      <c r="K12" s="10" t="s">
        <v>2252</v>
      </c>
      <c r="L12" s="9" t="s">
        <v>3358</v>
      </c>
      <c r="M12" s="10" t="s">
        <v>15</v>
      </c>
      <c r="N12" s="10" t="s">
        <v>3150</v>
      </c>
      <c r="O12" s="10" t="s">
        <v>3151</v>
      </c>
      <c r="P12" s="8">
        <v>46223</v>
      </c>
      <c r="Q12" s="9" t="s">
        <v>3323</v>
      </c>
      <c r="R12" s="9">
        <v>7</v>
      </c>
      <c r="S12" s="10" t="s">
        <v>3153</v>
      </c>
      <c r="T12" s="10" t="s">
        <v>2250</v>
      </c>
      <c r="U12" s="10" t="s">
        <v>3150</v>
      </c>
      <c r="V12" s="24">
        <v>2.0699999999999998</v>
      </c>
      <c r="W12" s="24">
        <v>14.49</v>
      </c>
      <c r="X12" s="24">
        <v>62.1</v>
      </c>
      <c r="Y12" s="24">
        <v>14.49</v>
      </c>
      <c r="Z12" s="24">
        <v>14.49</v>
      </c>
      <c r="AA12" s="9" t="s">
        <v>3154</v>
      </c>
      <c r="AB12" s="9">
        <v>0</v>
      </c>
      <c r="AC12" s="9">
        <v>0</v>
      </c>
      <c r="AD12" s="8"/>
      <c r="AE12" s="8"/>
      <c r="AF12" s="8"/>
      <c r="AG12" s="8"/>
      <c r="AH12" s="9"/>
      <c r="AI12" s="8">
        <v>46216</v>
      </c>
      <c r="AJ12" s="231">
        <v>46229</v>
      </c>
    </row>
    <row r="13" spans="1:36" hidden="1">
      <c r="A13" s="19" t="s">
        <v>3233</v>
      </c>
      <c r="B13" s="10" t="s">
        <v>3143</v>
      </c>
      <c r="C13" s="10" t="s">
        <v>3144</v>
      </c>
      <c r="D13" s="10" t="s">
        <v>3234</v>
      </c>
      <c r="E13" s="10" t="s">
        <v>3146</v>
      </c>
      <c r="F13" s="10" t="s">
        <v>2713</v>
      </c>
      <c r="G13" s="10" t="s">
        <v>2712</v>
      </c>
      <c r="H13" s="10" t="s">
        <v>707</v>
      </c>
      <c r="I13" s="10" t="s">
        <v>3320</v>
      </c>
      <c r="J13" s="10" t="s">
        <v>3321</v>
      </c>
      <c r="K13" s="10" t="s">
        <v>2252</v>
      </c>
      <c r="L13" s="9" t="s">
        <v>3357</v>
      </c>
      <c r="M13" s="10" t="s">
        <v>15</v>
      </c>
      <c r="N13" s="10" t="s">
        <v>3150</v>
      </c>
      <c r="O13" s="10" t="s">
        <v>3151</v>
      </c>
      <c r="P13" s="8">
        <v>46223</v>
      </c>
      <c r="Q13" s="9" t="s">
        <v>3323</v>
      </c>
      <c r="R13" s="9">
        <v>7</v>
      </c>
      <c r="S13" s="10" t="s">
        <v>3153</v>
      </c>
      <c r="T13" s="10" t="s">
        <v>2250</v>
      </c>
      <c r="U13" s="10" t="s">
        <v>3150</v>
      </c>
      <c r="V13" s="24">
        <v>2.0699999999999998</v>
      </c>
      <c r="W13" s="24">
        <v>14.49</v>
      </c>
      <c r="X13" s="24">
        <v>62.1</v>
      </c>
      <c r="Y13" s="24">
        <v>14.49</v>
      </c>
      <c r="Z13" s="24">
        <v>14.49</v>
      </c>
      <c r="AA13" s="9" t="s">
        <v>3154</v>
      </c>
      <c r="AB13" s="9">
        <v>0</v>
      </c>
      <c r="AC13" s="9">
        <v>0</v>
      </c>
      <c r="AD13" s="8"/>
      <c r="AE13" s="8"/>
      <c r="AF13" s="8"/>
      <c r="AG13" s="8"/>
      <c r="AH13" s="9"/>
      <c r="AI13" s="8">
        <v>46216</v>
      </c>
      <c r="AJ13" s="231">
        <v>46229</v>
      </c>
    </row>
    <row r="14" spans="1:36" hidden="1">
      <c r="A14" s="19" t="s">
        <v>3233</v>
      </c>
      <c r="B14" s="10" t="s">
        <v>3143</v>
      </c>
      <c r="C14" s="10" t="s">
        <v>3144</v>
      </c>
      <c r="D14" s="10" t="s">
        <v>3234</v>
      </c>
      <c r="E14" s="10" t="s">
        <v>3146</v>
      </c>
      <c r="F14" s="10" t="s">
        <v>2713</v>
      </c>
      <c r="G14" s="10" t="s">
        <v>2712</v>
      </c>
      <c r="H14" s="10" t="s">
        <v>707</v>
      </c>
      <c r="I14" s="10" t="s">
        <v>3320</v>
      </c>
      <c r="J14" s="10" t="s">
        <v>3321</v>
      </c>
      <c r="K14" s="10" t="s">
        <v>2252</v>
      </c>
      <c r="L14" s="9" t="s">
        <v>3356</v>
      </c>
      <c r="M14" s="10" t="s">
        <v>15</v>
      </c>
      <c r="N14" s="10" t="s">
        <v>3150</v>
      </c>
      <c r="O14" s="10" t="s">
        <v>3151</v>
      </c>
      <c r="P14" s="8">
        <v>46223</v>
      </c>
      <c r="Q14" s="9" t="s">
        <v>3323</v>
      </c>
      <c r="R14" s="9">
        <v>7</v>
      </c>
      <c r="S14" s="10" t="s">
        <v>3153</v>
      </c>
      <c r="T14" s="10" t="s">
        <v>2250</v>
      </c>
      <c r="U14" s="10" t="s">
        <v>3150</v>
      </c>
      <c r="V14" s="24">
        <v>2.0699999999999998</v>
      </c>
      <c r="W14" s="24">
        <v>14.49</v>
      </c>
      <c r="X14" s="24">
        <v>62.1</v>
      </c>
      <c r="Y14" s="24">
        <v>14.49</v>
      </c>
      <c r="Z14" s="24">
        <v>14.49</v>
      </c>
      <c r="AA14" s="9" t="s">
        <v>3154</v>
      </c>
      <c r="AB14" s="9">
        <v>0</v>
      </c>
      <c r="AC14" s="9">
        <v>0</v>
      </c>
      <c r="AD14" s="8"/>
      <c r="AE14" s="8"/>
      <c r="AF14" s="8"/>
      <c r="AG14" s="8"/>
      <c r="AH14" s="9"/>
      <c r="AI14" s="8">
        <v>46216</v>
      </c>
      <c r="AJ14" s="231">
        <v>46229</v>
      </c>
    </row>
    <row r="15" spans="1:36" hidden="1">
      <c r="A15" s="19" t="s">
        <v>3233</v>
      </c>
      <c r="B15" s="10" t="s">
        <v>3143</v>
      </c>
      <c r="C15" s="10" t="s">
        <v>3144</v>
      </c>
      <c r="D15" s="10" t="s">
        <v>3234</v>
      </c>
      <c r="E15" s="10" t="s">
        <v>3146</v>
      </c>
      <c r="F15" s="10" t="s">
        <v>2713</v>
      </c>
      <c r="G15" s="10" t="s">
        <v>2712</v>
      </c>
      <c r="H15" s="10" t="s">
        <v>707</v>
      </c>
      <c r="I15" s="10" t="s">
        <v>3320</v>
      </c>
      <c r="J15" s="10" t="s">
        <v>3321</v>
      </c>
      <c r="K15" s="10" t="s">
        <v>2252</v>
      </c>
      <c r="L15" s="9" t="s">
        <v>3355</v>
      </c>
      <c r="M15" s="10" t="s">
        <v>15</v>
      </c>
      <c r="N15" s="10" t="s">
        <v>3150</v>
      </c>
      <c r="O15" s="10" t="s">
        <v>3151</v>
      </c>
      <c r="P15" s="8">
        <v>46223</v>
      </c>
      <c r="Q15" s="9" t="s">
        <v>3323</v>
      </c>
      <c r="R15" s="9">
        <v>7</v>
      </c>
      <c r="S15" s="10" t="s">
        <v>3153</v>
      </c>
      <c r="T15" s="10" t="s">
        <v>2250</v>
      </c>
      <c r="U15" s="10" t="s">
        <v>3150</v>
      </c>
      <c r="V15" s="24">
        <v>2.0699999999999998</v>
      </c>
      <c r="W15" s="24">
        <v>14.49</v>
      </c>
      <c r="X15" s="24">
        <v>62.1</v>
      </c>
      <c r="Y15" s="24">
        <v>14.49</v>
      </c>
      <c r="Z15" s="24">
        <v>14.49</v>
      </c>
      <c r="AA15" s="9" t="s">
        <v>3154</v>
      </c>
      <c r="AB15" s="9">
        <v>0</v>
      </c>
      <c r="AC15" s="9">
        <v>0</v>
      </c>
      <c r="AD15" s="8"/>
      <c r="AE15" s="8"/>
      <c r="AF15" s="8"/>
      <c r="AG15" s="8"/>
      <c r="AH15" s="9"/>
      <c r="AI15" s="8">
        <v>46216</v>
      </c>
      <c r="AJ15" s="231">
        <v>46229</v>
      </c>
    </row>
    <row r="16" spans="1:36" hidden="1">
      <c r="A16" s="19" t="s">
        <v>3233</v>
      </c>
      <c r="B16" s="10" t="s">
        <v>3143</v>
      </c>
      <c r="C16" s="10" t="s">
        <v>3144</v>
      </c>
      <c r="D16" s="10" t="s">
        <v>3234</v>
      </c>
      <c r="E16" s="10" t="s">
        <v>3146</v>
      </c>
      <c r="F16" s="10" t="s">
        <v>2713</v>
      </c>
      <c r="G16" s="10" t="s">
        <v>2712</v>
      </c>
      <c r="H16" s="10" t="s">
        <v>707</v>
      </c>
      <c r="I16" s="10" t="s">
        <v>3320</v>
      </c>
      <c r="J16" s="10" t="s">
        <v>3321</v>
      </c>
      <c r="K16" s="10" t="s">
        <v>2252</v>
      </c>
      <c r="L16" s="9" t="s">
        <v>3354</v>
      </c>
      <c r="M16" s="10" t="s">
        <v>15</v>
      </c>
      <c r="N16" s="10" t="s">
        <v>3150</v>
      </c>
      <c r="O16" s="10" t="s">
        <v>3151</v>
      </c>
      <c r="P16" s="8">
        <v>46223</v>
      </c>
      <c r="Q16" s="9" t="s">
        <v>3323</v>
      </c>
      <c r="R16" s="9">
        <v>7</v>
      </c>
      <c r="S16" s="10" t="s">
        <v>3153</v>
      </c>
      <c r="T16" s="10" t="s">
        <v>2250</v>
      </c>
      <c r="U16" s="10" t="s">
        <v>3150</v>
      </c>
      <c r="V16" s="24">
        <v>2.0699999999999998</v>
      </c>
      <c r="W16" s="24">
        <v>14.49</v>
      </c>
      <c r="X16" s="24">
        <v>62.1</v>
      </c>
      <c r="Y16" s="24">
        <v>14.49</v>
      </c>
      <c r="Z16" s="24">
        <v>14.49</v>
      </c>
      <c r="AA16" s="9" t="s">
        <v>3154</v>
      </c>
      <c r="AB16" s="9">
        <v>0</v>
      </c>
      <c r="AC16" s="9">
        <v>0</v>
      </c>
      <c r="AD16" s="8"/>
      <c r="AE16" s="8"/>
      <c r="AF16" s="8"/>
      <c r="AG16" s="8"/>
      <c r="AH16" s="9"/>
      <c r="AI16" s="8">
        <v>46216</v>
      </c>
      <c r="AJ16" s="231">
        <v>46229</v>
      </c>
    </row>
    <row r="17" spans="1:36" hidden="1">
      <c r="A17" s="19" t="s">
        <v>3233</v>
      </c>
      <c r="B17" s="10" t="s">
        <v>3143</v>
      </c>
      <c r="C17" s="10" t="s">
        <v>3144</v>
      </c>
      <c r="D17" s="10" t="s">
        <v>3234</v>
      </c>
      <c r="E17" s="10" t="s">
        <v>3146</v>
      </c>
      <c r="F17" s="10" t="s">
        <v>2713</v>
      </c>
      <c r="G17" s="10" t="s">
        <v>2712</v>
      </c>
      <c r="H17" s="10" t="s">
        <v>707</v>
      </c>
      <c r="I17" s="10" t="s">
        <v>3320</v>
      </c>
      <c r="J17" s="10" t="s">
        <v>3321</v>
      </c>
      <c r="K17" s="10" t="s">
        <v>2252</v>
      </c>
      <c r="L17" s="9" t="s">
        <v>3347</v>
      </c>
      <c r="M17" s="10" t="s">
        <v>15</v>
      </c>
      <c r="N17" s="10" t="s">
        <v>3150</v>
      </c>
      <c r="O17" s="10" t="s">
        <v>3151</v>
      </c>
      <c r="P17" s="8">
        <v>46223</v>
      </c>
      <c r="Q17" s="9" t="s">
        <v>3323</v>
      </c>
      <c r="R17" s="9">
        <v>7</v>
      </c>
      <c r="S17" s="10" t="s">
        <v>3153</v>
      </c>
      <c r="T17" s="10" t="s">
        <v>2250</v>
      </c>
      <c r="U17" s="10" t="s">
        <v>3150</v>
      </c>
      <c r="V17" s="24">
        <v>2.0699999999999998</v>
      </c>
      <c r="W17" s="24">
        <v>14.49</v>
      </c>
      <c r="X17" s="24">
        <v>62.1</v>
      </c>
      <c r="Y17" s="24">
        <v>14.49</v>
      </c>
      <c r="Z17" s="24">
        <v>14.49</v>
      </c>
      <c r="AA17" s="9" t="s">
        <v>3154</v>
      </c>
      <c r="AB17" s="9">
        <v>0</v>
      </c>
      <c r="AC17" s="9">
        <v>0</v>
      </c>
      <c r="AD17" s="8"/>
      <c r="AE17" s="8"/>
      <c r="AF17" s="8"/>
      <c r="AG17" s="8"/>
      <c r="AH17" s="9"/>
      <c r="AI17" s="8">
        <v>46216</v>
      </c>
      <c r="AJ17" s="231">
        <v>46229</v>
      </c>
    </row>
    <row r="18" spans="1:36" hidden="1">
      <c r="A18" s="19" t="s">
        <v>3233</v>
      </c>
      <c r="B18" s="10" t="s">
        <v>3143</v>
      </c>
      <c r="C18" s="10" t="s">
        <v>3144</v>
      </c>
      <c r="D18" s="10" t="s">
        <v>3234</v>
      </c>
      <c r="E18" s="10" t="s">
        <v>3146</v>
      </c>
      <c r="F18" s="10" t="s">
        <v>2713</v>
      </c>
      <c r="G18" s="10" t="s">
        <v>2712</v>
      </c>
      <c r="H18" s="10" t="s">
        <v>707</v>
      </c>
      <c r="I18" s="10" t="s">
        <v>3320</v>
      </c>
      <c r="J18" s="10" t="s">
        <v>3321</v>
      </c>
      <c r="K18" s="10" t="s">
        <v>2252</v>
      </c>
      <c r="L18" s="9" t="s">
        <v>3353</v>
      </c>
      <c r="M18" s="10" t="s">
        <v>15</v>
      </c>
      <c r="N18" s="10" t="s">
        <v>3150</v>
      </c>
      <c r="O18" s="10" t="s">
        <v>3151</v>
      </c>
      <c r="P18" s="8">
        <v>46223</v>
      </c>
      <c r="Q18" s="9" t="s">
        <v>3323</v>
      </c>
      <c r="R18" s="9">
        <v>7</v>
      </c>
      <c r="S18" s="10" t="s">
        <v>3153</v>
      </c>
      <c r="T18" s="10" t="s">
        <v>2250</v>
      </c>
      <c r="U18" s="10" t="s">
        <v>3150</v>
      </c>
      <c r="V18" s="24">
        <v>2.0699999999999998</v>
      </c>
      <c r="W18" s="24">
        <v>14.49</v>
      </c>
      <c r="X18" s="24">
        <v>62.1</v>
      </c>
      <c r="Y18" s="24">
        <v>14.49</v>
      </c>
      <c r="Z18" s="24">
        <v>14.49</v>
      </c>
      <c r="AA18" s="9" t="s">
        <v>3154</v>
      </c>
      <c r="AB18" s="9">
        <v>0</v>
      </c>
      <c r="AC18" s="9">
        <v>0</v>
      </c>
      <c r="AD18" s="8"/>
      <c r="AE18" s="8"/>
      <c r="AF18" s="8"/>
      <c r="AG18" s="8"/>
      <c r="AH18" s="9"/>
      <c r="AI18" s="8">
        <v>46216</v>
      </c>
      <c r="AJ18" s="231">
        <v>46229</v>
      </c>
    </row>
    <row r="19" spans="1:36" hidden="1">
      <c r="A19" s="19" t="s">
        <v>3233</v>
      </c>
      <c r="B19" s="10" t="s">
        <v>3143</v>
      </c>
      <c r="C19" s="10" t="s">
        <v>3144</v>
      </c>
      <c r="D19" s="10" t="s">
        <v>3234</v>
      </c>
      <c r="E19" s="10" t="s">
        <v>3146</v>
      </c>
      <c r="F19" s="10" t="s">
        <v>2713</v>
      </c>
      <c r="G19" s="10" t="s">
        <v>2712</v>
      </c>
      <c r="H19" s="10" t="s">
        <v>707</v>
      </c>
      <c r="I19" s="10" t="s">
        <v>3320</v>
      </c>
      <c r="J19" s="10" t="s">
        <v>3321</v>
      </c>
      <c r="K19" s="10" t="s">
        <v>2252</v>
      </c>
      <c r="L19" s="9" t="s">
        <v>3352</v>
      </c>
      <c r="M19" s="10" t="s">
        <v>15</v>
      </c>
      <c r="N19" s="10" t="s">
        <v>3150</v>
      </c>
      <c r="O19" s="10" t="s">
        <v>3151</v>
      </c>
      <c r="P19" s="8">
        <v>46223</v>
      </c>
      <c r="Q19" s="9" t="s">
        <v>3323</v>
      </c>
      <c r="R19" s="9">
        <v>7</v>
      </c>
      <c r="S19" s="10" t="s">
        <v>3153</v>
      </c>
      <c r="T19" s="10" t="s">
        <v>2250</v>
      </c>
      <c r="U19" s="10" t="s">
        <v>3150</v>
      </c>
      <c r="V19" s="24">
        <v>2.0699999999999998</v>
      </c>
      <c r="W19" s="24">
        <v>14.49</v>
      </c>
      <c r="X19" s="24">
        <v>62.1</v>
      </c>
      <c r="Y19" s="24">
        <v>14.49</v>
      </c>
      <c r="Z19" s="24">
        <v>14.49</v>
      </c>
      <c r="AA19" s="9" t="s">
        <v>3154</v>
      </c>
      <c r="AB19" s="9">
        <v>0</v>
      </c>
      <c r="AC19" s="9">
        <v>0</v>
      </c>
      <c r="AD19" s="8"/>
      <c r="AE19" s="8"/>
      <c r="AF19" s="8"/>
      <c r="AG19" s="8"/>
      <c r="AH19" s="9"/>
      <c r="AI19" s="8">
        <v>46216</v>
      </c>
      <c r="AJ19" s="231">
        <v>46229</v>
      </c>
    </row>
    <row r="20" spans="1:36" hidden="1">
      <c r="A20" s="19" t="s">
        <v>3233</v>
      </c>
      <c r="B20" s="10" t="s">
        <v>3143</v>
      </c>
      <c r="C20" s="10" t="s">
        <v>3144</v>
      </c>
      <c r="D20" s="10" t="s">
        <v>3234</v>
      </c>
      <c r="E20" s="10" t="s">
        <v>3146</v>
      </c>
      <c r="F20" s="10" t="s">
        <v>2713</v>
      </c>
      <c r="G20" s="10" t="s">
        <v>2712</v>
      </c>
      <c r="H20" s="10" t="s">
        <v>707</v>
      </c>
      <c r="I20" s="10" t="s">
        <v>3320</v>
      </c>
      <c r="J20" s="10" t="s">
        <v>3321</v>
      </c>
      <c r="K20" s="10" t="s">
        <v>2252</v>
      </c>
      <c r="L20" s="9" t="s">
        <v>3351</v>
      </c>
      <c r="M20" s="10" t="s">
        <v>15</v>
      </c>
      <c r="N20" s="10" t="s">
        <v>3150</v>
      </c>
      <c r="O20" s="10" t="s">
        <v>3151</v>
      </c>
      <c r="P20" s="8">
        <v>46223</v>
      </c>
      <c r="Q20" s="9" t="s">
        <v>3323</v>
      </c>
      <c r="R20" s="9">
        <v>7</v>
      </c>
      <c r="S20" s="10" t="s">
        <v>3153</v>
      </c>
      <c r="T20" s="10" t="s">
        <v>2250</v>
      </c>
      <c r="U20" s="10" t="s">
        <v>3150</v>
      </c>
      <c r="V20" s="24">
        <v>2.0699999999999998</v>
      </c>
      <c r="W20" s="24">
        <v>14.49</v>
      </c>
      <c r="X20" s="24">
        <v>62.1</v>
      </c>
      <c r="Y20" s="24">
        <v>14.49</v>
      </c>
      <c r="Z20" s="24">
        <v>14.49</v>
      </c>
      <c r="AA20" s="9" t="s">
        <v>3154</v>
      </c>
      <c r="AB20" s="9">
        <v>0</v>
      </c>
      <c r="AC20" s="9">
        <v>0</v>
      </c>
      <c r="AD20" s="8"/>
      <c r="AE20" s="8"/>
      <c r="AF20" s="8"/>
      <c r="AG20" s="8"/>
      <c r="AH20" s="9"/>
      <c r="AI20" s="8">
        <v>46216</v>
      </c>
      <c r="AJ20" s="231">
        <v>46229</v>
      </c>
    </row>
    <row r="21" spans="1:36" hidden="1">
      <c r="A21" s="19" t="s">
        <v>3233</v>
      </c>
      <c r="B21" s="10" t="s">
        <v>3143</v>
      </c>
      <c r="C21" s="10" t="s">
        <v>3144</v>
      </c>
      <c r="D21" s="10" t="s">
        <v>3234</v>
      </c>
      <c r="E21" s="10" t="s">
        <v>3146</v>
      </c>
      <c r="F21" s="10" t="s">
        <v>2713</v>
      </c>
      <c r="G21" s="10" t="s">
        <v>2712</v>
      </c>
      <c r="H21" s="10" t="s">
        <v>707</v>
      </c>
      <c r="I21" s="10" t="s">
        <v>3320</v>
      </c>
      <c r="J21" s="10" t="s">
        <v>3321</v>
      </c>
      <c r="K21" s="10" t="s">
        <v>2252</v>
      </c>
      <c r="L21" s="9" t="s">
        <v>3350</v>
      </c>
      <c r="M21" s="10" t="s">
        <v>15</v>
      </c>
      <c r="N21" s="10" t="s">
        <v>3150</v>
      </c>
      <c r="O21" s="10" t="s">
        <v>3151</v>
      </c>
      <c r="P21" s="8">
        <v>46223</v>
      </c>
      <c r="Q21" s="9" t="s">
        <v>3323</v>
      </c>
      <c r="R21" s="9">
        <v>7</v>
      </c>
      <c r="S21" s="10" t="s">
        <v>3153</v>
      </c>
      <c r="T21" s="10" t="s">
        <v>2250</v>
      </c>
      <c r="U21" s="10" t="s">
        <v>3150</v>
      </c>
      <c r="V21" s="24">
        <v>2.0699999999999998</v>
      </c>
      <c r="W21" s="24">
        <v>14.49</v>
      </c>
      <c r="X21" s="24">
        <v>62.1</v>
      </c>
      <c r="Y21" s="24">
        <v>14.49</v>
      </c>
      <c r="Z21" s="24">
        <v>14.49</v>
      </c>
      <c r="AA21" s="9" t="s">
        <v>3154</v>
      </c>
      <c r="AB21" s="9">
        <v>0</v>
      </c>
      <c r="AC21" s="9">
        <v>0</v>
      </c>
      <c r="AD21" s="8"/>
      <c r="AE21" s="8"/>
      <c r="AF21" s="8"/>
      <c r="AG21" s="8"/>
      <c r="AH21" s="9"/>
      <c r="AI21" s="8">
        <v>46216</v>
      </c>
      <c r="AJ21" s="231">
        <v>46229</v>
      </c>
    </row>
    <row r="22" spans="1:36" hidden="1">
      <c r="A22" s="19" t="s">
        <v>3233</v>
      </c>
      <c r="B22" s="10" t="s">
        <v>3143</v>
      </c>
      <c r="C22" s="10" t="s">
        <v>3144</v>
      </c>
      <c r="D22" s="10" t="s">
        <v>3234</v>
      </c>
      <c r="E22" s="10" t="s">
        <v>3146</v>
      </c>
      <c r="F22" s="10" t="s">
        <v>2713</v>
      </c>
      <c r="G22" s="10" t="s">
        <v>2712</v>
      </c>
      <c r="H22" s="10" t="s">
        <v>707</v>
      </c>
      <c r="I22" s="10" t="s">
        <v>3320</v>
      </c>
      <c r="J22" s="10" t="s">
        <v>3321</v>
      </c>
      <c r="K22" s="10" t="s">
        <v>2252</v>
      </c>
      <c r="L22" s="9" t="s">
        <v>3362</v>
      </c>
      <c r="M22" s="10" t="s">
        <v>15</v>
      </c>
      <c r="N22" s="10" t="s">
        <v>3150</v>
      </c>
      <c r="O22" s="10" t="s">
        <v>3151</v>
      </c>
      <c r="P22" s="8">
        <v>46223</v>
      </c>
      <c r="Q22" s="9" t="s">
        <v>3323</v>
      </c>
      <c r="R22" s="9">
        <v>7</v>
      </c>
      <c r="S22" s="10" t="s">
        <v>3153</v>
      </c>
      <c r="T22" s="10" t="s">
        <v>2250</v>
      </c>
      <c r="U22" s="10" t="s">
        <v>3150</v>
      </c>
      <c r="V22" s="24">
        <v>2.0699999999999998</v>
      </c>
      <c r="W22" s="24">
        <v>14.49</v>
      </c>
      <c r="X22" s="24">
        <v>62.1</v>
      </c>
      <c r="Y22" s="24">
        <v>14.49</v>
      </c>
      <c r="Z22" s="24">
        <v>14.49</v>
      </c>
      <c r="AA22" s="9" t="s">
        <v>3154</v>
      </c>
      <c r="AB22" s="9">
        <v>0</v>
      </c>
      <c r="AC22" s="9">
        <v>0</v>
      </c>
      <c r="AD22" s="8"/>
      <c r="AE22" s="8"/>
      <c r="AF22" s="8"/>
      <c r="AG22" s="8"/>
      <c r="AH22" s="9"/>
      <c r="AI22" s="8">
        <v>46216</v>
      </c>
      <c r="AJ22" s="231">
        <v>46229</v>
      </c>
    </row>
    <row r="23" spans="1:36" hidden="1">
      <c r="A23" s="19" t="s">
        <v>3233</v>
      </c>
      <c r="B23" s="10" t="s">
        <v>3143</v>
      </c>
      <c r="C23" s="10" t="s">
        <v>3144</v>
      </c>
      <c r="D23" s="10" t="s">
        <v>3234</v>
      </c>
      <c r="E23" s="10" t="s">
        <v>3146</v>
      </c>
      <c r="F23" s="10" t="s">
        <v>2713</v>
      </c>
      <c r="G23" s="10" t="s">
        <v>2712</v>
      </c>
      <c r="H23" s="10" t="s">
        <v>707</v>
      </c>
      <c r="I23" s="10" t="s">
        <v>3320</v>
      </c>
      <c r="J23" s="10" t="s">
        <v>3321</v>
      </c>
      <c r="K23" s="10" t="s">
        <v>2252</v>
      </c>
      <c r="L23" s="9" t="s">
        <v>3369</v>
      </c>
      <c r="M23" s="10" t="s">
        <v>15</v>
      </c>
      <c r="N23" s="10" t="s">
        <v>3150</v>
      </c>
      <c r="O23" s="10" t="s">
        <v>3151</v>
      </c>
      <c r="P23" s="8">
        <v>46223</v>
      </c>
      <c r="Q23" s="9" t="s">
        <v>3323</v>
      </c>
      <c r="R23" s="9">
        <v>7</v>
      </c>
      <c r="S23" s="10" t="s">
        <v>3153</v>
      </c>
      <c r="T23" s="10" t="s">
        <v>2250</v>
      </c>
      <c r="U23" s="10" t="s">
        <v>3150</v>
      </c>
      <c r="V23" s="24">
        <v>2.0699999999999998</v>
      </c>
      <c r="W23" s="24">
        <v>14.49</v>
      </c>
      <c r="X23" s="24">
        <v>62.1</v>
      </c>
      <c r="Y23" s="24">
        <v>14.49</v>
      </c>
      <c r="Z23" s="24">
        <v>14.49</v>
      </c>
      <c r="AA23" s="9" t="s">
        <v>3154</v>
      </c>
      <c r="AB23" s="9">
        <v>0</v>
      </c>
      <c r="AC23" s="9">
        <v>0</v>
      </c>
      <c r="AD23" s="8"/>
      <c r="AE23" s="8"/>
      <c r="AF23" s="8"/>
      <c r="AG23" s="8"/>
      <c r="AH23" s="9"/>
      <c r="AI23" s="8">
        <v>46216</v>
      </c>
      <c r="AJ23" s="231">
        <v>46229</v>
      </c>
    </row>
    <row r="24" spans="1:36" hidden="1">
      <c r="A24" s="19" t="s">
        <v>3233</v>
      </c>
      <c r="B24" s="10" t="s">
        <v>3143</v>
      </c>
      <c r="C24" s="10" t="s">
        <v>3144</v>
      </c>
      <c r="D24" s="10" t="s">
        <v>3234</v>
      </c>
      <c r="E24" s="10" t="s">
        <v>3146</v>
      </c>
      <c r="F24" s="10" t="s">
        <v>2713</v>
      </c>
      <c r="G24" s="10" t="s">
        <v>2712</v>
      </c>
      <c r="H24" s="10" t="s">
        <v>707</v>
      </c>
      <c r="I24" s="10" t="s">
        <v>3320</v>
      </c>
      <c r="J24" s="10" t="s">
        <v>3321</v>
      </c>
      <c r="K24" s="10" t="s">
        <v>2252</v>
      </c>
      <c r="L24" s="9" t="s">
        <v>3346</v>
      </c>
      <c r="M24" s="10" t="s">
        <v>15</v>
      </c>
      <c r="N24" s="10" t="s">
        <v>3150</v>
      </c>
      <c r="O24" s="10" t="s">
        <v>3151</v>
      </c>
      <c r="P24" s="8">
        <v>46223</v>
      </c>
      <c r="Q24" s="9" t="s">
        <v>3323</v>
      </c>
      <c r="R24" s="9">
        <v>7</v>
      </c>
      <c r="S24" s="10" t="s">
        <v>3153</v>
      </c>
      <c r="T24" s="10" t="s">
        <v>2250</v>
      </c>
      <c r="U24" s="10" t="s">
        <v>3150</v>
      </c>
      <c r="V24" s="24">
        <v>2.0699999999999998</v>
      </c>
      <c r="W24" s="24">
        <v>14.49</v>
      </c>
      <c r="X24" s="24">
        <v>62.1</v>
      </c>
      <c r="Y24" s="24">
        <v>14.49</v>
      </c>
      <c r="Z24" s="24">
        <v>14.49</v>
      </c>
      <c r="AA24" s="9" t="s">
        <v>3154</v>
      </c>
      <c r="AB24" s="9">
        <v>0</v>
      </c>
      <c r="AC24" s="9">
        <v>0</v>
      </c>
      <c r="AD24" s="8"/>
      <c r="AE24" s="8"/>
      <c r="AF24" s="8"/>
      <c r="AG24" s="8"/>
      <c r="AH24" s="9"/>
      <c r="AI24" s="8">
        <v>46216</v>
      </c>
      <c r="AJ24" s="231">
        <v>46229</v>
      </c>
    </row>
    <row r="25" spans="1:36" hidden="1">
      <c r="A25" s="19" t="s">
        <v>3233</v>
      </c>
      <c r="B25" s="10" t="s">
        <v>3143</v>
      </c>
      <c r="C25" s="10" t="s">
        <v>3144</v>
      </c>
      <c r="D25" s="10" t="s">
        <v>3234</v>
      </c>
      <c r="E25" s="10" t="s">
        <v>3146</v>
      </c>
      <c r="F25" s="10" t="s">
        <v>2713</v>
      </c>
      <c r="G25" s="10" t="s">
        <v>2712</v>
      </c>
      <c r="H25" s="10" t="s">
        <v>707</v>
      </c>
      <c r="I25" s="10" t="s">
        <v>3320</v>
      </c>
      <c r="J25" s="10" t="s">
        <v>3321</v>
      </c>
      <c r="K25" s="10" t="s">
        <v>2252</v>
      </c>
      <c r="L25" s="9" t="s">
        <v>3348</v>
      </c>
      <c r="M25" s="10" t="s">
        <v>15</v>
      </c>
      <c r="N25" s="10" t="s">
        <v>3150</v>
      </c>
      <c r="O25" s="10" t="s">
        <v>3151</v>
      </c>
      <c r="P25" s="8">
        <v>46223</v>
      </c>
      <c r="Q25" s="9" t="s">
        <v>3323</v>
      </c>
      <c r="R25" s="9">
        <v>7</v>
      </c>
      <c r="S25" s="10" t="s">
        <v>3153</v>
      </c>
      <c r="T25" s="10" t="s">
        <v>2250</v>
      </c>
      <c r="U25" s="10" t="s">
        <v>3150</v>
      </c>
      <c r="V25" s="24">
        <v>2.0699999999999998</v>
      </c>
      <c r="W25" s="24">
        <v>14.49</v>
      </c>
      <c r="X25" s="24">
        <v>62.1</v>
      </c>
      <c r="Y25" s="24">
        <v>14.49</v>
      </c>
      <c r="Z25" s="24">
        <v>14.49</v>
      </c>
      <c r="AA25" s="9" t="s">
        <v>3154</v>
      </c>
      <c r="AB25" s="9">
        <v>0</v>
      </c>
      <c r="AC25" s="9">
        <v>0</v>
      </c>
      <c r="AD25" s="8"/>
      <c r="AE25" s="8"/>
      <c r="AF25" s="8"/>
      <c r="AG25" s="8"/>
      <c r="AH25" s="9"/>
      <c r="AI25" s="8">
        <v>46216</v>
      </c>
      <c r="AJ25" s="231">
        <v>46229</v>
      </c>
    </row>
    <row r="26" spans="1:36" hidden="1">
      <c r="A26" s="19" t="s">
        <v>3233</v>
      </c>
      <c r="B26" s="10" t="s">
        <v>3143</v>
      </c>
      <c r="C26" s="10" t="s">
        <v>3144</v>
      </c>
      <c r="D26" s="10" t="s">
        <v>3234</v>
      </c>
      <c r="E26" s="10" t="s">
        <v>3146</v>
      </c>
      <c r="F26" s="10" t="s">
        <v>2713</v>
      </c>
      <c r="G26" s="10" t="s">
        <v>2712</v>
      </c>
      <c r="H26" s="10" t="s">
        <v>707</v>
      </c>
      <c r="I26" s="10" t="s">
        <v>3320</v>
      </c>
      <c r="J26" s="10" t="s">
        <v>3321</v>
      </c>
      <c r="K26" s="10" t="s">
        <v>2252</v>
      </c>
      <c r="L26" s="9" t="s">
        <v>3332</v>
      </c>
      <c r="M26" s="10" t="s">
        <v>15</v>
      </c>
      <c r="N26" s="10" t="s">
        <v>3150</v>
      </c>
      <c r="O26" s="10" t="s">
        <v>3151</v>
      </c>
      <c r="P26" s="8">
        <v>46223</v>
      </c>
      <c r="Q26" s="9" t="s">
        <v>3323</v>
      </c>
      <c r="R26" s="9">
        <v>7</v>
      </c>
      <c r="S26" s="10" t="s">
        <v>3153</v>
      </c>
      <c r="T26" s="10" t="s">
        <v>2250</v>
      </c>
      <c r="U26" s="10" t="s">
        <v>3150</v>
      </c>
      <c r="V26" s="24">
        <v>2.0699999999999998</v>
      </c>
      <c r="W26" s="24">
        <v>14.49</v>
      </c>
      <c r="X26" s="24">
        <v>62.1</v>
      </c>
      <c r="Y26" s="24">
        <v>14.49</v>
      </c>
      <c r="Z26" s="24">
        <v>14.49</v>
      </c>
      <c r="AA26" s="9" t="s">
        <v>3154</v>
      </c>
      <c r="AB26" s="9">
        <v>0</v>
      </c>
      <c r="AC26" s="9">
        <v>0</v>
      </c>
      <c r="AD26" s="8"/>
      <c r="AE26" s="8"/>
      <c r="AF26" s="8"/>
      <c r="AG26" s="8"/>
      <c r="AH26" s="9"/>
      <c r="AI26" s="8">
        <v>46216</v>
      </c>
      <c r="AJ26" s="231">
        <v>46229</v>
      </c>
    </row>
    <row r="27" spans="1:36" hidden="1">
      <c r="A27" s="19" t="s">
        <v>3233</v>
      </c>
      <c r="B27" s="10" t="s">
        <v>3143</v>
      </c>
      <c r="C27" s="10" t="s">
        <v>3144</v>
      </c>
      <c r="D27" s="10" t="s">
        <v>3234</v>
      </c>
      <c r="E27" s="10" t="s">
        <v>3146</v>
      </c>
      <c r="F27" s="10" t="s">
        <v>2713</v>
      </c>
      <c r="G27" s="10" t="s">
        <v>2712</v>
      </c>
      <c r="H27" s="10" t="s">
        <v>707</v>
      </c>
      <c r="I27" s="10" t="s">
        <v>3320</v>
      </c>
      <c r="J27" s="10" t="s">
        <v>3321</v>
      </c>
      <c r="K27" s="10" t="s">
        <v>2252</v>
      </c>
      <c r="L27" s="9" t="s">
        <v>3326</v>
      </c>
      <c r="M27" s="10" t="s">
        <v>15</v>
      </c>
      <c r="N27" s="10" t="s">
        <v>3150</v>
      </c>
      <c r="O27" s="10" t="s">
        <v>3151</v>
      </c>
      <c r="P27" s="8">
        <v>46223</v>
      </c>
      <c r="Q27" s="9" t="s">
        <v>3323</v>
      </c>
      <c r="R27" s="9">
        <v>7</v>
      </c>
      <c r="S27" s="10" t="s">
        <v>3153</v>
      </c>
      <c r="T27" s="10" t="s">
        <v>2250</v>
      </c>
      <c r="U27" s="10" t="s">
        <v>3150</v>
      </c>
      <c r="V27" s="24">
        <v>2.0699999999999998</v>
      </c>
      <c r="W27" s="24">
        <v>14.49</v>
      </c>
      <c r="X27" s="24">
        <v>62.1</v>
      </c>
      <c r="Y27" s="24">
        <v>14.49</v>
      </c>
      <c r="Z27" s="24">
        <v>14.49</v>
      </c>
      <c r="AA27" s="9" t="s">
        <v>3154</v>
      </c>
      <c r="AB27" s="9">
        <v>0</v>
      </c>
      <c r="AC27" s="9">
        <v>0</v>
      </c>
      <c r="AD27" s="8"/>
      <c r="AE27" s="8"/>
      <c r="AF27" s="8"/>
      <c r="AG27" s="8"/>
      <c r="AH27" s="9"/>
      <c r="AI27" s="8">
        <v>46216</v>
      </c>
      <c r="AJ27" s="231">
        <v>46229</v>
      </c>
    </row>
    <row r="28" spans="1:36" hidden="1">
      <c r="A28" s="19" t="s">
        <v>3233</v>
      </c>
      <c r="B28" s="10" t="s">
        <v>3143</v>
      </c>
      <c r="C28" s="10" t="s">
        <v>3144</v>
      </c>
      <c r="D28" s="10" t="s">
        <v>3234</v>
      </c>
      <c r="E28" s="10" t="s">
        <v>3146</v>
      </c>
      <c r="F28" s="10" t="s">
        <v>2713</v>
      </c>
      <c r="G28" s="10" t="s">
        <v>2712</v>
      </c>
      <c r="H28" s="10" t="s">
        <v>707</v>
      </c>
      <c r="I28" s="10" t="s">
        <v>3320</v>
      </c>
      <c r="J28" s="10" t="s">
        <v>3321</v>
      </c>
      <c r="K28" s="10" t="s">
        <v>2252</v>
      </c>
      <c r="L28" s="9" t="s">
        <v>3325</v>
      </c>
      <c r="M28" s="10" t="s">
        <v>15</v>
      </c>
      <c r="N28" s="10" t="s">
        <v>3150</v>
      </c>
      <c r="O28" s="10" t="s">
        <v>3151</v>
      </c>
      <c r="P28" s="8">
        <v>46223</v>
      </c>
      <c r="Q28" s="9" t="s">
        <v>3323</v>
      </c>
      <c r="R28" s="9">
        <v>7</v>
      </c>
      <c r="S28" s="10" t="s">
        <v>3153</v>
      </c>
      <c r="T28" s="10" t="s">
        <v>2250</v>
      </c>
      <c r="U28" s="10" t="s">
        <v>3150</v>
      </c>
      <c r="V28" s="24">
        <v>2.0699999999999998</v>
      </c>
      <c r="W28" s="24">
        <v>14.49</v>
      </c>
      <c r="X28" s="24">
        <v>62.1</v>
      </c>
      <c r="Y28" s="24">
        <v>14.49</v>
      </c>
      <c r="Z28" s="24">
        <v>14.49</v>
      </c>
      <c r="AA28" s="9" t="s">
        <v>3154</v>
      </c>
      <c r="AB28" s="9">
        <v>0</v>
      </c>
      <c r="AC28" s="9">
        <v>0</v>
      </c>
      <c r="AD28" s="8"/>
      <c r="AE28" s="8"/>
      <c r="AF28" s="8"/>
      <c r="AG28" s="8"/>
      <c r="AH28" s="9"/>
      <c r="AI28" s="8">
        <v>46216</v>
      </c>
      <c r="AJ28" s="231">
        <v>46229</v>
      </c>
    </row>
    <row r="29" spans="1:36" hidden="1">
      <c r="A29" s="19" t="s">
        <v>3233</v>
      </c>
      <c r="B29" s="10" t="s">
        <v>3143</v>
      </c>
      <c r="C29" s="10" t="s">
        <v>3144</v>
      </c>
      <c r="D29" s="10" t="s">
        <v>3234</v>
      </c>
      <c r="E29" s="10" t="s">
        <v>3146</v>
      </c>
      <c r="F29" s="10" t="s">
        <v>2713</v>
      </c>
      <c r="G29" s="10" t="s">
        <v>2712</v>
      </c>
      <c r="H29" s="10" t="s">
        <v>707</v>
      </c>
      <c r="I29" s="10" t="s">
        <v>3320</v>
      </c>
      <c r="J29" s="10" t="s">
        <v>3321</v>
      </c>
      <c r="K29" s="10" t="s">
        <v>2252</v>
      </c>
      <c r="L29" s="9" t="s">
        <v>3324</v>
      </c>
      <c r="M29" s="10" t="s">
        <v>15</v>
      </c>
      <c r="N29" s="10" t="s">
        <v>3150</v>
      </c>
      <c r="O29" s="10" t="s">
        <v>3151</v>
      </c>
      <c r="P29" s="8">
        <v>46223</v>
      </c>
      <c r="Q29" s="9" t="s">
        <v>3323</v>
      </c>
      <c r="R29" s="9">
        <v>7</v>
      </c>
      <c r="S29" s="10" t="s">
        <v>3153</v>
      </c>
      <c r="T29" s="10" t="s">
        <v>2250</v>
      </c>
      <c r="U29" s="10" t="s">
        <v>3150</v>
      </c>
      <c r="V29" s="24">
        <v>2.0699999999999998</v>
      </c>
      <c r="W29" s="24">
        <v>14.49</v>
      </c>
      <c r="X29" s="24">
        <v>62.1</v>
      </c>
      <c r="Y29" s="24">
        <v>14.49</v>
      </c>
      <c r="Z29" s="24">
        <v>14.49</v>
      </c>
      <c r="AA29" s="9" t="s">
        <v>3154</v>
      </c>
      <c r="AB29" s="9">
        <v>0</v>
      </c>
      <c r="AC29" s="9">
        <v>0</v>
      </c>
      <c r="AD29" s="8"/>
      <c r="AE29" s="8"/>
      <c r="AF29" s="8"/>
      <c r="AG29" s="8"/>
      <c r="AH29" s="9"/>
      <c r="AI29" s="8">
        <v>46216</v>
      </c>
      <c r="AJ29" s="231">
        <v>46229</v>
      </c>
    </row>
    <row r="30" spans="1:36" hidden="1">
      <c r="A30" s="19" t="s">
        <v>3233</v>
      </c>
      <c r="B30" s="10" t="s">
        <v>3143</v>
      </c>
      <c r="C30" s="10" t="s">
        <v>3144</v>
      </c>
      <c r="D30" s="10" t="s">
        <v>3234</v>
      </c>
      <c r="E30" s="10" t="s">
        <v>3146</v>
      </c>
      <c r="F30" s="10" t="s">
        <v>2713</v>
      </c>
      <c r="G30" s="10" t="s">
        <v>2712</v>
      </c>
      <c r="H30" s="10" t="s">
        <v>707</v>
      </c>
      <c r="I30" s="10" t="s">
        <v>3320</v>
      </c>
      <c r="J30" s="10" t="s">
        <v>3321</v>
      </c>
      <c r="K30" s="10" t="s">
        <v>2252</v>
      </c>
      <c r="L30" s="9" t="s">
        <v>3331</v>
      </c>
      <c r="M30" s="10" t="s">
        <v>15</v>
      </c>
      <c r="N30" s="10" t="s">
        <v>3150</v>
      </c>
      <c r="O30" s="10" t="s">
        <v>3151</v>
      </c>
      <c r="P30" s="8">
        <v>46223</v>
      </c>
      <c r="Q30" s="9" t="s">
        <v>3323</v>
      </c>
      <c r="R30" s="9">
        <v>7</v>
      </c>
      <c r="S30" s="10" t="s">
        <v>3153</v>
      </c>
      <c r="T30" s="10" t="s">
        <v>2250</v>
      </c>
      <c r="U30" s="10" t="s">
        <v>3150</v>
      </c>
      <c r="V30" s="24">
        <v>2.0699999999999998</v>
      </c>
      <c r="W30" s="24">
        <v>14.49</v>
      </c>
      <c r="X30" s="24">
        <v>62.1</v>
      </c>
      <c r="Y30" s="24">
        <v>14.49</v>
      </c>
      <c r="Z30" s="24">
        <v>14.49</v>
      </c>
      <c r="AA30" s="9" t="s">
        <v>3154</v>
      </c>
      <c r="AB30" s="9">
        <v>0</v>
      </c>
      <c r="AC30" s="9">
        <v>0</v>
      </c>
      <c r="AD30" s="8"/>
      <c r="AE30" s="8"/>
      <c r="AF30" s="8"/>
      <c r="AG30" s="8"/>
      <c r="AH30" s="9"/>
      <c r="AI30" s="8">
        <v>46216</v>
      </c>
      <c r="AJ30" s="231">
        <v>46229</v>
      </c>
    </row>
    <row r="31" spans="1:36" hidden="1">
      <c r="A31" s="19" t="s">
        <v>3233</v>
      </c>
      <c r="B31" s="10" t="s">
        <v>3143</v>
      </c>
      <c r="C31" s="10" t="s">
        <v>3144</v>
      </c>
      <c r="D31" s="10" t="s">
        <v>3234</v>
      </c>
      <c r="E31" s="10" t="s">
        <v>3146</v>
      </c>
      <c r="F31" s="10" t="s">
        <v>2713</v>
      </c>
      <c r="G31" s="10" t="s">
        <v>2712</v>
      </c>
      <c r="H31" s="10" t="s">
        <v>707</v>
      </c>
      <c r="I31" s="10" t="s">
        <v>3320</v>
      </c>
      <c r="J31" s="10" t="s">
        <v>3321</v>
      </c>
      <c r="K31" s="10" t="s">
        <v>2252</v>
      </c>
      <c r="L31" s="9" t="s">
        <v>3333</v>
      </c>
      <c r="M31" s="10" t="s">
        <v>15</v>
      </c>
      <c r="N31" s="10" t="s">
        <v>3150</v>
      </c>
      <c r="O31" s="10" t="s">
        <v>3151</v>
      </c>
      <c r="P31" s="8">
        <v>46223</v>
      </c>
      <c r="Q31" s="9" t="s">
        <v>3323</v>
      </c>
      <c r="R31" s="9">
        <v>7</v>
      </c>
      <c r="S31" s="10" t="s">
        <v>3153</v>
      </c>
      <c r="T31" s="10" t="s">
        <v>2250</v>
      </c>
      <c r="U31" s="10" t="s">
        <v>3150</v>
      </c>
      <c r="V31" s="24">
        <v>2.0699999999999998</v>
      </c>
      <c r="W31" s="24">
        <v>14.49</v>
      </c>
      <c r="X31" s="24">
        <v>62.1</v>
      </c>
      <c r="Y31" s="24">
        <v>14.49</v>
      </c>
      <c r="Z31" s="24">
        <v>14.49</v>
      </c>
      <c r="AA31" s="9" t="s">
        <v>3154</v>
      </c>
      <c r="AB31" s="9">
        <v>0</v>
      </c>
      <c r="AC31" s="9">
        <v>0</v>
      </c>
      <c r="AD31" s="8"/>
      <c r="AE31" s="8"/>
      <c r="AF31" s="8"/>
      <c r="AG31" s="8"/>
      <c r="AH31" s="9"/>
      <c r="AI31" s="8">
        <v>46216</v>
      </c>
      <c r="AJ31" s="231">
        <v>46229</v>
      </c>
    </row>
    <row r="32" spans="1:36" hidden="1">
      <c r="A32" s="19" t="s">
        <v>3233</v>
      </c>
      <c r="B32" s="10" t="s">
        <v>3143</v>
      </c>
      <c r="C32" s="10" t="s">
        <v>3144</v>
      </c>
      <c r="D32" s="10" t="s">
        <v>3234</v>
      </c>
      <c r="E32" s="10" t="s">
        <v>3146</v>
      </c>
      <c r="F32" s="10" t="s">
        <v>2713</v>
      </c>
      <c r="G32" s="10" t="s">
        <v>2712</v>
      </c>
      <c r="H32" s="10" t="s">
        <v>707</v>
      </c>
      <c r="I32" s="10" t="s">
        <v>3320</v>
      </c>
      <c r="J32" s="10" t="s">
        <v>3321</v>
      </c>
      <c r="K32" s="10" t="s">
        <v>2252</v>
      </c>
      <c r="L32" s="9" t="s">
        <v>3345</v>
      </c>
      <c r="M32" s="10" t="s">
        <v>15</v>
      </c>
      <c r="N32" s="10" t="s">
        <v>3150</v>
      </c>
      <c r="O32" s="10" t="s">
        <v>3151</v>
      </c>
      <c r="P32" s="8">
        <v>46223</v>
      </c>
      <c r="Q32" s="9" t="s">
        <v>3323</v>
      </c>
      <c r="R32" s="9">
        <v>7</v>
      </c>
      <c r="S32" s="10" t="s">
        <v>3153</v>
      </c>
      <c r="T32" s="10" t="s">
        <v>2250</v>
      </c>
      <c r="U32" s="10" t="s">
        <v>3150</v>
      </c>
      <c r="V32" s="24">
        <v>2.0699999999999998</v>
      </c>
      <c r="W32" s="24">
        <v>14.49</v>
      </c>
      <c r="X32" s="24">
        <v>62.1</v>
      </c>
      <c r="Y32" s="24">
        <v>14.49</v>
      </c>
      <c r="Z32" s="24">
        <v>14.49</v>
      </c>
      <c r="AA32" s="9" t="s">
        <v>3154</v>
      </c>
      <c r="AB32" s="9">
        <v>0</v>
      </c>
      <c r="AC32" s="9">
        <v>0</v>
      </c>
      <c r="AD32" s="8"/>
      <c r="AE32" s="8"/>
      <c r="AF32" s="8"/>
      <c r="AG32" s="8"/>
      <c r="AH32" s="9"/>
      <c r="AI32" s="8">
        <v>46216</v>
      </c>
      <c r="AJ32" s="231">
        <v>46229</v>
      </c>
    </row>
    <row r="33" spans="1:36" hidden="1">
      <c r="A33" s="19" t="s">
        <v>3233</v>
      </c>
      <c r="B33" s="10" t="s">
        <v>3143</v>
      </c>
      <c r="C33" s="10" t="s">
        <v>3144</v>
      </c>
      <c r="D33" s="10" t="s">
        <v>3234</v>
      </c>
      <c r="E33" s="10" t="s">
        <v>3146</v>
      </c>
      <c r="F33" s="10" t="s">
        <v>2713</v>
      </c>
      <c r="G33" s="10" t="s">
        <v>2712</v>
      </c>
      <c r="H33" s="10" t="s">
        <v>707</v>
      </c>
      <c r="I33" s="10" t="s">
        <v>3320</v>
      </c>
      <c r="J33" s="10" t="s">
        <v>3321</v>
      </c>
      <c r="K33" s="10" t="s">
        <v>2252</v>
      </c>
      <c r="L33" s="9" t="s">
        <v>3335</v>
      </c>
      <c r="M33" s="10" t="s">
        <v>15</v>
      </c>
      <c r="N33" s="10" t="s">
        <v>3150</v>
      </c>
      <c r="O33" s="10" t="s">
        <v>3151</v>
      </c>
      <c r="P33" s="8">
        <v>46223</v>
      </c>
      <c r="Q33" s="9" t="s">
        <v>3323</v>
      </c>
      <c r="R33" s="9">
        <v>7</v>
      </c>
      <c r="S33" s="10" t="s">
        <v>3153</v>
      </c>
      <c r="T33" s="10" t="s">
        <v>2250</v>
      </c>
      <c r="U33" s="10" t="s">
        <v>3150</v>
      </c>
      <c r="V33" s="24">
        <v>2.0699999999999998</v>
      </c>
      <c r="W33" s="24">
        <v>14.49</v>
      </c>
      <c r="X33" s="24">
        <v>62.1</v>
      </c>
      <c r="Y33" s="24">
        <v>14.49</v>
      </c>
      <c r="Z33" s="24">
        <v>14.49</v>
      </c>
      <c r="AA33" s="9" t="s">
        <v>3154</v>
      </c>
      <c r="AB33" s="9">
        <v>0</v>
      </c>
      <c r="AC33" s="9">
        <v>0</v>
      </c>
      <c r="AD33" s="8"/>
      <c r="AE33" s="8"/>
      <c r="AF33" s="8"/>
      <c r="AG33" s="8"/>
      <c r="AH33" s="9"/>
      <c r="AI33" s="8">
        <v>46216</v>
      </c>
      <c r="AJ33" s="231">
        <v>46229</v>
      </c>
    </row>
    <row r="34" spans="1:36" hidden="1">
      <c r="A34" s="19" t="s">
        <v>3233</v>
      </c>
      <c r="B34" s="10" t="s">
        <v>3143</v>
      </c>
      <c r="C34" s="10" t="s">
        <v>3144</v>
      </c>
      <c r="D34" s="10" t="s">
        <v>3234</v>
      </c>
      <c r="E34" s="10" t="s">
        <v>3146</v>
      </c>
      <c r="F34" s="10" t="s">
        <v>2713</v>
      </c>
      <c r="G34" s="10" t="s">
        <v>2712</v>
      </c>
      <c r="H34" s="10" t="s">
        <v>707</v>
      </c>
      <c r="I34" s="10" t="s">
        <v>3320</v>
      </c>
      <c r="J34" s="10" t="s">
        <v>3321</v>
      </c>
      <c r="K34" s="10" t="s">
        <v>2252</v>
      </c>
      <c r="L34" s="9" t="s">
        <v>3336</v>
      </c>
      <c r="M34" s="10" t="s">
        <v>15</v>
      </c>
      <c r="N34" s="10" t="s">
        <v>3150</v>
      </c>
      <c r="O34" s="10" t="s">
        <v>3151</v>
      </c>
      <c r="P34" s="8">
        <v>46223</v>
      </c>
      <c r="Q34" s="9" t="s">
        <v>3323</v>
      </c>
      <c r="R34" s="9">
        <v>7</v>
      </c>
      <c r="S34" s="10" t="s">
        <v>3153</v>
      </c>
      <c r="T34" s="10" t="s">
        <v>2250</v>
      </c>
      <c r="U34" s="10" t="s">
        <v>3150</v>
      </c>
      <c r="V34" s="24">
        <v>2.0699999999999998</v>
      </c>
      <c r="W34" s="24">
        <v>14.49</v>
      </c>
      <c r="X34" s="24">
        <v>62.1</v>
      </c>
      <c r="Y34" s="24">
        <v>14.49</v>
      </c>
      <c r="Z34" s="24">
        <v>14.49</v>
      </c>
      <c r="AA34" s="9" t="s">
        <v>3154</v>
      </c>
      <c r="AB34" s="9">
        <v>0</v>
      </c>
      <c r="AC34" s="9">
        <v>0</v>
      </c>
      <c r="AD34" s="8"/>
      <c r="AE34" s="8"/>
      <c r="AF34" s="8"/>
      <c r="AG34" s="8"/>
      <c r="AH34" s="9"/>
      <c r="AI34" s="8">
        <v>46216</v>
      </c>
      <c r="AJ34" s="231">
        <v>46229</v>
      </c>
    </row>
    <row r="35" spans="1:36" hidden="1">
      <c r="A35" s="19" t="s">
        <v>3233</v>
      </c>
      <c r="B35" s="10" t="s">
        <v>3143</v>
      </c>
      <c r="C35" s="10" t="s">
        <v>3144</v>
      </c>
      <c r="D35" s="10" t="s">
        <v>3234</v>
      </c>
      <c r="E35" s="10" t="s">
        <v>3146</v>
      </c>
      <c r="F35" s="10" t="s">
        <v>2713</v>
      </c>
      <c r="G35" s="10" t="s">
        <v>2712</v>
      </c>
      <c r="H35" s="10" t="s">
        <v>707</v>
      </c>
      <c r="I35" s="10" t="s">
        <v>3320</v>
      </c>
      <c r="J35" s="10" t="s">
        <v>3321</v>
      </c>
      <c r="K35" s="10" t="s">
        <v>2252</v>
      </c>
      <c r="L35" s="9" t="s">
        <v>3337</v>
      </c>
      <c r="M35" s="10" t="s">
        <v>15</v>
      </c>
      <c r="N35" s="10" t="s">
        <v>3150</v>
      </c>
      <c r="O35" s="10" t="s">
        <v>3151</v>
      </c>
      <c r="P35" s="8">
        <v>46223</v>
      </c>
      <c r="Q35" s="9" t="s">
        <v>3323</v>
      </c>
      <c r="R35" s="9">
        <v>7</v>
      </c>
      <c r="S35" s="10" t="s">
        <v>3153</v>
      </c>
      <c r="T35" s="10" t="s">
        <v>2250</v>
      </c>
      <c r="U35" s="10" t="s">
        <v>3150</v>
      </c>
      <c r="V35" s="24">
        <v>2.0699999999999998</v>
      </c>
      <c r="W35" s="24">
        <v>14.49</v>
      </c>
      <c r="X35" s="24">
        <v>62.1</v>
      </c>
      <c r="Y35" s="24">
        <v>14.49</v>
      </c>
      <c r="Z35" s="24">
        <v>14.49</v>
      </c>
      <c r="AA35" s="9" t="s">
        <v>3154</v>
      </c>
      <c r="AB35" s="9">
        <v>0</v>
      </c>
      <c r="AC35" s="9">
        <v>0</v>
      </c>
      <c r="AD35" s="8"/>
      <c r="AE35" s="8"/>
      <c r="AF35" s="8"/>
      <c r="AG35" s="8"/>
      <c r="AH35" s="9"/>
      <c r="AI35" s="8">
        <v>46216</v>
      </c>
      <c r="AJ35" s="231">
        <v>46229</v>
      </c>
    </row>
    <row r="36" spans="1:36" hidden="1">
      <c r="A36" s="19" t="s">
        <v>3233</v>
      </c>
      <c r="B36" s="10" t="s">
        <v>3143</v>
      </c>
      <c r="C36" s="10" t="s">
        <v>3144</v>
      </c>
      <c r="D36" s="10" t="s">
        <v>3234</v>
      </c>
      <c r="E36" s="10" t="s">
        <v>3146</v>
      </c>
      <c r="F36" s="10" t="s">
        <v>2713</v>
      </c>
      <c r="G36" s="10" t="s">
        <v>2712</v>
      </c>
      <c r="H36" s="10" t="s">
        <v>707</v>
      </c>
      <c r="I36" s="10" t="s">
        <v>3320</v>
      </c>
      <c r="J36" s="10" t="s">
        <v>3321</v>
      </c>
      <c r="K36" s="10" t="s">
        <v>2252</v>
      </c>
      <c r="L36" s="9" t="s">
        <v>3338</v>
      </c>
      <c r="M36" s="10" t="s">
        <v>15</v>
      </c>
      <c r="N36" s="10" t="s">
        <v>3150</v>
      </c>
      <c r="O36" s="10" t="s">
        <v>3151</v>
      </c>
      <c r="P36" s="8">
        <v>46223</v>
      </c>
      <c r="Q36" s="9" t="s">
        <v>3323</v>
      </c>
      <c r="R36" s="9">
        <v>7</v>
      </c>
      <c r="S36" s="10" t="s">
        <v>3153</v>
      </c>
      <c r="T36" s="10" t="s">
        <v>2250</v>
      </c>
      <c r="U36" s="10" t="s">
        <v>3150</v>
      </c>
      <c r="V36" s="24">
        <v>2.0699999999999998</v>
      </c>
      <c r="W36" s="24">
        <v>14.49</v>
      </c>
      <c r="X36" s="24">
        <v>62.1</v>
      </c>
      <c r="Y36" s="24">
        <v>14.49</v>
      </c>
      <c r="Z36" s="24">
        <v>14.49</v>
      </c>
      <c r="AA36" s="9" t="s">
        <v>3154</v>
      </c>
      <c r="AB36" s="9">
        <v>0</v>
      </c>
      <c r="AC36" s="9">
        <v>0</v>
      </c>
      <c r="AD36" s="8"/>
      <c r="AE36" s="8"/>
      <c r="AF36" s="8"/>
      <c r="AG36" s="8"/>
      <c r="AH36" s="9"/>
      <c r="AI36" s="8">
        <v>46216</v>
      </c>
      <c r="AJ36" s="231">
        <v>46229</v>
      </c>
    </row>
    <row r="37" spans="1:36" hidden="1">
      <c r="A37" s="19" t="s">
        <v>3233</v>
      </c>
      <c r="B37" s="10" t="s">
        <v>3143</v>
      </c>
      <c r="C37" s="10" t="s">
        <v>3144</v>
      </c>
      <c r="D37" s="10" t="s">
        <v>3234</v>
      </c>
      <c r="E37" s="10" t="s">
        <v>3146</v>
      </c>
      <c r="F37" s="10" t="s">
        <v>2713</v>
      </c>
      <c r="G37" s="10" t="s">
        <v>2712</v>
      </c>
      <c r="H37" s="10" t="s">
        <v>707</v>
      </c>
      <c r="I37" s="10" t="s">
        <v>3320</v>
      </c>
      <c r="J37" s="10" t="s">
        <v>3321</v>
      </c>
      <c r="K37" s="10" t="s">
        <v>2252</v>
      </c>
      <c r="L37" s="9" t="s">
        <v>3370</v>
      </c>
      <c r="M37" s="10" t="s">
        <v>15</v>
      </c>
      <c r="N37" s="10" t="s">
        <v>3150</v>
      </c>
      <c r="O37" s="10" t="s">
        <v>3151</v>
      </c>
      <c r="P37" s="8">
        <v>46223</v>
      </c>
      <c r="Q37" s="9" t="s">
        <v>3323</v>
      </c>
      <c r="R37" s="9">
        <v>7</v>
      </c>
      <c r="S37" s="10" t="s">
        <v>3153</v>
      </c>
      <c r="T37" s="10" t="s">
        <v>2250</v>
      </c>
      <c r="U37" s="10" t="s">
        <v>3150</v>
      </c>
      <c r="V37" s="24">
        <v>2.0699999999999998</v>
      </c>
      <c r="W37" s="24">
        <v>14.49</v>
      </c>
      <c r="X37" s="24">
        <v>62.1</v>
      </c>
      <c r="Y37" s="24">
        <v>14.49</v>
      </c>
      <c r="Z37" s="24">
        <v>14.49</v>
      </c>
      <c r="AA37" s="9" t="s">
        <v>3154</v>
      </c>
      <c r="AB37" s="9">
        <v>0</v>
      </c>
      <c r="AC37" s="9">
        <v>0</v>
      </c>
      <c r="AD37" s="8"/>
      <c r="AE37" s="8"/>
      <c r="AF37" s="8"/>
      <c r="AG37" s="8"/>
      <c r="AH37" s="9"/>
      <c r="AI37" s="8">
        <v>46216</v>
      </c>
      <c r="AJ37" s="231">
        <v>46229</v>
      </c>
    </row>
    <row r="38" spans="1:36" hidden="1">
      <c r="A38" s="19" t="s">
        <v>3233</v>
      </c>
      <c r="B38" s="10" t="s">
        <v>3143</v>
      </c>
      <c r="C38" s="10" t="s">
        <v>3144</v>
      </c>
      <c r="D38" s="10" t="s">
        <v>3234</v>
      </c>
      <c r="E38" s="10" t="s">
        <v>3146</v>
      </c>
      <c r="F38" s="10" t="s">
        <v>2713</v>
      </c>
      <c r="G38" s="10" t="s">
        <v>2712</v>
      </c>
      <c r="H38" s="10" t="s">
        <v>707</v>
      </c>
      <c r="I38" s="10" t="s">
        <v>3320</v>
      </c>
      <c r="J38" s="10" t="s">
        <v>3321</v>
      </c>
      <c r="K38" s="10" t="s">
        <v>2252</v>
      </c>
      <c r="L38" s="9" t="s">
        <v>3339</v>
      </c>
      <c r="M38" s="10" t="s">
        <v>15</v>
      </c>
      <c r="N38" s="10" t="s">
        <v>3150</v>
      </c>
      <c r="O38" s="10" t="s">
        <v>3151</v>
      </c>
      <c r="P38" s="8">
        <v>46223</v>
      </c>
      <c r="Q38" s="9" t="s">
        <v>3323</v>
      </c>
      <c r="R38" s="9">
        <v>7</v>
      </c>
      <c r="S38" s="10" t="s">
        <v>3153</v>
      </c>
      <c r="T38" s="10" t="s">
        <v>2250</v>
      </c>
      <c r="U38" s="10" t="s">
        <v>3150</v>
      </c>
      <c r="V38" s="24">
        <v>2.0699999999999998</v>
      </c>
      <c r="W38" s="24">
        <v>14.49</v>
      </c>
      <c r="X38" s="24">
        <v>62.1</v>
      </c>
      <c r="Y38" s="24">
        <v>14.49</v>
      </c>
      <c r="Z38" s="24">
        <v>14.49</v>
      </c>
      <c r="AA38" s="9" t="s">
        <v>3154</v>
      </c>
      <c r="AB38" s="9">
        <v>0</v>
      </c>
      <c r="AC38" s="9">
        <v>0</v>
      </c>
      <c r="AD38" s="8"/>
      <c r="AE38" s="8"/>
      <c r="AF38" s="8"/>
      <c r="AG38" s="8"/>
      <c r="AH38" s="9"/>
      <c r="AI38" s="8">
        <v>46216</v>
      </c>
      <c r="AJ38" s="231">
        <v>46229</v>
      </c>
    </row>
    <row r="39" spans="1:36" hidden="1">
      <c r="A39" s="19" t="s">
        <v>3233</v>
      </c>
      <c r="B39" s="10" t="s">
        <v>3143</v>
      </c>
      <c r="C39" s="10" t="s">
        <v>3144</v>
      </c>
      <c r="D39" s="10" t="s">
        <v>3234</v>
      </c>
      <c r="E39" s="10" t="s">
        <v>3146</v>
      </c>
      <c r="F39" s="10" t="s">
        <v>2713</v>
      </c>
      <c r="G39" s="10" t="s">
        <v>2712</v>
      </c>
      <c r="H39" s="10" t="s">
        <v>707</v>
      </c>
      <c r="I39" s="10" t="s">
        <v>3320</v>
      </c>
      <c r="J39" s="10" t="s">
        <v>3321</v>
      </c>
      <c r="K39" s="10" t="s">
        <v>2252</v>
      </c>
      <c r="L39" s="9" t="s">
        <v>3330</v>
      </c>
      <c r="M39" s="10" t="s">
        <v>15</v>
      </c>
      <c r="N39" s="10" t="s">
        <v>3150</v>
      </c>
      <c r="O39" s="10" t="s">
        <v>3151</v>
      </c>
      <c r="P39" s="8">
        <v>46223</v>
      </c>
      <c r="Q39" s="9" t="s">
        <v>3323</v>
      </c>
      <c r="R39" s="9">
        <v>7</v>
      </c>
      <c r="S39" s="10" t="s">
        <v>3153</v>
      </c>
      <c r="T39" s="10" t="s">
        <v>2250</v>
      </c>
      <c r="U39" s="10" t="s">
        <v>3150</v>
      </c>
      <c r="V39" s="24">
        <v>2.0699999999999998</v>
      </c>
      <c r="W39" s="24">
        <v>14.49</v>
      </c>
      <c r="X39" s="24">
        <v>62.1</v>
      </c>
      <c r="Y39" s="24">
        <v>14.49</v>
      </c>
      <c r="Z39" s="24">
        <v>14.49</v>
      </c>
      <c r="AA39" s="9" t="s">
        <v>3154</v>
      </c>
      <c r="AB39" s="9">
        <v>0</v>
      </c>
      <c r="AC39" s="9">
        <v>0</v>
      </c>
      <c r="AD39" s="8"/>
      <c r="AE39" s="8"/>
      <c r="AF39" s="8"/>
      <c r="AG39" s="8"/>
      <c r="AH39" s="9"/>
      <c r="AI39" s="8">
        <v>46216</v>
      </c>
      <c r="AJ39" s="231">
        <v>46229</v>
      </c>
    </row>
    <row r="40" spans="1:36" hidden="1">
      <c r="A40" s="19" t="s">
        <v>3233</v>
      </c>
      <c r="B40" s="10" t="s">
        <v>3143</v>
      </c>
      <c r="C40" s="10" t="s">
        <v>3144</v>
      </c>
      <c r="D40" s="10" t="s">
        <v>3234</v>
      </c>
      <c r="E40" s="10" t="s">
        <v>3146</v>
      </c>
      <c r="F40" s="10" t="s">
        <v>2713</v>
      </c>
      <c r="G40" s="10" t="s">
        <v>2712</v>
      </c>
      <c r="H40" s="10" t="s">
        <v>707</v>
      </c>
      <c r="I40" s="10" t="s">
        <v>3320</v>
      </c>
      <c r="J40" s="10" t="s">
        <v>3321</v>
      </c>
      <c r="K40" s="10" t="s">
        <v>2252</v>
      </c>
      <c r="L40" s="9" t="s">
        <v>3341</v>
      </c>
      <c r="M40" s="10" t="s">
        <v>15</v>
      </c>
      <c r="N40" s="10" t="s">
        <v>3150</v>
      </c>
      <c r="O40" s="10" t="s">
        <v>3151</v>
      </c>
      <c r="P40" s="8">
        <v>46223</v>
      </c>
      <c r="Q40" s="9" t="s">
        <v>3323</v>
      </c>
      <c r="R40" s="9">
        <v>7</v>
      </c>
      <c r="S40" s="10" t="s">
        <v>3153</v>
      </c>
      <c r="T40" s="10" t="s">
        <v>2250</v>
      </c>
      <c r="U40" s="10" t="s">
        <v>3150</v>
      </c>
      <c r="V40" s="24">
        <v>2.0699999999999998</v>
      </c>
      <c r="W40" s="24">
        <v>14.49</v>
      </c>
      <c r="X40" s="24">
        <v>62.1</v>
      </c>
      <c r="Y40" s="24">
        <v>14.49</v>
      </c>
      <c r="Z40" s="24">
        <v>14.49</v>
      </c>
      <c r="AA40" s="9" t="s">
        <v>3154</v>
      </c>
      <c r="AB40" s="9">
        <v>0</v>
      </c>
      <c r="AC40" s="9">
        <v>0</v>
      </c>
      <c r="AD40" s="8"/>
      <c r="AE40" s="8"/>
      <c r="AF40" s="8"/>
      <c r="AG40" s="8"/>
      <c r="AH40" s="9"/>
      <c r="AI40" s="8">
        <v>46216</v>
      </c>
      <c r="AJ40" s="231">
        <v>46229</v>
      </c>
    </row>
    <row r="41" spans="1:36" hidden="1">
      <c r="A41" s="19" t="s">
        <v>3233</v>
      </c>
      <c r="B41" s="10" t="s">
        <v>3143</v>
      </c>
      <c r="C41" s="10" t="s">
        <v>3144</v>
      </c>
      <c r="D41" s="10" t="s">
        <v>3234</v>
      </c>
      <c r="E41" s="10" t="s">
        <v>3146</v>
      </c>
      <c r="F41" s="10" t="s">
        <v>2713</v>
      </c>
      <c r="G41" s="10" t="s">
        <v>2712</v>
      </c>
      <c r="H41" s="10" t="s">
        <v>707</v>
      </c>
      <c r="I41" s="10" t="s">
        <v>3320</v>
      </c>
      <c r="J41" s="10" t="s">
        <v>3321</v>
      </c>
      <c r="K41" s="10" t="s">
        <v>2252</v>
      </c>
      <c r="L41" s="9" t="s">
        <v>3349</v>
      </c>
      <c r="M41" s="10" t="s">
        <v>15</v>
      </c>
      <c r="N41" s="10" t="s">
        <v>3150</v>
      </c>
      <c r="O41" s="10" t="s">
        <v>3151</v>
      </c>
      <c r="P41" s="8">
        <v>46223</v>
      </c>
      <c r="Q41" s="9" t="s">
        <v>3323</v>
      </c>
      <c r="R41" s="9">
        <v>7</v>
      </c>
      <c r="S41" s="10" t="s">
        <v>3153</v>
      </c>
      <c r="T41" s="10" t="s">
        <v>2250</v>
      </c>
      <c r="U41" s="10" t="s">
        <v>3150</v>
      </c>
      <c r="V41" s="24">
        <v>2.0699999999999998</v>
      </c>
      <c r="W41" s="24">
        <v>14.49</v>
      </c>
      <c r="X41" s="24">
        <v>62.1</v>
      </c>
      <c r="Y41" s="24">
        <v>14.49</v>
      </c>
      <c r="Z41" s="24">
        <v>14.49</v>
      </c>
      <c r="AA41" s="9" t="s">
        <v>3154</v>
      </c>
      <c r="AB41" s="9">
        <v>0</v>
      </c>
      <c r="AC41" s="9">
        <v>0</v>
      </c>
      <c r="AD41" s="8"/>
      <c r="AE41" s="8"/>
      <c r="AF41" s="8"/>
      <c r="AG41" s="8"/>
      <c r="AH41" s="9"/>
      <c r="AI41" s="8">
        <v>46216</v>
      </c>
      <c r="AJ41" s="231">
        <v>46229</v>
      </c>
    </row>
    <row r="42" spans="1:36" hidden="1">
      <c r="A42" s="19" t="s">
        <v>3233</v>
      </c>
      <c r="B42" s="10" t="s">
        <v>3143</v>
      </c>
      <c r="C42" s="10" t="s">
        <v>3144</v>
      </c>
      <c r="D42" s="10" t="s">
        <v>3234</v>
      </c>
      <c r="E42" s="10" t="s">
        <v>3146</v>
      </c>
      <c r="F42" s="10" t="s">
        <v>2713</v>
      </c>
      <c r="G42" s="10" t="s">
        <v>2712</v>
      </c>
      <c r="H42" s="10" t="s">
        <v>707</v>
      </c>
      <c r="I42" s="10" t="s">
        <v>3320</v>
      </c>
      <c r="J42" s="10" t="s">
        <v>3321</v>
      </c>
      <c r="K42" s="10" t="s">
        <v>2252</v>
      </c>
      <c r="L42" s="9" t="s">
        <v>3344</v>
      </c>
      <c r="M42" s="10" t="s">
        <v>15</v>
      </c>
      <c r="N42" s="10" t="s">
        <v>3150</v>
      </c>
      <c r="O42" s="10" t="s">
        <v>3151</v>
      </c>
      <c r="P42" s="8">
        <v>46223</v>
      </c>
      <c r="Q42" s="9" t="s">
        <v>3323</v>
      </c>
      <c r="R42" s="9">
        <v>7</v>
      </c>
      <c r="S42" s="10" t="s">
        <v>3153</v>
      </c>
      <c r="T42" s="10" t="s">
        <v>2250</v>
      </c>
      <c r="U42" s="10" t="s">
        <v>3150</v>
      </c>
      <c r="V42" s="24">
        <v>2.0699999999999998</v>
      </c>
      <c r="W42" s="24">
        <v>14.49</v>
      </c>
      <c r="X42" s="24">
        <v>62.1</v>
      </c>
      <c r="Y42" s="24">
        <v>14.49</v>
      </c>
      <c r="Z42" s="24">
        <v>14.49</v>
      </c>
      <c r="AA42" s="9" t="s">
        <v>3154</v>
      </c>
      <c r="AB42" s="9">
        <v>0</v>
      </c>
      <c r="AC42" s="9">
        <v>0</v>
      </c>
      <c r="AD42" s="8"/>
      <c r="AE42" s="8"/>
      <c r="AF42" s="8"/>
      <c r="AG42" s="8"/>
      <c r="AH42" s="9"/>
      <c r="AI42" s="8">
        <v>46216</v>
      </c>
      <c r="AJ42" s="231">
        <v>46229</v>
      </c>
    </row>
    <row r="43" spans="1:36" hidden="1">
      <c r="A43" s="19" t="s">
        <v>3233</v>
      </c>
      <c r="B43" s="10" t="s">
        <v>3143</v>
      </c>
      <c r="C43" s="10" t="s">
        <v>3144</v>
      </c>
      <c r="D43" s="10" t="s">
        <v>3234</v>
      </c>
      <c r="E43" s="10" t="s">
        <v>3146</v>
      </c>
      <c r="F43" s="10" t="s">
        <v>2713</v>
      </c>
      <c r="G43" s="10" t="s">
        <v>2712</v>
      </c>
      <c r="H43" s="10" t="s">
        <v>707</v>
      </c>
      <c r="I43" s="10" t="s">
        <v>3320</v>
      </c>
      <c r="J43" s="10" t="s">
        <v>3321</v>
      </c>
      <c r="K43" s="10" t="s">
        <v>2252</v>
      </c>
      <c r="L43" s="9" t="s">
        <v>3342</v>
      </c>
      <c r="M43" s="10" t="s">
        <v>15</v>
      </c>
      <c r="N43" s="10" t="s">
        <v>3150</v>
      </c>
      <c r="O43" s="10" t="s">
        <v>3151</v>
      </c>
      <c r="P43" s="8">
        <v>46223</v>
      </c>
      <c r="Q43" s="9" t="s">
        <v>3323</v>
      </c>
      <c r="R43" s="9">
        <v>7</v>
      </c>
      <c r="S43" s="10" t="s">
        <v>3153</v>
      </c>
      <c r="T43" s="10" t="s">
        <v>2250</v>
      </c>
      <c r="U43" s="10" t="s">
        <v>3150</v>
      </c>
      <c r="V43" s="24">
        <v>2.0699999999999998</v>
      </c>
      <c r="W43" s="24">
        <v>14.49</v>
      </c>
      <c r="X43" s="24">
        <v>62.1</v>
      </c>
      <c r="Y43" s="24">
        <v>14.49</v>
      </c>
      <c r="Z43" s="24">
        <v>14.49</v>
      </c>
      <c r="AA43" s="9" t="s">
        <v>3154</v>
      </c>
      <c r="AB43" s="9">
        <v>0</v>
      </c>
      <c r="AC43" s="9">
        <v>0</v>
      </c>
      <c r="AD43" s="8"/>
      <c r="AE43" s="8"/>
      <c r="AF43" s="8"/>
      <c r="AG43" s="8"/>
      <c r="AH43" s="9"/>
      <c r="AI43" s="8">
        <v>46216</v>
      </c>
      <c r="AJ43" s="231">
        <v>46229</v>
      </c>
    </row>
    <row r="44" spans="1:36" hidden="1">
      <c r="A44" s="19" t="s">
        <v>3233</v>
      </c>
      <c r="B44" s="10" t="s">
        <v>3143</v>
      </c>
      <c r="C44" s="10" t="s">
        <v>3144</v>
      </c>
      <c r="D44" s="10" t="s">
        <v>3234</v>
      </c>
      <c r="E44" s="10" t="s">
        <v>3146</v>
      </c>
      <c r="F44" s="10" t="s">
        <v>2713</v>
      </c>
      <c r="G44" s="10" t="s">
        <v>2712</v>
      </c>
      <c r="H44" s="10" t="s">
        <v>707</v>
      </c>
      <c r="I44" s="10" t="s">
        <v>3320</v>
      </c>
      <c r="J44" s="10" t="s">
        <v>3321</v>
      </c>
      <c r="K44" s="10" t="s">
        <v>2252</v>
      </c>
      <c r="L44" s="9" t="s">
        <v>3334</v>
      </c>
      <c r="M44" s="10" t="s">
        <v>15</v>
      </c>
      <c r="N44" s="10" t="s">
        <v>3150</v>
      </c>
      <c r="O44" s="10" t="s">
        <v>3151</v>
      </c>
      <c r="P44" s="8">
        <v>46223</v>
      </c>
      <c r="Q44" s="9" t="s">
        <v>3323</v>
      </c>
      <c r="R44" s="9">
        <v>7</v>
      </c>
      <c r="S44" s="10" t="s">
        <v>3153</v>
      </c>
      <c r="T44" s="10" t="s">
        <v>2250</v>
      </c>
      <c r="U44" s="10" t="s">
        <v>3150</v>
      </c>
      <c r="V44" s="24">
        <v>2.0699999999999998</v>
      </c>
      <c r="W44" s="24">
        <v>14.49</v>
      </c>
      <c r="X44" s="24">
        <v>62.1</v>
      </c>
      <c r="Y44" s="24">
        <v>14.49</v>
      </c>
      <c r="Z44" s="24">
        <v>14.49</v>
      </c>
      <c r="AA44" s="9" t="s">
        <v>3154</v>
      </c>
      <c r="AB44" s="9">
        <v>0</v>
      </c>
      <c r="AC44" s="9">
        <v>0</v>
      </c>
      <c r="AD44" s="8"/>
      <c r="AE44" s="8"/>
      <c r="AF44" s="8"/>
      <c r="AG44" s="8"/>
      <c r="AH44" s="9"/>
      <c r="AI44" s="8">
        <v>46216</v>
      </c>
      <c r="AJ44" s="231">
        <v>46229</v>
      </c>
    </row>
    <row r="45" spans="1:36" hidden="1">
      <c r="A45" s="19" t="s">
        <v>3233</v>
      </c>
      <c r="B45" s="10" t="s">
        <v>3143</v>
      </c>
      <c r="C45" s="10" t="s">
        <v>3144</v>
      </c>
      <c r="D45" s="10" t="s">
        <v>3234</v>
      </c>
      <c r="E45" s="10" t="s">
        <v>3146</v>
      </c>
      <c r="F45" s="10" t="s">
        <v>2713</v>
      </c>
      <c r="G45" s="10" t="s">
        <v>2712</v>
      </c>
      <c r="H45" s="10" t="s">
        <v>707</v>
      </c>
      <c r="I45" s="10" t="s">
        <v>3320</v>
      </c>
      <c r="J45" s="10" t="s">
        <v>3321</v>
      </c>
      <c r="K45" s="10" t="s">
        <v>2252</v>
      </c>
      <c r="L45" s="9" t="s">
        <v>3329</v>
      </c>
      <c r="M45" s="10" t="s">
        <v>15</v>
      </c>
      <c r="N45" s="10" t="s">
        <v>3150</v>
      </c>
      <c r="O45" s="10" t="s">
        <v>3151</v>
      </c>
      <c r="P45" s="8">
        <v>46223</v>
      </c>
      <c r="Q45" s="9" t="s">
        <v>3323</v>
      </c>
      <c r="R45" s="9">
        <v>7</v>
      </c>
      <c r="S45" s="10" t="s">
        <v>3153</v>
      </c>
      <c r="T45" s="10" t="s">
        <v>2250</v>
      </c>
      <c r="U45" s="10" t="s">
        <v>3150</v>
      </c>
      <c r="V45" s="24">
        <v>2.0699999999999998</v>
      </c>
      <c r="W45" s="24">
        <v>14.49</v>
      </c>
      <c r="X45" s="24">
        <v>62.1</v>
      </c>
      <c r="Y45" s="24">
        <v>14.49</v>
      </c>
      <c r="Z45" s="24">
        <v>14.49</v>
      </c>
      <c r="AA45" s="9" t="s">
        <v>3154</v>
      </c>
      <c r="AB45" s="9">
        <v>0</v>
      </c>
      <c r="AC45" s="9">
        <v>0</v>
      </c>
      <c r="AD45" s="8"/>
      <c r="AE45" s="8"/>
      <c r="AF45" s="8"/>
      <c r="AG45" s="8"/>
      <c r="AH45" s="9"/>
      <c r="AI45" s="8">
        <v>46216</v>
      </c>
      <c r="AJ45" s="231">
        <v>46229</v>
      </c>
    </row>
    <row r="46" spans="1:36" hidden="1">
      <c r="A46" s="19" t="s">
        <v>3233</v>
      </c>
      <c r="B46" s="10" t="s">
        <v>3143</v>
      </c>
      <c r="C46" s="10" t="s">
        <v>3144</v>
      </c>
      <c r="D46" s="10" t="s">
        <v>3234</v>
      </c>
      <c r="E46" s="10" t="s">
        <v>3146</v>
      </c>
      <c r="F46" s="10" t="s">
        <v>2713</v>
      </c>
      <c r="G46" s="10" t="s">
        <v>2712</v>
      </c>
      <c r="H46" s="10" t="s">
        <v>707</v>
      </c>
      <c r="I46" s="10" t="s">
        <v>3320</v>
      </c>
      <c r="J46" s="10" t="s">
        <v>3321</v>
      </c>
      <c r="K46" s="10" t="s">
        <v>2252</v>
      </c>
      <c r="L46" s="9" t="s">
        <v>3322</v>
      </c>
      <c r="M46" s="10" t="s">
        <v>15</v>
      </c>
      <c r="N46" s="10" t="s">
        <v>3150</v>
      </c>
      <c r="O46" s="10" t="s">
        <v>3151</v>
      </c>
      <c r="P46" s="8">
        <v>46223</v>
      </c>
      <c r="Q46" s="9" t="s">
        <v>3323</v>
      </c>
      <c r="R46" s="9">
        <v>7</v>
      </c>
      <c r="S46" s="10" t="s">
        <v>3153</v>
      </c>
      <c r="T46" s="10" t="s">
        <v>2250</v>
      </c>
      <c r="U46" s="10" t="s">
        <v>3150</v>
      </c>
      <c r="V46" s="24">
        <v>2.0699999999999998</v>
      </c>
      <c r="W46" s="24">
        <v>14.49</v>
      </c>
      <c r="X46" s="24">
        <v>62.1</v>
      </c>
      <c r="Y46" s="24">
        <v>14.49</v>
      </c>
      <c r="Z46" s="24">
        <v>14.49</v>
      </c>
      <c r="AA46" s="9" t="s">
        <v>3154</v>
      </c>
      <c r="AB46" s="9">
        <v>0</v>
      </c>
      <c r="AC46" s="9">
        <v>0</v>
      </c>
      <c r="AD46" s="8"/>
      <c r="AE46" s="8"/>
      <c r="AF46" s="8"/>
      <c r="AG46" s="8"/>
      <c r="AH46" s="9"/>
      <c r="AI46" s="8">
        <v>46216</v>
      </c>
      <c r="AJ46" s="231">
        <v>46229</v>
      </c>
    </row>
    <row r="47" spans="1:36" hidden="1">
      <c r="A47" s="19" t="s">
        <v>3233</v>
      </c>
      <c r="B47" s="10" t="s">
        <v>3143</v>
      </c>
      <c r="C47" s="10" t="s">
        <v>3144</v>
      </c>
      <c r="D47" s="10" t="s">
        <v>3234</v>
      </c>
      <c r="E47" s="10" t="s">
        <v>3146</v>
      </c>
      <c r="F47" s="10" t="s">
        <v>2713</v>
      </c>
      <c r="G47" s="10" t="s">
        <v>2712</v>
      </c>
      <c r="H47" s="10" t="s">
        <v>707</v>
      </c>
      <c r="I47" s="10" t="s">
        <v>3320</v>
      </c>
      <c r="J47" s="10" t="s">
        <v>3321</v>
      </c>
      <c r="K47" s="10" t="s">
        <v>2252</v>
      </c>
      <c r="L47" s="9" t="s">
        <v>3343</v>
      </c>
      <c r="M47" s="10" t="s">
        <v>15</v>
      </c>
      <c r="N47" s="10" t="s">
        <v>3150</v>
      </c>
      <c r="O47" s="10" t="s">
        <v>3151</v>
      </c>
      <c r="P47" s="8">
        <v>46223</v>
      </c>
      <c r="Q47" s="9" t="s">
        <v>3323</v>
      </c>
      <c r="R47" s="9">
        <v>7</v>
      </c>
      <c r="S47" s="10" t="s">
        <v>3153</v>
      </c>
      <c r="T47" s="10" t="s">
        <v>2250</v>
      </c>
      <c r="U47" s="10" t="s">
        <v>3150</v>
      </c>
      <c r="V47" s="24">
        <v>2.0699999999999998</v>
      </c>
      <c r="W47" s="24">
        <v>14.49</v>
      </c>
      <c r="X47" s="24">
        <v>62.1</v>
      </c>
      <c r="Y47" s="24">
        <v>14.49</v>
      </c>
      <c r="Z47" s="24">
        <v>14.49</v>
      </c>
      <c r="AA47" s="9" t="s">
        <v>3154</v>
      </c>
      <c r="AB47" s="9">
        <v>0</v>
      </c>
      <c r="AC47" s="9">
        <v>0</v>
      </c>
      <c r="AD47" s="8"/>
      <c r="AE47" s="8"/>
      <c r="AF47" s="8"/>
      <c r="AG47" s="8"/>
      <c r="AH47" s="9"/>
      <c r="AI47" s="8">
        <v>46216</v>
      </c>
      <c r="AJ47" s="231">
        <v>46229</v>
      </c>
    </row>
    <row r="48" spans="1:36" hidden="1">
      <c r="A48" s="19" t="s">
        <v>3233</v>
      </c>
      <c r="B48" s="10" t="s">
        <v>3143</v>
      </c>
      <c r="C48" s="10" t="s">
        <v>3144</v>
      </c>
      <c r="D48" s="10" t="s">
        <v>3234</v>
      </c>
      <c r="E48" s="10" t="s">
        <v>3146</v>
      </c>
      <c r="F48" s="10" t="s">
        <v>2713</v>
      </c>
      <c r="G48" s="10" t="s">
        <v>2712</v>
      </c>
      <c r="H48" s="10" t="s">
        <v>707</v>
      </c>
      <c r="I48" s="10" t="s">
        <v>3320</v>
      </c>
      <c r="J48" s="10" t="s">
        <v>3321</v>
      </c>
      <c r="K48" s="10" t="s">
        <v>2252</v>
      </c>
      <c r="L48" s="9" t="s">
        <v>3327</v>
      </c>
      <c r="M48" s="10" t="s">
        <v>15</v>
      </c>
      <c r="N48" s="10" t="s">
        <v>3150</v>
      </c>
      <c r="O48" s="10" t="s">
        <v>3151</v>
      </c>
      <c r="P48" s="8">
        <v>46223</v>
      </c>
      <c r="Q48" s="9" t="s">
        <v>3323</v>
      </c>
      <c r="R48" s="9">
        <v>7</v>
      </c>
      <c r="S48" s="10" t="s">
        <v>3153</v>
      </c>
      <c r="T48" s="10" t="s">
        <v>2250</v>
      </c>
      <c r="U48" s="10" t="s">
        <v>3150</v>
      </c>
      <c r="V48" s="24">
        <v>2.0699999999999998</v>
      </c>
      <c r="W48" s="24">
        <v>14.49</v>
      </c>
      <c r="X48" s="24">
        <v>62.1</v>
      </c>
      <c r="Y48" s="24">
        <v>14.49</v>
      </c>
      <c r="Z48" s="24">
        <v>14.49</v>
      </c>
      <c r="AA48" s="9" t="s">
        <v>3154</v>
      </c>
      <c r="AB48" s="9">
        <v>0</v>
      </c>
      <c r="AC48" s="9">
        <v>0</v>
      </c>
      <c r="AD48" s="8"/>
      <c r="AE48" s="8"/>
      <c r="AF48" s="8"/>
      <c r="AG48" s="8"/>
      <c r="AH48" s="9"/>
      <c r="AI48" s="8">
        <v>46216</v>
      </c>
      <c r="AJ48" s="231">
        <v>46229</v>
      </c>
    </row>
    <row r="49" spans="1:36" hidden="1">
      <c r="A49" s="19" t="s">
        <v>3233</v>
      </c>
      <c r="B49" s="10" t="s">
        <v>3143</v>
      </c>
      <c r="C49" s="10" t="s">
        <v>3144</v>
      </c>
      <c r="D49" s="10" t="s">
        <v>3234</v>
      </c>
      <c r="E49" s="10" t="s">
        <v>3146</v>
      </c>
      <c r="F49" s="10" t="s">
        <v>2713</v>
      </c>
      <c r="G49" s="10" t="s">
        <v>2712</v>
      </c>
      <c r="H49" s="10" t="s">
        <v>707</v>
      </c>
      <c r="I49" s="10" t="s">
        <v>3320</v>
      </c>
      <c r="J49" s="10" t="s">
        <v>3321</v>
      </c>
      <c r="K49" s="10" t="s">
        <v>2252</v>
      </c>
      <c r="L49" s="9" t="s">
        <v>3359</v>
      </c>
      <c r="M49" s="10" t="s">
        <v>15</v>
      </c>
      <c r="N49" s="10" t="s">
        <v>3150</v>
      </c>
      <c r="O49" s="10" t="s">
        <v>3151</v>
      </c>
      <c r="P49" s="8">
        <v>46223</v>
      </c>
      <c r="Q49" s="9" t="s">
        <v>3323</v>
      </c>
      <c r="R49" s="9">
        <v>7</v>
      </c>
      <c r="S49" s="10" t="s">
        <v>3153</v>
      </c>
      <c r="T49" s="10" t="s">
        <v>2250</v>
      </c>
      <c r="U49" s="10" t="s">
        <v>3150</v>
      </c>
      <c r="V49" s="24">
        <v>2.0699999999999998</v>
      </c>
      <c r="W49" s="24">
        <v>14.49</v>
      </c>
      <c r="X49" s="24">
        <v>62.1</v>
      </c>
      <c r="Y49" s="24">
        <v>14.49</v>
      </c>
      <c r="Z49" s="24">
        <v>14.49</v>
      </c>
      <c r="AA49" s="9" t="s">
        <v>3154</v>
      </c>
      <c r="AB49" s="9">
        <v>0</v>
      </c>
      <c r="AC49" s="9">
        <v>0</v>
      </c>
      <c r="AD49" s="8"/>
      <c r="AE49" s="8"/>
      <c r="AF49" s="8"/>
      <c r="AG49" s="8"/>
      <c r="AH49" s="9"/>
      <c r="AI49" s="8">
        <v>46216</v>
      </c>
      <c r="AJ49" s="231">
        <v>46229</v>
      </c>
    </row>
    <row r="50" spans="1:36" hidden="1">
      <c r="A50" s="19" t="s">
        <v>3233</v>
      </c>
      <c r="B50" s="10" t="s">
        <v>3143</v>
      </c>
      <c r="C50" s="10" t="s">
        <v>3144</v>
      </c>
      <c r="D50" s="10" t="s">
        <v>3234</v>
      </c>
      <c r="E50" s="10" t="s">
        <v>3146</v>
      </c>
      <c r="F50" s="10" t="s">
        <v>2713</v>
      </c>
      <c r="G50" s="10" t="s">
        <v>2712</v>
      </c>
      <c r="H50" s="10" t="s">
        <v>707</v>
      </c>
      <c r="I50" s="10" t="s">
        <v>3320</v>
      </c>
      <c r="J50" s="10" t="s">
        <v>3321</v>
      </c>
      <c r="K50" s="10" t="s">
        <v>2252</v>
      </c>
      <c r="L50" s="9" t="s">
        <v>3340</v>
      </c>
      <c r="M50" s="10" t="s">
        <v>15</v>
      </c>
      <c r="N50" s="10" t="s">
        <v>3150</v>
      </c>
      <c r="O50" s="10" t="s">
        <v>3151</v>
      </c>
      <c r="P50" s="8">
        <v>46223</v>
      </c>
      <c r="Q50" s="9" t="s">
        <v>3323</v>
      </c>
      <c r="R50" s="9">
        <v>7</v>
      </c>
      <c r="S50" s="10" t="s">
        <v>3153</v>
      </c>
      <c r="T50" s="10" t="s">
        <v>2250</v>
      </c>
      <c r="U50" s="10" t="s">
        <v>3150</v>
      </c>
      <c r="V50" s="24">
        <v>2.0699999999999998</v>
      </c>
      <c r="W50" s="24">
        <v>14.49</v>
      </c>
      <c r="X50" s="24">
        <v>62.1</v>
      </c>
      <c r="Y50" s="24">
        <v>14.49</v>
      </c>
      <c r="Z50" s="24">
        <v>14.49</v>
      </c>
      <c r="AA50" s="9" t="s">
        <v>3154</v>
      </c>
      <c r="AB50" s="9">
        <v>0</v>
      </c>
      <c r="AC50" s="9">
        <v>0</v>
      </c>
      <c r="AD50" s="8"/>
      <c r="AE50" s="8"/>
      <c r="AF50" s="8"/>
      <c r="AG50" s="8"/>
      <c r="AH50" s="9"/>
      <c r="AI50" s="8">
        <v>46216</v>
      </c>
      <c r="AJ50" s="231">
        <v>46229</v>
      </c>
    </row>
    <row r="51" spans="1:36" hidden="1">
      <c r="A51" s="19" t="s">
        <v>3233</v>
      </c>
      <c r="B51" s="10" t="s">
        <v>3143</v>
      </c>
      <c r="C51" s="10" t="s">
        <v>3144</v>
      </c>
      <c r="D51" s="10" t="s">
        <v>3234</v>
      </c>
      <c r="E51" s="10" t="s">
        <v>3146</v>
      </c>
      <c r="F51" s="10" t="s">
        <v>2713</v>
      </c>
      <c r="G51" s="10" t="s">
        <v>2712</v>
      </c>
      <c r="H51" s="10" t="s">
        <v>707</v>
      </c>
      <c r="I51" s="10" t="s">
        <v>3320</v>
      </c>
      <c r="J51" s="10" t="s">
        <v>3321</v>
      </c>
      <c r="K51" s="10" t="s">
        <v>2252</v>
      </c>
      <c r="L51" s="9" t="s">
        <v>3372</v>
      </c>
      <c r="M51" s="10" t="s">
        <v>15</v>
      </c>
      <c r="N51" s="10" t="s">
        <v>3150</v>
      </c>
      <c r="O51" s="10" t="s">
        <v>3151</v>
      </c>
      <c r="P51" s="8">
        <v>46223</v>
      </c>
      <c r="Q51" s="9" t="s">
        <v>3323</v>
      </c>
      <c r="R51" s="9">
        <v>7</v>
      </c>
      <c r="S51" s="10" t="s">
        <v>3153</v>
      </c>
      <c r="T51" s="10" t="s">
        <v>2250</v>
      </c>
      <c r="U51" s="10" t="s">
        <v>3150</v>
      </c>
      <c r="V51" s="24">
        <v>2.0699999999999998</v>
      </c>
      <c r="W51" s="24">
        <v>14.49</v>
      </c>
      <c r="X51" s="24">
        <v>62.1</v>
      </c>
      <c r="Y51" s="24">
        <v>14.49</v>
      </c>
      <c r="Z51" s="24">
        <v>14.49</v>
      </c>
      <c r="AA51" s="9" t="s">
        <v>3154</v>
      </c>
      <c r="AB51" s="9">
        <v>0</v>
      </c>
      <c r="AC51" s="9">
        <v>0</v>
      </c>
      <c r="AD51" s="8"/>
      <c r="AE51" s="8"/>
      <c r="AF51" s="8"/>
      <c r="AG51" s="8"/>
      <c r="AH51" s="9"/>
      <c r="AI51" s="8">
        <v>46216</v>
      </c>
      <c r="AJ51" s="231">
        <v>46229</v>
      </c>
    </row>
    <row r="52" spans="1:36">
      <c r="A52" s="19" t="s">
        <v>3233</v>
      </c>
      <c r="B52" s="10" t="s">
        <v>3143</v>
      </c>
      <c r="C52" s="10" t="s">
        <v>3144</v>
      </c>
      <c r="D52" s="10" t="s">
        <v>3234</v>
      </c>
      <c r="E52" s="10" t="s">
        <v>3146</v>
      </c>
      <c r="F52" s="10" t="s">
        <v>3307</v>
      </c>
      <c r="G52" s="10"/>
      <c r="H52" s="10" t="s">
        <v>657</v>
      </c>
      <c r="I52" s="10" t="s">
        <v>3308</v>
      </c>
      <c r="J52" s="10" t="s">
        <v>3157</v>
      </c>
      <c r="K52" s="10" t="s">
        <v>2189</v>
      </c>
      <c r="L52" s="9" t="s">
        <v>3311</v>
      </c>
      <c r="M52" s="10" t="s">
        <v>15</v>
      </c>
      <c r="N52" s="10" t="s">
        <v>3150</v>
      </c>
      <c r="O52" s="10" t="s">
        <v>3151</v>
      </c>
      <c r="P52" s="8">
        <v>46223</v>
      </c>
      <c r="Q52" s="9" t="s">
        <v>3152</v>
      </c>
      <c r="R52" s="9">
        <v>7</v>
      </c>
      <c r="S52" s="10" t="s">
        <v>3153</v>
      </c>
      <c r="T52" s="10" t="s">
        <v>2352</v>
      </c>
      <c r="U52" s="10" t="s">
        <v>3150</v>
      </c>
      <c r="V52" s="24">
        <v>8.3000000000000007</v>
      </c>
      <c r="W52" s="24">
        <v>58.1</v>
      </c>
      <c r="X52" s="24">
        <v>249</v>
      </c>
      <c r="Y52" s="24">
        <v>58.1</v>
      </c>
      <c r="Z52" s="24">
        <v>58.1</v>
      </c>
      <c r="AA52" s="9" t="s">
        <v>3154</v>
      </c>
      <c r="AB52" s="9">
        <v>0</v>
      </c>
      <c r="AC52" s="9">
        <v>0</v>
      </c>
      <c r="AD52" s="8"/>
      <c r="AE52" s="8"/>
      <c r="AF52" s="8"/>
      <c r="AG52" s="8"/>
      <c r="AH52" s="9"/>
      <c r="AI52" s="8">
        <v>46216</v>
      </c>
      <c r="AJ52" s="231">
        <v>46229</v>
      </c>
    </row>
    <row r="53" spans="1:36">
      <c r="A53" s="19" t="s">
        <v>3233</v>
      </c>
      <c r="B53" s="10" t="s">
        <v>3143</v>
      </c>
      <c r="C53" s="10" t="s">
        <v>3144</v>
      </c>
      <c r="D53" s="10" t="s">
        <v>3234</v>
      </c>
      <c r="E53" s="10" t="s">
        <v>3146</v>
      </c>
      <c r="F53" s="10" t="s">
        <v>3307</v>
      </c>
      <c r="G53" s="10"/>
      <c r="H53" s="10" t="s">
        <v>657</v>
      </c>
      <c r="I53" s="10" t="s">
        <v>3308</v>
      </c>
      <c r="J53" s="10" t="s">
        <v>3157</v>
      </c>
      <c r="K53" s="10" t="s">
        <v>2189</v>
      </c>
      <c r="L53" s="9" t="s">
        <v>3309</v>
      </c>
      <c r="M53" s="10" t="s">
        <v>15</v>
      </c>
      <c r="N53" s="10" t="s">
        <v>3150</v>
      </c>
      <c r="O53" s="10" t="s">
        <v>3151</v>
      </c>
      <c r="P53" s="8">
        <v>46223</v>
      </c>
      <c r="Q53" s="9" t="s">
        <v>3152</v>
      </c>
      <c r="R53" s="9">
        <v>7</v>
      </c>
      <c r="S53" s="10" t="s">
        <v>3153</v>
      </c>
      <c r="T53" s="10" t="s">
        <v>2352</v>
      </c>
      <c r="U53" s="10" t="s">
        <v>3150</v>
      </c>
      <c r="V53" s="24">
        <v>8.3000000000000007</v>
      </c>
      <c r="W53" s="24">
        <v>58.1</v>
      </c>
      <c r="X53" s="24">
        <v>249</v>
      </c>
      <c r="Y53" s="24">
        <v>58.1</v>
      </c>
      <c r="Z53" s="24">
        <v>58.1</v>
      </c>
      <c r="AA53" s="9" t="s">
        <v>3154</v>
      </c>
      <c r="AB53" s="9">
        <v>0</v>
      </c>
      <c r="AC53" s="9">
        <v>0</v>
      </c>
      <c r="AD53" s="8"/>
      <c r="AE53" s="8"/>
      <c r="AF53" s="8"/>
      <c r="AG53" s="8"/>
      <c r="AH53" s="9"/>
      <c r="AI53" s="8">
        <v>46216</v>
      </c>
      <c r="AJ53" s="231">
        <v>46229</v>
      </c>
    </row>
    <row r="54" spans="1:36">
      <c r="A54" s="19" t="s">
        <v>3233</v>
      </c>
      <c r="B54" s="10" t="s">
        <v>3143</v>
      </c>
      <c r="C54" s="10" t="s">
        <v>3144</v>
      </c>
      <c r="D54" s="10" t="s">
        <v>3234</v>
      </c>
      <c r="E54" s="10" t="s">
        <v>3146</v>
      </c>
      <c r="F54" s="10" t="s">
        <v>3307</v>
      </c>
      <c r="G54" s="10"/>
      <c r="H54" s="10" t="s">
        <v>657</v>
      </c>
      <c r="I54" s="10" t="s">
        <v>3308</v>
      </c>
      <c r="J54" s="10" t="s">
        <v>3157</v>
      </c>
      <c r="K54" s="10" t="s">
        <v>2189</v>
      </c>
      <c r="L54" s="9" t="s">
        <v>3310</v>
      </c>
      <c r="M54" s="10" t="s">
        <v>15</v>
      </c>
      <c r="N54" s="10" t="s">
        <v>3150</v>
      </c>
      <c r="O54" s="10" t="s">
        <v>3151</v>
      </c>
      <c r="P54" s="8">
        <v>46223</v>
      </c>
      <c r="Q54" s="9" t="s">
        <v>3152</v>
      </c>
      <c r="R54" s="9">
        <v>7</v>
      </c>
      <c r="S54" s="10" t="s">
        <v>3153</v>
      </c>
      <c r="T54" s="10" t="s">
        <v>2352</v>
      </c>
      <c r="U54" s="10" t="s">
        <v>3150</v>
      </c>
      <c r="V54" s="24">
        <v>8.3000000000000007</v>
      </c>
      <c r="W54" s="24">
        <v>58.1</v>
      </c>
      <c r="X54" s="24">
        <v>249</v>
      </c>
      <c r="Y54" s="24">
        <v>58.1</v>
      </c>
      <c r="Z54" s="24">
        <v>58.1</v>
      </c>
      <c r="AA54" s="9" t="s">
        <v>3154</v>
      </c>
      <c r="AB54" s="9">
        <v>0</v>
      </c>
      <c r="AC54" s="9">
        <v>0</v>
      </c>
      <c r="AD54" s="8"/>
      <c r="AE54" s="8"/>
      <c r="AF54" s="8"/>
      <c r="AG54" s="8"/>
      <c r="AH54" s="9"/>
      <c r="AI54" s="8">
        <v>46216</v>
      </c>
      <c r="AJ54" s="231">
        <v>46229</v>
      </c>
    </row>
    <row r="55" spans="1:36">
      <c r="A55" s="19" t="s">
        <v>3233</v>
      </c>
      <c r="B55" s="10" t="s">
        <v>3143</v>
      </c>
      <c r="C55" s="10" t="s">
        <v>3144</v>
      </c>
      <c r="D55" s="10" t="s">
        <v>3234</v>
      </c>
      <c r="E55" s="10" t="s">
        <v>3146</v>
      </c>
      <c r="F55" s="10" t="s">
        <v>3307</v>
      </c>
      <c r="G55" s="10"/>
      <c r="H55" s="10" t="s">
        <v>657</v>
      </c>
      <c r="I55" s="10" t="s">
        <v>3308</v>
      </c>
      <c r="J55" s="10" t="s">
        <v>3157</v>
      </c>
      <c r="K55" s="10" t="s">
        <v>2189</v>
      </c>
      <c r="L55" s="9" t="s">
        <v>3313</v>
      </c>
      <c r="M55" s="10" t="s">
        <v>15</v>
      </c>
      <c r="N55" s="10" t="s">
        <v>3150</v>
      </c>
      <c r="O55" s="10" t="s">
        <v>3151</v>
      </c>
      <c r="P55" s="8">
        <v>46223</v>
      </c>
      <c r="Q55" s="9" t="s">
        <v>3152</v>
      </c>
      <c r="R55" s="9">
        <v>7</v>
      </c>
      <c r="S55" s="10" t="s">
        <v>3153</v>
      </c>
      <c r="T55" s="10" t="s">
        <v>2352</v>
      </c>
      <c r="U55" s="10" t="s">
        <v>3150</v>
      </c>
      <c r="V55" s="24">
        <v>8.3000000000000007</v>
      </c>
      <c r="W55" s="24">
        <v>58.1</v>
      </c>
      <c r="X55" s="24">
        <v>249</v>
      </c>
      <c r="Y55" s="24">
        <v>58.1</v>
      </c>
      <c r="Z55" s="24">
        <v>58.1</v>
      </c>
      <c r="AA55" s="9" t="s">
        <v>3154</v>
      </c>
      <c r="AB55" s="9">
        <v>0</v>
      </c>
      <c r="AC55" s="9">
        <v>0</v>
      </c>
      <c r="AD55" s="8"/>
      <c r="AE55" s="8"/>
      <c r="AF55" s="8"/>
      <c r="AG55" s="8"/>
      <c r="AH55" s="9"/>
      <c r="AI55" s="8">
        <v>46216</v>
      </c>
      <c r="AJ55" s="231">
        <v>46229</v>
      </c>
    </row>
    <row r="56" spans="1:36">
      <c r="A56" s="19" t="s">
        <v>3233</v>
      </c>
      <c r="B56" s="10" t="s">
        <v>3143</v>
      </c>
      <c r="C56" s="10" t="s">
        <v>3144</v>
      </c>
      <c r="D56" s="10" t="s">
        <v>3234</v>
      </c>
      <c r="E56" s="10" t="s">
        <v>3146</v>
      </c>
      <c r="F56" s="10" t="s">
        <v>3307</v>
      </c>
      <c r="G56" s="10"/>
      <c r="H56" s="10" t="s">
        <v>657</v>
      </c>
      <c r="I56" s="10" t="s">
        <v>3308</v>
      </c>
      <c r="J56" s="10" t="s">
        <v>3157</v>
      </c>
      <c r="K56" s="10" t="s">
        <v>2189</v>
      </c>
      <c r="L56" s="9" t="s">
        <v>3312</v>
      </c>
      <c r="M56" s="10" t="s">
        <v>15</v>
      </c>
      <c r="N56" s="10" t="s">
        <v>3150</v>
      </c>
      <c r="O56" s="10" t="s">
        <v>3151</v>
      </c>
      <c r="P56" s="8">
        <v>46223</v>
      </c>
      <c r="Q56" s="9" t="s">
        <v>3152</v>
      </c>
      <c r="R56" s="9">
        <v>7</v>
      </c>
      <c r="S56" s="10" t="s">
        <v>3153</v>
      </c>
      <c r="T56" s="10" t="s">
        <v>2352</v>
      </c>
      <c r="U56" s="10" t="s">
        <v>3150</v>
      </c>
      <c r="V56" s="24">
        <v>8.3000000000000007</v>
      </c>
      <c r="W56" s="24">
        <v>58.1</v>
      </c>
      <c r="X56" s="24">
        <v>249</v>
      </c>
      <c r="Y56" s="24">
        <v>58.1</v>
      </c>
      <c r="Z56" s="24">
        <v>58.1</v>
      </c>
      <c r="AA56" s="9" t="s">
        <v>3154</v>
      </c>
      <c r="AB56" s="9">
        <v>0</v>
      </c>
      <c r="AC56" s="9">
        <v>0</v>
      </c>
      <c r="AD56" s="8"/>
      <c r="AE56" s="8"/>
      <c r="AF56" s="8"/>
      <c r="AG56" s="8"/>
      <c r="AH56" s="9"/>
      <c r="AI56" s="8">
        <v>46216</v>
      </c>
      <c r="AJ56" s="231">
        <v>46229</v>
      </c>
    </row>
    <row r="57" spans="1:36">
      <c r="A57" s="19" t="s">
        <v>3142</v>
      </c>
      <c r="B57" s="10" t="s">
        <v>3143</v>
      </c>
      <c r="C57" s="10" t="s">
        <v>3144</v>
      </c>
      <c r="D57" s="10" t="s">
        <v>3145</v>
      </c>
      <c r="E57" s="10" t="s">
        <v>3146</v>
      </c>
      <c r="F57" s="10" t="s">
        <v>3204</v>
      </c>
      <c r="G57" s="10"/>
      <c r="H57" s="10" t="s">
        <v>658</v>
      </c>
      <c r="I57" s="10" t="s">
        <v>3204</v>
      </c>
      <c r="J57" s="10" t="s">
        <v>3157</v>
      </c>
      <c r="K57" s="10" t="s">
        <v>157</v>
      </c>
      <c r="L57" s="9" t="s">
        <v>3205</v>
      </c>
      <c r="M57" s="10" t="s">
        <v>15</v>
      </c>
      <c r="N57" s="10" t="s">
        <v>3150</v>
      </c>
      <c r="O57" s="10" t="s">
        <v>3151</v>
      </c>
      <c r="P57" s="8">
        <v>46223</v>
      </c>
      <c r="Q57" s="9" t="s">
        <v>3152</v>
      </c>
      <c r="R57" s="9">
        <v>7</v>
      </c>
      <c r="S57" s="10" t="s">
        <v>3153</v>
      </c>
      <c r="T57" s="10" t="s">
        <v>2352</v>
      </c>
      <c r="U57" s="10" t="s">
        <v>3150</v>
      </c>
      <c r="V57" s="24">
        <v>62.22</v>
      </c>
      <c r="W57" s="24">
        <v>435.54</v>
      </c>
      <c r="X57" s="24">
        <v>1866.6</v>
      </c>
      <c r="Y57" s="24">
        <v>435.54</v>
      </c>
      <c r="Z57" s="24">
        <v>435.54</v>
      </c>
      <c r="AA57" s="9" t="s">
        <v>3154</v>
      </c>
      <c r="AB57" s="9">
        <v>0</v>
      </c>
      <c r="AC57" s="9">
        <v>0</v>
      </c>
      <c r="AD57" s="8"/>
      <c r="AE57" s="8"/>
      <c r="AF57" s="8"/>
      <c r="AG57" s="8"/>
      <c r="AH57" s="9"/>
      <c r="AI57" s="8">
        <v>46216</v>
      </c>
      <c r="AJ57" s="231">
        <v>46229</v>
      </c>
    </row>
    <row r="58" spans="1:36">
      <c r="A58" s="19" t="s">
        <v>3233</v>
      </c>
      <c r="B58" s="10" t="s">
        <v>3143</v>
      </c>
      <c r="C58" s="10" t="s">
        <v>3144</v>
      </c>
      <c r="D58" s="10" t="s">
        <v>3234</v>
      </c>
      <c r="E58" s="10" t="s">
        <v>3146</v>
      </c>
      <c r="F58" s="10" t="s">
        <v>3282</v>
      </c>
      <c r="G58" s="10"/>
      <c r="H58" s="10" t="s">
        <v>661</v>
      </c>
      <c r="I58" s="10" t="s">
        <v>3236</v>
      </c>
      <c r="J58" s="10" t="s">
        <v>3164</v>
      </c>
      <c r="K58" s="10" t="s">
        <v>209</v>
      </c>
      <c r="L58" s="9" t="s">
        <v>3283</v>
      </c>
      <c r="M58" s="10" t="s">
        <v>15</v>
      </c>
      <c r="N58" s="10" t="s">
        <v>3150</v>
      </c>
      <c r="O58" s="10" t="s">
        <v>3151</v>
      </c>
      <c r="P58" s="8">
        <v>46223</v>
      </c>
      <c r="Q58" s="9" t="s">
        <v>3169</v>
      </c>
      <c r="R58" s="9">
        <v>7</v>
      </c>
      <c r="S58" s="10" t="s">
        <v>3153</v>
      </c>
      <c r="T58" s="10" t="s">
        <v>2352</v>
      </c>
      <c r="U58" s="10" t="s">
        <v>3150</v>
      </c>
      <c r="V58" s="24">
        <v>13.48</v>
      </c>
      <c r="W58" s="24">
        <v>94.36</v>
      </c>
      <c r="X58" s="24">
        <v>404.4</v>
      </c>
      <c r="Y58" s="24">
        <v>94.36</v>
      </c>
      <c r="Z58" s="24">
        <v>94.36</v>
      </c>
      <c r="AA58" s="9" t="s">
        <v>3154</v>
      </c>
      <c r="AB58" s="9">
        <v>0</v>
      </c>
      <c r="AC58" s="9">
        <v>0</v>
      </c>
      <c r="AD58" s="8"/>
      <c r="AE58" s="8"/>
      <c r="AF58" s="8"/>
      <c r="AG58" s="8"/>
      <c r="AH58" s="9"/>
      <c r="AI58" s="8">
        <v>46216</v>
      </c>
      <c r="AJ58" s="231">
        <v>46229</v>
      </c>
    </row>
    <row r="59" spans="1:36">
      <c r="A59" s="19" t="s">
        <v>3233</v>
      </c>
      <c r="B59" s="10" t="s">
        <v>3143</v>
      </c>
      <c r="C59" s="10" t="s">
        <v>3144</v>
      </c>
      <c r="D59" s="10" t="s">
        <v>3234</v>
      </c>
      <c r="E59" s="10" t="s">
        <v>3146</v>
      </c>
      <c r="F59" s="10" t="s">
        <v>158</v>
      </c>
      <c r="G59" s="10"/>
      <c r="H59" s="10" t="s">
        <v>2193</v>
      </c>
      <c r="I59" s="10" t="s">
        <v>3239</v>
      </c>
      <c r="J59" s="10" t="s">
        <v>3155</v>
      </c>
      <c r="K59" s="10" t="s">
        <v>158</v>
      </c>
      <c r="L59" s="9" t="s">
        <v>3254</v>
      </c>
      <c r="M59" s="10" t="s">
        <v>15</v>
      </c>
      <c r="N59" s="10" t="s">
        <v>3150</v>
      </c>
      <c r="O59" s="10" t="s">
        <v>3151</v>
      </c>
      <c r="P59" s="8">
        <v>46223</v>
      </c>
      <c r="Q59" s="9" t="s">
        <v>3241</v>
      </c>
      <c r="R59" s="9">
        <v>7</v>
      </c>
      <c r="S59" s="10" t="s">
        <v>3153</v>
      </c>
      <c r="T59" s="10" t="s">
        <v>2352</v>
      </c>
      <c r="U59" s="10" t="s">
        <v>3150</v>
      </c>
      <c r="V59" s="24">
        <v>25.1</v>
      </c>
      <c r="W59" s="24">
        <v>175.7</v>
      </c>
      <c r="X59" s="24">
        <v>753</v>
      </c>
      <c r="Y59" s="24">
        <v>175.7</v>
      </c>
      <c r="Z59" s="24">
        <v>175.7</v>
      </c>
      <c r="AA59" s="9" t="s">
        <v>3154</v>
      </c>
      <c r="AB59" s="9">
        <v>0</v>
      </c>
      <c r="AC59" s="9">
        <v>0</v>
      </c>
      <c r="AD59" s="8"/>
      <c r="AE59" s="8"/>
      <c r="AF59" s="8"/>
      <c r="AG59" s="8"/>
      <c r="AH59" s="9"/>
      <c r="AI59" s="8">
        <v>46216</v>
      </c>
      <c r="AJ59" s="231">
        <v>46229</v>
      </c>
    </row>
    <row r="60" spans="1:36">
      <c r="A60" s="19" t="s">
        <v>3233</v>
      </c>
      <c r="B60" s="10" t="s">
        <v>3143</v>
      </c>
      <c r="C60" s="10" t="s">
        <v>3144</v>
      </c>
      <c r="D60" s="10" t="s">
        <v>3234</v>
      </c>
      <c r="E60" s="10" t="s">
        <v>3146</v>
      </c>
      <c r="F60" s="10" t="s">
        <v>3238</v>
      </c>
      <c r="G60" s="10"/>
      <c r="H60" s="10" t="s">
        <v>663</v>
      </c>
      <c r="I60" s="10" t="s">
        <v>3239</v>
      </c>
      <c r="J60" s="10" t="s">
        <v>3155</v>
      </c>
      <c r="K60" s="10" t="s">
        <v>2195</v>
      </c>
      <c r="L60" s="9" t="s">
        <v>3274</v>
      </c>
      <c r="M60" s="10" t="s">
        <v>15</v>
      </c>
      <c r="N60" s="10" t="s">
        <v>3150</v>
      </c>
      <c r="O60" s="10" t="s">
        <v>3151</v>
      </c>
      <c r="P60" s="8">
        <v>46223</v>
      </c>
      <c r="Q60" s="9" t="s">
        <v>3241</v>
      </c>
      <c r="R60" s="9">
        <v>7</v>
      </c>
      <c r="S60" s="10" t="s">
        <v>3153</v>
      </c>
      <c r="T60" s="10" t="s">
        <v>2352</v>
      </c>
      <c r="U60" s="10" t="s">
        <v>3150</v>
      </c>
      <c r="V60" s="24">
        <v>17.64</v>
      </c>
      <c r="W60" s="24">
        <v>123.48</v>
      </c>
      <c r="X60" s="24">
        <v>529.20000000000005</v>
      </c>
      <c r="Y60" s="24">
        <v>123.48</v>
      </c>
      <c r="Z60" s="24">
        <v>123.48</v>
      </c>
      <c r="AA60" s="9" t="s">
        <v>3154</v>
      </c>
      <c r="AB60" s="9">
        <v>0</v>
      </c>
      <c r="AC60" s="9">
        <v>0</v>
      </c>
      <c r="AD60" s="8"/>
      <c r="AE60" s="8"/>
      <c r="AF60" s="8"/>
      <c r="AG60" s="8"/>
      <c r="AH60" s="9"/>
      <c r="AI60" s="8">
        <v>46216</v>
      </c>
      <c r="AJ60" s="231">
        <v>46229</v>
      </c>
    </row>
    <row r="61" spans="1:36">
      <c r="A61" s="19" t="s">
        <v>3233</v>
      </c>
      <c r="B61" s="10" t="s">
        <v>3143</v>
      </c>
      <c r="C61" s="10" t="s">
        <v>3144</v>
      </c>
      <c r="D61" s="10" t="s">
        <v>3234</v>
      </c>
      <c r="E61" s="10" t="s">
        <v>3146</v>
      </c>
      <c r="F61" s="10" t="s">
        <v>3238</v>
      </c>
      <c r="G61" s="10"/>
      <c r="H61" s="10" t="s">
        <v>663</v>
      </c>
      <c r="I61" s="10" t="s">
        <v>3239</v>
      </c>
      <c r="J61" s="10" t="s">
        <v>3155</v>
      </c>
      <c r="K61" s="10" t="s">
        <v>2195</v>
      </c>
      <c r="L61" s="9" t="s">
        <v>3276</v>
      </c>
      <c r="M61" s="10" t="s">
        <v>15</v>
      </c>
      <c r="N61" s="10" t="s">
        <v>3150</v>
      </c>
      <c r="O61" s="10" t="s">
        <v>3151</v>
      </c>
      <c r="P61" s="8">
        <v>46223</v>
      </c>
      <c r="Q61" s="9" t="s">
        <v>3241</v>
      </c>
      <c r="R61" s="9">
        <v>7</v>
      </c>
      <c r="S61" s="10" t="s">
        <v>3153</v>
      </c>
      <c r="T61" s="10" t="s">
        <v>2352</v>
      </c>
      <c r="U61" s="10" t="s">
        <v>3150</v>
      </c>
      <c r="V61" s="24">
        <v>17.64</v>
      </c>
      <c r="W61" s="24">
        <v>123.48</v>
      </c>
      <c r="X61" s="24">
        <v>529.20000000000005</v>
      </c>
      <c r="Y61" s="24">
        <v>123.48</v>
      </c>
      <c r="Z61" s="24">
        <v>123.48</v>
      </c>
      <c r="AA61" s="9" t="s">
        <v>3154</v>
      </c>
      <c r="AB61" s="9">
        <v>0</v>
      </c>
      <c r="AC61" s="9">
        <v>0</v>
      </c>
      <c r="AD61" s="8"/>
      <c r="AE61" s="8"/>
      <c r="AF61" s="8"/>
      <c r="AG61" s="8"/>
      <c r="AH61" s="9"/>
      <c r="AI61" s="8">
        <v>46216</v>
      </c>
      <c r="AJ61" s="231">
        <v>46229</v>
      </c>
    </row>
    <row r="62" spans="1:36">
      <c r="A62" s="19" t="s">
        <v>3233</v>
      </c>
      <c r="B62" s="10" t="s">
        <v>3143</v>
      </c>
      <c r="C62" s="10" t="s">
        <v>3144</v>
      </c>
      <c r="D62" s="10" t="s">
        <v>3234</v>
      </c>
      <c r="E62" s="10" t="s">
        <v>3146</v>
      </c>
      <c r="F62" s="10" t="s">
        <v>3238</v>
      </c>
      <c r="G62" s="10"/>
      <c r="H62" s="10" t="s">
        <v>663</v>
      </c>
      <c r="I62" s="10" t="s">
        <v>3239</v>
      </c>
      <c r="J62" s="10" t="s">
        <v>3155</v>
      </c>
      <c r="K62" s="10" t="s">
        <v>2195</v>
      </c>
      <c r="L62" s="9" t="s">
        <v>3271</v>
      </c>
      <c r="M62" s="10" t="s">
        <v>15</v>
      </c>
      <c r="N62" s="10" t="s">
        <v>3150</v>
      </c>
      <c r="O62" s="10" t="s">
        <v>3151</v>
      </c>
      <c r="P62" s="8">
        <v>46223</v>
      </c>
      <c r="Q62" s="9" t="s">
        <v>3241</v>
      </c>
      <c r="R62" s="9">
        <v>7</v>
      </c>
      <c r="S62" s="10" t="s">
        <v>3153</v>
      </c>
      <c r="T62" s="10" t="s">
        <v>2352</v>
      </c>
      <c r="U62" s="10" t="s">
        <v>3150</v>
      </c>
      <c r="V62" s="24">
        <v>17.64</v>
      </c>
      <c r="W62" s="24">
        <v>123.48</v>
      </c>
      <c r="X62" s="24">
        <v>529.20000000000005</v>
      </c>
      <c r="Y62" s="24">
        <v>123.48</v>
      </c>
      <c r="Z62" s="24">
        <v>123.48</v>
      </c>
      <c r="AA62" s="9" t="s">
        <v>3154</v>
      </c>
      <c r="AB62" s="9">
        <v>0</v>
      </c>
      <c r="AC62" s="9">
        <v>0</v>
      </c>
      <c r="AD62" s="8"/>
      <c r="AE62" s="8"/>
      <c r="AF62" s="8"/>
      <c r="AG62" s="8"/>
      <c r="AH62" s="9"/>
      <c r="AI62" s="8">
        <v>46216</v>
      </c>
      <c r="AJ62" s="231">
        <v>46229</v>
      </c>
    </row>
    <row r="63" spans="1:36">
      <c r="A63" s="19" t="s">
        <v>3233</v>
      </c>
      <c r="B63" s="10" t="s">
        <v>3143</v>
      </c>
      <c r="C63" s="10" t="s">
        <v>3144</v>
      </c>
      <c r="D63" s="10" t="s">
        <v>3234</v>
      </c>
      <c r="E63" s="10" t="s">
        <v>3146</v>
      </c>
      <c r="F63" s="10" t="s">
        <v>3238</v>
      </c>
      <c r="G63" s="10"/>
      <c r="H63" s="10" t="s">
        <v>663</v>
      </c>
      <c r="I63" s="10" t="s">
        <v>3239</v>
      </c>
      <c r="J63" s="10" t="s">
        <v>3155</v>
      </c>
      <c r="K63" s="10" t="s">
        <v>2195</v>
      </c>
      <c r="L63" s="9" t="s">
        <v>3273</v>
      </c>
      <c r="M63" s="10" t="s">
        <v>15</v>
      </c>
      <c r="N63" s="10" t="s">
        <v>3150</v>
      </c>
      <c r="O63" s="10" t="s">
        <v>3151</v>
      </c>
      <c r="P63" s="8">
        <v>46223</v>
      </c>
      <c r="Q63" s="9" t="s">
        <v>3241</v>
      </c>
      <c r="R63" s="9">
        <v>7</v>
      </c>
      <c r="S63" s="10" t="s">
        <v>3153</v>
      </c>
      <c r="T63" s="10" t="s">
        <v>2352</v>
      </c>
      <c r="U63" s="10" t="s">
        <v>3150</v>
      </c>
      <c r="V63" s="24">
        <v>17.64</v>
      </c>
      <c r="W63" s="24">
        <v>123.48</v>
      </c>
      <c r="X63" s="24">
        <v>529.20000000000005</v>
      </c>
      <c r="Y63" s="24">
        <v>123.48</v>
      </c>
      <c r="Z63" s="24">
        <v>123.48</v>
      </c>
      <c r="AA63" s="9" t="s">
        <v>3154</v>
      </c>
      <c r="AB63" s="9">
        <v>0</v>
      </c>
      <c r="AC63" s="9">
        <v>0</v>
      </c>
      <c r="AD63" s="8"/>
      <c r="AE63" s="8"/>
      <c r="AF63" s="8"/>
      <c r="AG63" s="8"/>
      <c r="AH63" s="9"/>
      <c r="AI63" s="8">
        <v>46216</v>
      </c>
      <c r="AJ63" s="231">
        <v>46229</v>
      </c>
    </row>
    <row r="64" spans="1:36">
      <c r="A64" s="19" t="s">
        <v>3233</v>
      </c>
      <c r="B64" s="10" t="s">
        <v>3143</v>
      </c>
      <c r="C64" s="10" t="s">
        <v>3144</v>
      </c>
      <c r="D64" s="10" t="s">
        <v>3234</v>
      </c>
      <c r="E64" s="10" t="s">
        <v>3146</v>
      </c>
      <c r="F64" s="10" t="s">
        <v>3238</v>
      </c>
      <c r="G64" s="10"/>
      <c r="H64" s="10" t="s">
        <v>664</v>
      </c>
      <c r="I64" s="10" t="s">
        <v>3239</v>
      </c>
      <c r="J64" s="10" t="s">
        <v>3155</v>
      </c>
      <c r="K64" s="10" t="s">
        <v>148</v>
      </c>
      <c r="L64" s="9" t="s">
        <v>3248</v>
      </c>
      <c r="M64" s="10" t="s">
        <v>15</v>
      </c>
      <c r="N64" s="10" t="s">
        <v>3150</v>
      </c>
      <c r="O64" s="10" t="s">
        <v>3151</v>
      </c>
      <c r="P64" s="8">
        <v>46223</v>
      </c>
      <c r="Q64" s="9" t="s">
        <v>3241</v>
      </c>
      <c r="R64" s="9">
        <v>7</v>
      </c>
      <c r="S64" s="10" t="s">
        <v>3153</v>
      </c>
      <c r="T64" s="10" t="s">
        <v>2352</v>
      </c>
      <c r="U64" s="10" t="s">
        <v>3150</v>
      </c>
      <c r="V64" s="24">
        <v>25.21</v>
      </c>
      <c r="W64" s="24">
        <v>176.47</v>
      </c>
      <c r="X64" s="24">
        <v>756.3</v>
      </c>
      <c r="Y64" s="24">
        <v>176.47</v>
      </c>
      <c r="Z64" s="24">
        <v>176.47</v>
      </c>
      <c r="AA64" s="9" t="s">
        <v>3154</v>
      </c>
      <c r="AB64" s="9">
        <v>0</v>
      </c>
      <c r="AC64" s="9">
        <v>0</v>
      </c>
      <c r="AD64" s="8"/>
      <c r="AE64" s="8"/>
      <c r="AF64" s="8"/>
      <c r="AG64" s="8"/>
      <c r="AH64" s="9"/>
      <c r="AI64" s="8">
        <v>46216</v>
      </c>
      <c r="AJ64" s="231">
        <v>46229</v>
      </c>
    </row>
    <row r="65" spans="1:36">
      <c r="A65" s="19" t="s">
        <v>3233</v>
      </c>
      <c r="B65" s="10" t="s">
        <v>3143</v>
      </c>
      <c r="C65" s="10" t="s">
        <v>3144</v>
      </c>
      <c r="D65" s="10" t="s">
        <v>3234</v>
      </c>
      <c r="E65" s="10" t="s">
        <v>3146</v>
      </c>
      <c r="F65" s="10" t="s">
        <v>3238</v>
      </c>
      <c r="G65" s="10"/>
      <c r="H65" s="10" t="s">
        <v>664</v>
      </c>
      <c r="I65" s="10" t="s">
        <v>3239</v>
      </c>
      <c r="J65" s="10" t="s">
        <v>3155</v>
      </c>
      <c r="K65" s="10" t="s">
        <v>148</v>
      </c>
      <c r="L65" s="9" t="s">
        <v>3246</v>
      </c>
      <c r="M65" s="10" t="s">
        <v>15</v>
      </c>
      <c r="N65" s="10" t="s">
        <v>3150</v>
      </c>
      <c r="O65" s="10" t="s">
        <v>3151</v>
      </c>
      <c r="P65" s="8">
        <v>46223</v>
      </c>
      <c r="Q65" s="9" t="s">
        <v>3241</v>
      </c>
      <c r="R65" s="9">
        <v>7</v>
      </c>
      <c r="S65" s="10" t="s">
        <v>3153</v>
      </c>
      <c r="T65" s="10" t="s">
        <v>2352</v>
      </c>
      <c r="U65" s="10" t="s">
        <v>3150</v>
      </c>
      <c r="V65" s="24">
        <v>25.21</v>
      </c>
      <c r="W65" s="24">
        <v>176.47</v>
      </c>
      <c r="X65" s="24">
        <v>756.3</v>
      </c>
      <c r="Y65" s="24">
        <v>176.47</v>
      </c>
      <c r="Z65" s="24">
        <v>176.47</v>
      </c>
      <c r="AA65" s="9" t="s">
        <v>3154</v>
      </c>
      <c r="AB65" s="9">
        <v>0</v>
      </c>
      <c r="AC65" s="9">
        <v>0</v>
      </c>
      <c r="AD65" s="8"/>
      <c r="AE65" s="8"/>
      <c r="AF65" s="8"/>
      <c r="AG65" s="8"/>
      <c r="AH65" s="9"/>
      <c r="AI65" s="8">
        <v>46216</v>
      </c>
      <c r="AJ65" s="231">
        <v>46229</v>
      </c>
    </row>
    <row r="66" spans="1:36">
      <c r="A66" s="19" t="s">
        <v>3233</v>
      </c>
      <c r="B66" s="10" t="s">
        <v>3143</v>
      </c>
      <c r="C66" s="10" t="s">
        <v>3144</v>
      </c>
      <c r="D66" s="10" t="s">
        <v>3234</v>
      </c>
      <c r="E66" s="10" t="s">
        <v>3146</v>
      </c>
      <c r="F66" s="10" t="s">
        <v>3238</v>
      </c>
      <c r="G66" s="10"/>
      <c r="H66" s="10" t="s">
        <v>664</v>
      </c>
      <c r="I66" s="10" t="s">
        <v>3239</v>
      </c>
      <c r="J66" s="10" t="s">
        <v>3155</v>
      </c>
      <c r="K66" s="10" t="s">
        <v>148</v>
      </c>
      <c r="L66" s="9" t="s">
        <v>3244</v>
      </c>
      <c r="M66" s="10" t="s">
        <v>15</v>
      </c>
      <c r="N66" s="10" t="s">
        <v>3150</v>
      </c>
      <c r="O66" s="10" t="s">
        <v>3151</v>
      </c>
      <c r="P66" s="8">
        <v>46223</v>
      </c>
      <c r="Q66" s="9" t="s">
        <v>3241</v>
      </c>
      <c r="R66" s="9">
        <v>7</v>
      </c>
      <c r="S66" s="10" t="s">
        <v>3153</v>
      </c>
      <c r="T66" s="10" t="s">
        <v>2352</v>
      </c>
      <c r="U66" s="10" t="s">
        <v>3150</v>
      </c>
      <c r="V66" s="24">
        <v>25.21</v>
      </c>
      <c r="W66" s="24">
        <v>176.47</v>
      </c>
      <c r="X66" s="24">
        <v>756.3</v>
      </c>
      <c r="Y66" s="24">
        <v>176.47</v>
      </c>
      <c r="Z66" s="24">
        <v>176.47</v>
      </c>
      <c r="AA66" s="9" t="s">
        <v>3154</v>
      </c>
      <c r="AB66" s="9">
        <v>0</v>
      </c>
      <c r="AC66" s="9">
        <v>0</v>
      </c>
      <c r="AD66" s="8"/>
      <c r="AE66" s="8"/>
      <c r="AF66" s="8"/>
      <c r="AG66" s="8"/>
      <c r="AH66" s="9"/>
      <c r="AI66" s="8">
        <v>46216</v>
      </c>
      <c r="AJ66" s="231">
        <v>46229</v>
      </c>
    </row>
    <row r="67" spans="1:36">
      <c r="A67" s="19" t="s">
        <v>3233</v>
      </c>
      <c r="B67" s="10" t="s">
        <v>3143</v>
      </c>
      <c r="C67" s="10" t="s">
        <v>3144</v>
      </c>
      <c r="D67" s="10" t="s">
        <v>3234</v>
      </c>
      <c r="E67" s="10" t="s">
        <v>3146</v>
      </c>
      <c r="F67" s="10" t="s">
        <v>3238</v>
      </c>
      <c r="G67" s="10"/>
      <c r="H67" s="10" t="s">
        <v>664</v>
      </c>
      <c r="I67" s="10" t="s">
        <v>3239</v>
      </c>
      <c r="J67" s="10" t="s">
        <v>3155</v>
      </c>
      <c r="K67" s="10" t="s">
        <v>148</v>
      </c>
      <c r="L67" s="9" t="s">
        <v>3245</v>
      </c>
      <c r="M67" s="10" t="s">
        <v>15</v>
      </c>
      <c r="N67" s="10" t="s">
        <v>3150</v>
      </c>
      <c r="O67" s="10" t="s">
        <v>3151</v>
      </c>
      <c r="P67" s="8">
        <v>46223</v>
      </c>
      <c r="Q67" s="9" t="s">
        <v>3241</v>
      </c>
      <c r="R67" s="9">
        <v>7</v>
      </c>
      <c r="S67" s="10" t="s">
        <v>3153</v>
      </c>
      <c r="T67" s="10" t="s">
        <v>2352</v>
      </c>
      <c r="U67" s="10" t="s">
        <v>3150</v>
      </c>
      <c r="V67" s="24">
        <v>25.21</v>
      </c>
      <c r="W67" s="24">
        <v>176.47</v>
      </c>
      <c r="X67" s="24">
        <v>756.3</v>
      </c>
      <c r="Y67" s="24">
        <v>176.47</v>
      </c>
      <c r="Z67" s="24">
        <v>176.47</v>
      </c>
      <c r="AA67" s="9" t="s">
        <v>3154</v>
      </c>
      <c r="AB67" s="9">
        <v>0</v>
      </c>
      <c r="AC67" s="9">
        <v>0</v>
      </c>
      <c r="AD67" s="8"/>
      <c r="AE67" s="8"/>
      <c r="AF67" s="8"/>
      <c r="AG67" s="8"/>
      <c r="AH67" s="9"/>
      <c r="AI67" s="8">
        <v>46216</v>
      </c>
      <c r="AJ67" s="231">
        <v>46229</v>
      </c>
    </row>
    <row r="68" spans="1:36">
      <c r="A68" s="19" t="s">
        <v>3233</v>
      </c>
      <c r="B68" s="10" t="s">
        <v>3143</v>
      </c>
      <c r="C68" s="10" t="s">
        <v>3144</v>
      </c>
      <c r="D68" s="10" t="s">
        <v>3234</v>
      </c>
      <c r="E68" s="10" t="s">
        <v>3146</v>
      </c>
      <c r="F68" s="10" t="s">
        <v>3238</v>
      </c>
      <c r="G68" s="10"/>
      <c r="H68" s="10" t="s">
        <v>664</v>
      </c>
      <c r="I68" s="10" t="s">
        <v>3239</v>
      </c>
      <c r="J68" s="10" t="s">
        <v>3155</v>
      </c>
      <c r="K68" s="10" t="s">
        <v>148</v>
      </c>
      <c r="L68" s="9" t="s">
        <v>3253</v>
      </c>
      <c r="M68" s="10" t="s">
        <v>15</v>
      </c>
      <c r="N68" s="10" t="s">
        <v>3150</v>
      </c>
      <c r="O68" s="10" t="s">
        <v>3151</v>
      </c>
      <c r="P68" s="8">
        <v>46223</v>
      </c>
      <c r="Q68" s="9" t="s">
        <v>3241</v>
      </c>
      <c r="R68" s="9">
        <v>7</v>
      </c>
      <c r="S68" s="10" t="s">
        <v>3153</v>
      </c>
      <c r="T68" s="10" t="s">
        <v>2352</v>
      </c>
      <c r="U68" s="10" t="s">
        <v>3150</v>
      </c>
      <c r="V68" s="24">
        <v>25.21</v>
      </c>
      <c r="W68" s="24">
        <v>176.47</v>
      </c>
      <c r="X68" s="24">
        <v>756.3</v>
      </c>
      <c r="Y68" s="24">
        <v>176.47</v>
      </c>
      <c r="Z68" s="24">
        <v>176.47</v>
      </c>
      <c r="AA68" s="9" t="s">
        <v>3154</v>
      </c>
      <c r="AB68" s="9">
        <v>0</v>
      </c>
      <c r="AC68" s="9">
        <v>0</v>
      </c>
      <c r="AD68" s="8"/>
      <c r="AE68" s="8"/>
      <c r="AF68" s="8"/>
      <c r="AG68" s="8"/>
      <c r="AH68" s="9"/>
      <c r="AI68" s="8">
        <v>46216</v>
      </c>
      <c r="AJ68" s="231">
        <v>46229</v>
      </c>
    </row>
    <row r="69" spans="1:36">
      <c r="A69" s="19" t="s">
        <v>3233</v>
      </c>
      <c r="B69" s="10" t="s">
        <v>3143</v>
      </c>
      <c r="C69" s="10" t="s">
        <v>3144</v>
      </c>
      <c r="D69" s="10" t="s">
        <v>3234</v>
      </c>
      <c r="E69" s="10" t="s">
        <v>3146</v>
      </c>
      <c r="F69" s="10" t="s">
        <v>3238</v>
      </c>
      <c r="G69" s="10"/>
      <c r="H69" s="10" t="s">
        <v>664</v>
      </c>
      <c r="I69" s="10" t="s">
        <v>3239</v>
      </c>
      <c r="J69" s="10" t="s">
        <v>3155</v>
      </c>
      <c r="K69" s="10" t="s">
        <v>148</v>
      </c>
      <c r="L69" s="9" t="s">
        <v>3252</v>
      </c>
      <c r="M69" s="10" t="s">
        <v>15</v>
      </c>
      <c r="N69" s="10" t="s">
        <v>3150</v>
      </c>
      <c r="O69" s="10" t="s">
        <v>3151</v>
      </c>
      <c r="P69" s="8">
        <v>46223</v>
      </c>
      <c r="Q69" s="9" t="s">
        <v>3241</v>
      </c>
      <c r="R69" s="9">
        <v>7</v>
      </c>
      <c r="S69" s="10" t="s">
        <v>3153</v>
      </c>
      <c r="T69" s="10" t="s">
        <v>2352</v>
      </c>
      <c r="U69" s="10" t="s">
        <v>3150</v>
      </c>
      <c r="V69" s="24">
        <v>25.21</v>
      </c>
      <c r="W69" s="24">
        <v>176.47</v>
      </c>
      <c r="X69" s="24">
        <v>756.3</v>
      </c>
      <c r="Y69" s="24">
        <v>176.47</v>
      </c>
      <c r="Z69" s="24">
        <v>176.47</v>
      </c>
      <c r="AA69" s="9" t="s">
        <v>3154</v>
      </c>
      <c r="AB69" s="9">
        <v>0</v>
      </c>
      <c r="AC69" s="9">
        <v>0</v>
      </c>
      <c r="AD69" s="8"/>
      <c r="AE69" s="8"/>
      <c r="AF69" s="8"/>
      <c r="AG69" s="8"/>
      <c r="AH69" s="9"/>
      <c r="AI69" s="8">
        <v>46216</v>
      </c>
      <c r="AJ69" s="231">
        <v>46229</v>
      </c>
    </row>
    <row r="70" spans="1:36">
      <c r="A70" s="19" t="s">
        <v>3233</v>
      </c>
      <c r="B70" s="10" t="s">
        <v>3143</v>
      </c>
      <c r="C70" s="10" t="s">
        <v>3144</v>
      </c>
      <c r="D70" s="10" t="s">
        <v>3234</v>
      </c>
      <c r="E70" s="10" t="s">
        <v>3146</v>
      </c>
      <c r="F70" s="10" t="s">
        <v>3238</v>
      </c>
      <c r="G70" s="10"/>
      <c r="H70" s="10" t="s">
        <v>664</v>
      </c>
      <c r="I70" s="10" t="s">
        <v>3239</v>
      </c>
      <c r="J70" s="10" t="s">
        <v>3155</v>
      </c>
      <c r="K70" s="10" t="s">
        <v>148</v>
      </c>
      <c r="L70" s="9" t="s">
        <v>3249</v>
      </c>
      <c r="M70" s="10" t="s">
        <v>15</v>
      </c>
      <c r="N70" s="10" t="s">
        <v>3150</v>
      </c>
      <c r="O70" s="10" t="s">
        <v>3151</v>
      </c>
      <c r="P70" s="8">
        <v>46223</v>
      </c>
      <c r="Q70" s="9" t="s">
        <v>3241</v>
      </c>
      <c r="R70" s="9">
        <v>7</v>
      </c>
      <c r="S70" s="10" t="s">
        <v>3153</v>
      </c>
      <c r="T70" s="10" t="s">
        <v>2352</v>
      </c>
      <c r="U70" s="10" t="s">
        <v>3150</v>
      </c>
      <c r="V70" s="24">
        <v>25.21</v>
      </c>
      <c r="W70" s="24">
        <v>176.47</v>
      </c>
      <c r="X70" s="24">
        <v>756.3</v>
      </c>
      <c r="Y70" s="24">
        <v>176.47</v>
      </c>
      <c r="Z70" s="24">
        <v>176.47</v>
      </c>
      <c r="AA70" s="9" t="s">
        <v>3154</v>
      </c>
      <c r="AB70" s="9">
        <v>0</v>
      </c>
      <c r="AC70" s="9">
        <v>0</v>
      </c>
      <c r="AD70" s="8"/>
      <c r="AE70" s="8"/>
      <c r="AF70" s="8"/>
      <c r="AG70" s="8"/>
      <c r="AH70" s="9"/>
      <c r="AI70" s="8">
        <v>46216</v>
      </c>
      <c r="AJ70" s="231">
        <v>46229</v>
      </c>
    </row>
    <row r="71" spans="1:36">
      <c r="A71" s="19" t="s">
        <v>3233</v>
      </c>
      <c r="B71" s="10" t="s">
        <v>3143</v>
      </c>
      <c r="C71" s="10" t="s">
        <v>3144</v>
      </c>
      <c r="D71" s="10" t="s">
        <v>3234</v>
      </c>
      <c r="E71" s="10" t="s">
        <v>3146</v>
      </c>
      <c r="F71" s="10" t="s">
        <v>3238</v>
      </c>
      <c r="G71" s="10"/>
      <c r="H71" s="10" t="s">
        <v>664</v>
      </c>
      <c r="I71" s="10" t="s">
        <v>3239</v>
      </c>
      <c r="J71" s="10" t="s">
        <v>3155</v>
      </c>
      <c r="K71" s="10" t="s">
        <v>148</v>
      </c>
      <c r="L71" s="9" t="s">
        <v>3243</v>
      </c>
      <c r="M71" s="10" t="s">
        <v>15</v>
      </c>
      <c r="N71" s="10" t="s">
        <v>3150</v>
      </c>
      <c r="O71" s="10" t="s">
        <v>3151</v>
      </c>
      <c r="P71" s="8">
        <v>46223</v>
      </c>
      <c r="Q71" s="9" t="s">
        <v>3241</v>
      </c>
      <c r="R71" s="9">
        <v>7</v>
      </c>
      <c r="S71" s="10" t="s">
        <v>3153</v>
      </c>
      <c r="T71" s="10" t="s">
        <v>2352</v>
      </c>
      <c r="U71" s="10" t="s">
        <v>3150</v>
      </c>
      <c r="V71" s="24">
        <v>25.21</v>
      </c>
      <c r="W71" s="24">
        <v>176.47</v>
      </c>
      <c r="X71" s="24">
        <v>756.3</v>
      </c>
      <c r="Y71" s="24">
        <v>176.47</v>
      </c>
      <c r="Z71" s="24">
        <v>176.47</v>
      </c>
      <c r="AA71" s="9" t="s">
        <v>3154</v>
      </c>
      <c r="AB71" s="9">
        <v>0</v>
      </c>
      <c r="AC71" s="9">
        <v>0</v>
      </c>
      <c r="AD71" s="8"/>
      <c r="AE71" s="8"/>
      <c r="AF71" s="8"/>
      <c r="AG71" s="8"/>
      <c r="AH71" s="9"/>
      <c r="AI71" s="8">
        <v>46216</v>
      </c>
      <c r="AJ71" s="231">
        <v>46229</v>
      </c>
    </row>
    <row r="72" spans="1:36">
      <c r="A72" s="19" t="s">
        <v>3233</v>
      </c>
      <c r="B72" s="10" t="s">
        <v>3143</v>
      </c>
      <c r="C72" s="10" t="s">
        <v>3144</v>
      </c>
      <c r="D72" s="10" t="s">
        <v>3234</v>
      </c>
      <c r="E72" s="10" t="s">
        <v>3146</v>
      </c>
      <c r="F72" s="10" t="s">
        <v>3238</v>
      </c>
      <c r="G72" s="10"/>
      <c r="H72" s="10" t="s">
        <v>664</v>
      </c>
      <c r="I72" s="10" t="s">
        <v>3239</v>
      </c>
      <c r="J72" s="10" t="s">
        <v>3155</v>
      </c>
      <c r="K72" s="10" t="s">
        <v>148</v>
      </c>
      <c r="L72" s="9" t="s">
        <v>3247</v>
      </c>
      <c r="M72" s="10" t="s">
        <v>15</v>
      </c>
      <c r="N72" s="10" t="s">
        <v>3150</v>
      </c>
      <c r="O72" s="10" t="s">
        <v>3151</v>
      </c>
      <c r="P72" s="8">
        <v>46223</v>
      </c>
      <c r="Q72" s="9" t="s">
        <v>3241</v>
      </c>
      <c r="R72" s="9">
        <v>7</v>
      </c>
      <c r="S72" s="10" t="s">
        <v>3153</v>
      </c>
      <c r="T72" s="10" t="s">
        <v>2352</v>
      </c>
      <c r="U72" s="10" t="s">
        <v>3150</v>
      </c>
      <c r="V72" s="24">
        <v>25.21</v>
      </c>
      <c r="W72" s="24">
        <v>176.47</v>
      </c>
      <c r="X72" s="24">
        <v>756.3</v>
      </c>
      <c r="Y72" s="24">
        <v>176.47</v>
      </c>
      <c r="Z72" s="24">
        <v>176.47</v>
      </c>
      <c r="AA72" s="9" t="s">
        <v>3154</v>
      </c>
      <c r="AB72" s="9">
        <v>0</v>
      </c>
      <c r="AC72" s="9">
        <v>0</v>
      </c>
      <c r="AD72" s="8"/>
      <c r="AE72" s="8"/>
      <c r="AF72" s="8"/>
      <c r="AG72" s="8"/>
      <c r="AH72" s="9"/>
      <c r="AI72" s="8">
        <v>46216</v>
      </c>
      <c r="AJ72" s="231">
        <v>46229</v>
      </c>
    </row>
    <row r="73" spans="1:36">
      <c r="A73" s="19" t="s">
        <v>3233</v>
      </c>
      <c r="B73" s="10" t="s">
        <v>3143</v>
      </c>
      <c r="C73" s="10" t="s">
        <v>3144</v>
      </c>
      <c r="D73" s="10" t="s">
        <v>3234</v>
      </c>
      <c r="E73" s="10" t="s">
        <v>3146</v>
      </c>
      <c r="F73" s="10" t="s">
        <v>3238</v>
      </c>
      <c r="G73" s="10"/>
      <c r="H73" s="10" t="s">
        <v>664</v>
      </c>
      <c r="I73" s="10" t="s">
        <v>3239</v>
      </c>
      <c r="J73" s="10" t="s">
        <v>3155</v>
      </c>
      <c r="K73" s="10" t="s">
        <v>148</v>
      </c>
      <c r="L73" s="9" t="s">
        <v>3250</v>
      </c>
      <c r="M73" s="10" t="s">
        <v>15</v>
      </c>
      <c r="N73" s="10" t="s">
        <v>3150</v>
      </c>
      <c r="O73" s="10" t="s">
        <v>3151</v>
      </c>
      <c r="P73" s="8">
        <v>46223</v>
      </c>
      <c r="Q73" s="9" t="s">
        <v>3241</v>
      </c>
      <c r="R73" s="9">
        <v>7</v>
      </c>
      <c r="S73" s="10" t="s">
        <v>3153</v>
      </c>
      <c r="T73" s="10" t="s">
        <v>2352</v>
      </c>
      <c r="U73" s="10" t="s">
        <v>3150</v>
      </c>
      <c r="V73" s="24">
        <v>25.21</v>
      </c>
      <c r="W73" s="24">
        <v>176.47</v>
      </c>
      <c r="X73" s="24">
        <v>756.3</v>
      </c>
      <c r="Y73" s="24">
        <v>176.47</v>
      </c>
      <c r="Z73" s="24">
        <v>176.47</v>
      </c>
      <c r="AA73" s="9" t="s">
        <v>3154</v>
      </c>
      <c r="AB73" s="9">
        <v>0</v>
      </c>
      <c r="AC73" s="9">
        <v>0</v>
      </c>
      <c r="AD73" s="8"/>
      <c r="AE73" s="8"/>
      <c r="AF73" s="8"/>
      <c r="AG73" s="8"/>
      <c r="AH73" s="9"/>
      <c r="AI73" s="8">
        <v>46216</v>
      </c>
      <c r="AJ73" s="231">
        <v>46229</v>
      </c>
    </row>
    <row r="74" spans="1:36">
      <c r="A74" s="19" t="s">
        <v>3233</v>
      </c>
      <c r="B74" s="10" t="s">
        <v>3143</v>
      </c>
      <c r="C74" s="10" t="s">
        <v>3144</v>
      </c>
      <c r="D74" s="10" t="s">
        <v>3234</v>
      </c>
      <c r="E74" s="10" t="s">
        <v>3146</v>
      </c>
      <c r="F74" s="10" t="s">
        <v>3238</v>
      </c>
      <c r="G74" s="10"/>
      <c r="H74" s="10" t="s">
        <v>664</v>
      </c>
      <c r="I74" s="10" t="s">
        <v>3239</v>
      </c>
      <c r="J74" s="10" t="s">
        <v>3155</v>
      </c>
      <c r="K74" s="10" t="s">
        <v>148</v>
      </c>
      <c r="L74" s="9" t="s">
        <v>3251</v>
      </c>
      <c r="M74" s="10" t="s">
        <v>15</v>
      </c>
      <c r="N74" s="10" t="s">
        <v>3150</v>
      </c>
      <c r="O74" s="10" t="s">
        <v>3151</v>
      </c>
      <c r="P74" s="8">
        <v>46223</v>
      </c>
      <c r="Q74" s="9" t="s">
        <v>3241</v>
      </c>
      <c r="R74" s="9">
        <v>7</v>
      </c>
      <c r="S74" s="10" t="s">
        <v>3153</v>
      </c>
      <c r="T74" s="10" t="s">
        <v>2352</v>
      </c>
      <c r="U74" s="10" t="s">
        <v>3150</v>
      </c>
      <c r="V74" s="24">
        <v>25.21</v>
      </c>
      <c r="W74" s="24">
        <v>176.47</v>
      </c>
      <c r="X74" s="24">
        <v>756.3</v>
      </c>
      <c r="Y74" s="24">
        <v>176.47</v>
      </c>
      <c r="Z74" s="24">
        <v>176.47</v>
      </c>
      <c r="AA74" s="9" t="s">
        <v>3154</v>
      </c>
      <c r="AB74" s="9">
        <v>0</v>
      </c>
      <c r="AC74" s="9">
        <v>0</v>
      </c>
      <c r="AD74" s="8"/>
      <c r="AE74" s="8"/>
      <c r="AF74" s="8"/>
      <c r="AG74" s="8"/>
      <c r="AH74" s="9"/>
      <c r="AI74" s="8">
        <v>46216</v>
      </c>
      <c r="AJ74" s="231">
        <v>46229</v>
      </c>
    </row>
    <row r="75" spans="1:36">
      <c r="A75" s="19" t="s">
        <v>3233</v>
      </c>
      <c r="B75" s="10" t="s">
        <v>3143</v>
      </c>
      <c r="C75" s="10" t="s">
        <v>3144</v>
      </c>
      <c r="D75" s="10" t="s">
        <v>3234</v>
      </c>
      <c r="E75" s="10" t="s">
        <v>3146</v>
      </c>
      <c r="F75" s="10" t="s">
        <v>3238</v>
      </c>
      <c r="G75" s="10"/>
      <c r="H75" s="10" t="s">
        <v>664</v>
      </c>
      <c r="I75" s="10" t="s">
        <v>3239</v>
      </c>
      <c r="J75" s="10" t="s">
        <v>3155</v>
      </c>
      <c r="K75" s="10" t="s">
        <v>148</v>
      </c>
      <c r="L75" s="9" t="s">
        <v>3240</v>
      </c>
      <c r="M75" s="10" t="s">
        <v>15</v>
      </c>
      <c r="N75" s="10" t="s">
        <v>3150</v>
      </c>
      <c r="O75" s="10" t="s">
        <v>3151</v>
      </c>
      <c r="P75" s="8">
        <v>46223</v>
      </c>
      <c r="Q75" s="9" t="s">
        <v>3241</v>
      </c>
      <c r="R75" s="9">
        <v>7</v>
      </c>
      <c r="S75" s="10" t="s">
        <v>3153</v>
      </c>
      <c r="T75" s="10" t="s">
        <v>2352</v>
      </c>
      <c r="U75" s="10" t="s">
        <v>3150</v>
      </c>
      <c r="V75" s="24">
        <v>25.21</v>
      </c>
      <c r="W75" s="24">
        <v>176.47</v>
      </c>
      <c r="X75" s="24">
        <v>756.3</v>
      </c>
      <c r="Y75" s="24">
        <v>176.47</v>
      </c>
      <c r="Z75" s="24">
        <v>176.47</v>
      </c>
      <c r="AA75" s="9" t="s">
        <v>3154</v>
      </c>
      <c r="AB75" s="9">
        <v>0</v>
      </c>
      <c r="AC75" s="9">
        <v>0</v>
      </c>
      <c r="AD75" s="8"/>
      <c r="AE75" s="8"/>
      <c r="AF75" s="8"/>
      <c r="AG75" s="8"/>
      <c r="AH75" s="9"/>
      <c r="AI75" s="8">
        <v>46216</v>
      </c>
      <c r="AJ75" s="231">
        <v>46229</v>
      </c>
    </row>
    <row r="76" spans="1:36">
      <c r="A76" s="19" t="s">
        <v>3233</v>
      </c>
      <c r="B76" s="10" t="s">
        <v>3143</v>
      </c>
      <c r="C76" s="10" t="s">
        <v>3144</v>
      </c>
      <c r="D76" s="10" t="s">
        <v>3234</v>
      </c>
      <c r="E76" s="10" t="s">
        <v>3146</v>
      </c>
      <c r="F76" s="10" t="s">
        <v>3238</v>
      </c>
      <c r="G76" s="10"/>
      <c r="H76" s="10" t="s">
        <v>2197</v>
      </c>
      <c r="I76" s="10" t="s">
        <v>3239</v>
      </c>
      <c r="J76" s="10" t="s">
        <v>3155</v>
      </c>
      <c r="K76" s="10" t="s">
        <v>2198</v>
      </c>
      <c r="L76" s="9" t="s">
        <v>3277</v>
      </c>
      <c r="M76" s="10" t="s">
        <v>15</v>
      </c>
      <c r="N76" s="10" t="s">
        <v>3150</v>
      </c>
      <c r="O76" s="10" t="s">
        <v>3151</v>
      </c>
      <c r="P76" s="8">
        <v>46223</v>
      </c>
      <c r="Q76" s="9" t="s">
        <v>3241</v>
      </c>
      <c r="R76" s="9">
        <v>7</v>
      </c>
      <c r="S76" s="10" t="s">
        <v>3153</v>
      </c>
      <c r="T76" s="10" t="s">
        <v>2352</v>
      </c>
      <c r="U76" s="10" t="s">
        <v>3150</v>
      </c>
      <c r="V76" s="24">
        <v>17.64</v>
      </c>
      <c r="W76" s="24">
        <v>123.48</v>
      </c>
      <c r="X76" s="24">
        <v>529.20000000000005</v>
      </c>
      <c r="Y76" s="24">
        <v>123.48</v>
      </c>
      <c r="Z76" s="24">
        <v>123.48</v>
      </c>
      <c r="AA76" s="9" t="s">
        <v>3154</v>
      </c>
      <c r="AB76" s="9">
        <v>0</v>
      </c>
      <c r="AC76" s="9">
        <v>0</v>
      </c>
      <c r="AD76" s="8"/>
      <c r="AE76" s="8"/>
      <c r="AF76" s="8"/>
      <c r="AG76" s="8"/>
      <c r="AH76" s="9"/>
      <c r="AI76" s="8">
        <v>46216</v>
      </c>
      <c r="AJ76" s="231">
        <v>46229</v>
      </c>
    </row>
    <row r="77" spans="1:36">
      <c r="A77" s="19" t="s">
        <v>3233</v>
      </c>
      <c r="B77" s="10" t="s">
        <v>3143</v>
      </c>
      <c r="C77" s="10" t="s">
        <v>3144</v>
      </c>
      <c r="D77" s="10" t="s">
        <v>3234</v>
      </c>
      <c r="E77" s="10" t="s">
        <v>3146</v>
      </c>
      <c r="F77" s="10" t="s">
        <v>3316</v>
      </c>
      <c r="G77" s="10"/>
      <c r="H77" s="10" t="s">
        <v>2224</v>
      </c>
      <c r="I77" s="10" t="s">
        <v>3316</v>
      </c>
      <c r="J77" s="10" t="s">
        <v>3167</v>
      </c>
      <c r="K77" s="10" t="s">
        <v>1941</v>
      </c>
      <c r="L77" s="9" t="s">
        <v>3319</v>
      </c>
      <c r="M77" s="10" t="s">
        <v>15</v>
      </c>
      <c r="N77" s="10" t="s">
        <v>3150</v>
      </c>
      <c r="O77" s="10" t="s">
        <v>3151</v>
      </c>
      <c r="P77" s="8">
        <v>46223</v>
      </c>
      <c r="Q77" s="9" t="s">
        <v>3169</v>
      </c>
      <c r="R77" s="9">
        <v>7</v>
      </c>
      <c r="S77" s="10" t="s">
        <v>3153</v>
      </c>
      <c r="T77" s="10" t="s">
        <v>2352</v>
      </c>
      <c r="U77" s="10" t="s">
        <v>3150</v>
      </c>
      <c r="V77" s="24">
        <v>2.72</v>
      </c>
      <c r="W77" s="24">
        <v>19.04</v>
      </c>
      <c r="X77" s="24">
        <v>81.599999999999994</v>
      </c>
      <c r="Y77" s="24">
        <v>19.04</v>
      </c>
      <c r="Z77" s="24">
        <v>19.04</v>
      </c>
      <c r="AA77" s="9" t="s">
        <v>3154</v>
      </c>
      <c r="AB77" s="9">
        <v>0</v>
      </c>
      <c r="AC77" s="9">
        <v>0</v>
      </c>
      <c r="AD77" s="8"/>
      <c r="AE77" s="8"/>
      <c r="AF77" s="8"/>
      <c r="AG77" s="8"/>
      <c r="AH77" s="9"/>
      <c r="AI77" s="8">
        <v>46216</v>
      </c>
      <c r="AJ77" s="231">
        <v>46229</v>
      </c>
    </row>
    <row r="78" spans="1:36">
      <c r="A78" s="19" t="s">
        <v>3233</v>
      </c>
      <c r="B78" s="10" t="s">
        <v>3143</v>
      </c>
      <c r="C78" s="10" t="s">
        <v>3144</v>
      </c>
      <c r="D78" s="10" t="s">
        <v>3234</v>
      </c>
      <c r="E78" s="10" t="s">
        <v>3146</v>
      </c>
      <c r="F78" s="10" t="s">
        <v>3316</v>
      </c>
      <c r="G78" s="10"/>
      <c r="H78" s="10" t="s">
        <v>2225</v>
      </c>
      <c r="I78" s="10" t="s">
        <v>3316</v>
      </c>
      <c r="J78" s="10" t="s">
        <v>3167</v>
      </c>
      <c r="K78" s="10" t="s">
        <v>1942</v>
      </c>
      <c r="L78" s="9" t="s">
        <v>3318</v>
      </c>
      <c r="M78" s="10" t="s">
        <v>15</v>
      </c>
      <c r="N78" s="10" t="s">
        <v>3150</v>
      </c>
      <c r="O78" s="10" t="s">
        <v>3151</v>
      </c>
      <c r="P78" s="8">
        <v>46223</v>
      </c>
      <c r="Q78" s="9" t="s">
        <v>3169</v>
      </c>
      <c r="R78" s="9">
        <v>7</v>
      </c>
      <c r="S78" s="10" t="s">
        <v>3153</v>
      </c>
      <c r="T78" s="10" t="s">
        <v>2352</v>
      </c>
      <c r="U78" s="10" t="s">
        <v>3150</v>
      </c>
      <c r="V78" s="24">
        <v>3.88</v>
      </c>
      <c r="W78" s="24">
        <v>27.16</v>
      </c>
      <c r="X78" s="24">
        <v>116.4</v>
      </c>
      <c r="Y78" s="24">
        <v>27.16</v>
      </c>
      <c r="Z78" s="24">
        <v>27.16</v>
      </c>
      <c r="AA78" s="9" t="s">
        <v>3154</v>
      </c>
      <c r="AB78" s="9">
        <v>0</v>
      </c>
      <c r="AC78" s="9">
        <v>0</v>
      </c>
      <c r="AD78" s="8"/>
      <c r="AE78" s="8"/>
      <c r="AF78" s="8"/>
      <c r="AG78" s="8"/>
      <c r="AH78" s="9"/>
      <c r="AI78" s="8">
        <v>46216</v>
      </c>
      <c r="AJ78" s="231">
        <v>46229</v>
      </c>
    </row>
    <row r="79" spans="1:36">
      <c r="A79" s="19" t="s">
        <v>3233</v>
      </c>
      <c r="B79" s="10" t="s">
        <v>3143</v>
      </c>
      <c r="C79" s="10" t="s">
        <v>3144</v>
      </c>
      <c r="D79" s="10" t="s">
        <v>3234</v>
      </c>
      <c r="E79" s="10" t="s">
        <v>3146</v>
      </c>
      <c r="F79" s="10" t="s">
        <v>3316</v>
      </c>
      <c r="G79" s="10"/>
      <c r="H79" s="10" t="s">
        <v>2226</v>
      </c>
      <c r="I79" s="10" t="s">
        <v>3316</v>
      </c>
      <c r="J79" s="10" t="s">
        <v>3167</v>
      </c>
      <c r="K79" s="10" t="s">
        <v>1943</v>
      </c>
      <c r="L79" s="9" t="s">
        <v>3317</v>
      </c>
      <c r="M79" s="10" t="s">
        <v>15</v>
      </c>
      <c r="N79" s="10" t="s">
        <v>3150</v>
      </c>
      <c r="O79" s="10" t="s">
        <v>3151</v>
      </c>
      <c r="P79" s="8">
        <v>46223</v>
      </c>
      <c r="Q79" s="9" t="s">
        <v>3169</v>
      </c>
      <c r="R79" s="9">
        <v>7</v>
      </c>
      <c r="S79" s="10" t="s">
        <v>3153</v>
      </c>
      <c r="T79" s="10" t="s">
        <v>2352</v>
      </c>
      <c r="U79" s="10" t="s">
        <v>3150</v>
      </c>
      <c r="V79" s="24">
        <v>4.67</v>
      </c>
      <c r="W79" s="24">
        <v>32.69</v>
      </c>
      <c r="X79" s="24">
        <v>140.1</v>
      </c>
      <c r="Y79" s="24">
        <v>32.69</v>
      </c>
      <c r="Z79" s="24">
        <v>32.69</v>
      </c>
      <c r="AA79" s="9" t="s">
        <v>3154</v>
      </c>
      <c r="AB79" s="9">
        <v>0</v>
      </c>
      <c r="AC79" s="9">
        <v>0</v>
      </c>
      <c r="AD79" s="8"/>
      <c r="AE79" s="8"/>
      <c r="AF79" s="8"/>
      <c r="AG79" s="8"/>
      <c r="AH79" s="9"/>
      <c r="AI79" s="8">
        <v>46216</v>
      </c>
      <c r="AJ79" s="231">
        <v>46229</v>
      </c>
    </row>
    <row r="80" spans="1:36">
      <c r="A80" s="19" t="s">
        <v>3233</v>
      </c>
      <c r="B80" s="10" t="s">
        <v>3143</v>
      </c>
      <c r="C80" s="10" t="s">
        <v>3144</v>
      </c>
      <c r="D80" s="10" t="s">
        <v>3234</v>
      </c>
      <c r="E80" s="10" t="s">
        <v>3146</v>
      </c>
      <c r="F80" s="10" t="s">
        <v>3278</v>
      </c>
      <c r="G80" s="10"/>
      <c r="H80" s="10" t="s">
        <v>665</v>
      </c>
      <c r="I80" s="10" t="s">
        <v>3278</v>
      </c>
      <c r="J80" s="10" t="s">
        <v>3257</v>
      </c>
      <c r="K80" s="10" t="s">
        <v>225</v>
      </c>
      <c r="L80" s="9" t="s">
        <v>3280</v>
      </c>
      <c r="M80" s="10" t="s">
        <v>15</v>
      </c>
      <c r="N80" s="10" t="s">
        <v>3150</v>
      </c>
      <c r="O80" s="10" t="s">
        <v>3151</v>
      </c>
      <c r="P80" s="8">
        <v>46223</v>
      </c>
      <c r="Q80" s="9" t="s">
        <v>3169</v>
      </c>
      <c r="R80" s="9">
        <v>7</v>
      </c>
      <c r="S80" s="10" t="s">
        <v>3153</v>
      </c>
      <c r="T80" s="10" t="s">
        <v>2352</v>
      </c>
      <c r="U80" s="10" t="s">
        <v>3150</v>
      </c>
      <c r="V80" s="24">
        <v>16.62</v>
      </c>
      <c r="W80" s="24">
        <v>116.34</v>
      </c>
      <c r="X80" s="24">
        <v>498.6</v>
      </c>
      <c r="Y80" s="24">
        <v>116.34</v>
      </c>
      <c r="Z80" s="24">
        <v>116.34</v>
      </c>
      <c r="AA80" s="9" t="s">
        <v>3154</v>
      </c>
      <c r="AB80" s="9">
        <v>0</v>
      </c>
      <c r="AC80" s="9">
        <v>0</v>
      </c>
      <c r="AD80" s="8"/>
      <c r="AE80" s="8"/>
      <c r="AF80" s="8"/>
      <c r="AG80" s="8"/>
      <c r="AH80" s="9"/>
      <c r="AI80" s="8">
        <v>46216</v>
      </c>
      <c r="AJ80" s="231">
        <v>46229</v>
      </c>
    </row>
    <row r="81" spans="1:36">
      <c r="A81" s="19" t="s">
        <v>3233</v>
      </c>
      <c r="B81" s="10" t="s">
        <v>3143</v>
      </c>
      <c r="C81" s="10" t="s">
        <v>3144</v>
      </c>
      <c r="D81" s="10" t="s">
        <v>3234</v>
      </c>
      <c r="E81" s="10" t="s">
        <v>3146</v>
      </c>
      <c r="F81" s="10" t="s">
        <v>3278</v>
      </c>
      <c r="G81" s="10"/>
      <c r="H81" s="10" t="s">
        <v>665</v>
      </c>
      <c r="I81" s="10" t="s">
        <v>3278</v>
      </c>
      <c r="J81" s="10" t="s">
        <v>3257</v>
      </c>
      <c r="K81" s="10" t="s">
        <v>225</v>
      </c>
      <c r="L81" s="9" t="s">
        <v>3281</v>
      </c>
      <c r="M81" s="10" t="s">
        <v>15</v>
      </c>
      <c r="N81" s="10" t="s">
        <v>3150</v>
      </c>
      <c r="O81" s="10" t="s">
        <v>3151</v>
      </c>
      <c r="P81" s="8">
        <v>46223</v>
      </c>
      <c r="Q81" s="9" t="s">
        <v>3169</v>
      </c>
      <c r="R81" s="9">
        <v>7</v>
      </c>
      <c r="S81" s="10" t="s">
        <v>3153</v>
      </c>
      <c r="T81" s="10" t="s">
        <v>2352</v>
      </c>
      <c r="U81" s="10" t="s">
        <v>3150</v>
      </c>
      <c r="V81" s="24">
        <v>16.62</v>
      </c>
      <c r="W81" s="24">
        <v>116.34</v>
      </c>
      <c r="X81" s="24">
        <v>498.6</v>
      </c>
      <c r="Y81" s="24">
        <v>116.34</v>
      </c>
      <c r="Z81" s="24">
        <v>116.34</v>
      </c>
      <c r="AA81" s="9" t="s">
        <v>3154</v>
      </c>
      <c r="AB81" s="9">
        <v>0</v>
      </c>
      <c r="AC81" s="9">
        <v>0</v>
      </c>
      <c r="AD81" s="8"/>
      <c r="AE81" s="8"/>
      <c r="AF81" s="8"/>
      <c r="AG81" s="8"/>
      <c r="AH81" s="9"/>
      <c r="AI81" s="8">
        <v>46216</v>
      </c>
      <c r="AJ81" s="231">
        <v>46229</v>
      </c>
    </row>
    <row r="82" spans="1:36">
      <c r="A82" s="19" t="s">
        <v>3233</v>
      </c>
      <c r="B82" s="10" t="s">
        <v>3143</v>
      </c>
      <c r="C82" s="10" t="s">
        <v>3144</v>
      </c>
      <c r="D82" s="10" t="s">
        <v>3234</v>
      </c>
      <c r="E82" s="10" t="s">
        <v>3146</v>
      </c>
      <c r="F82" s="10" t="s">
        <v>3300</v>
      </c>
      <c r="G82" s="10"/>
      <c r="H82" s="10" t="s">
        <v>2199</v>
      </c>
      <c r="I82" s="10" t="s">
        <v>3256</v>
      </c>
      <c r="J82" s="10" t="s">
        <v>3257</v>
      </c>
      <c r="K82" s="10" t="s">
        <v>226</v>
      </c>
      <c r="L82" s="9" t="s">
        <v>3302</v>
      </c>
      <c r="M82" s="10" t="s">
        <v>15</v>
      </c>
      <c r="N82" s="10" t="s">
        <v>3150</v>
      </c>
      <c r="O82" s="10" t="s">
        <v>3151</v>
      </c>
      <c r="P82" s="8">
        <v>46223</v>
      </c>
      <c r="Q82" s="9" t="s">
        <v>3241</v>
      </c>
      <c r="R82" s="9">
        <v>7</v>
      </c>
      <c r="S82" s="10" t="s">
        <v>3153</v>
      </c>
      <c r="T82" s="10" t="s">
        <v>2352</v>
      </c>
      <c r="U82" s="10" t="s">
        <v>3150</v>
      </c>
      <c r="V82" s="24">
        <v>9.33</v>
      </c>
      <c r="W82" s="24">
        <v>65.31</v>
      </c>
      <c r="X82" s="24">
        <v>279.89999999999998</v>
      </c>
      <c r="Y82" s="24">
        <v>65.31</v>
      </c>
      <c r="Z82" s="24">
        <v>65.31</v>
      </c>
      <c r="AA82" s="9" t="s">
        <v>3154</v>
      </c>
      <c r="AB82" s="9">
        <v>0</v>
      </c>
      <c r="AC82" s="9">
        <v>0</v>
      </c>
      <c r="AD82" s="8"/>
      <c r="AE82" s="8"/>
      <c r="AF82" s="8"/>
      <c r="AG82" s="8"/>
      <c r="AH82" s="9"/>
      <c r="AI82" s="8">
        <v>46216</v>
      </c>
      <c r="AJ82" s="231">
        <v>46229</v>
      </c>
    </row>
    <row r="83" spans="1:36">
      <c r="A83" s="19" t="s">
        <v>3233</v>
      </c>
      <c r="B83" s="10" t="s">
        <v>3143</v>
      </c>
      <c r="C83" s="10" t="s">
        <v>3144</v>
      </c>
      <c r="D83" s="10" t="s">
        <v>3234</v>
      </c>
      <c r="E83" s="10" t="s">
        <v>3146</v>
      </c>
      <c r="F83" s="10" t="s">
        <v>3300</v>
      </c>
      <c r="G83" s="10"/>
      <c r="H83" s="10" t="s">
        <v>2199</v>
      </c>
      <c r="I83" s="10" t="s">
        <v>3256</v>
      </c>
      <c r="J83" s="10" t="s">
        <v>3257</v>
      </c>
      <c r="K83" s="10" t="s">
        <v>226</v>
      </c>
      <c r="L83" s="9" t="s">
        <v>3303</v>
      </c>
      <c r="M83" s="10" t="s">
        <v>15</v>
      </c>
      <c r="N83" s="10" t="s">
        <v>3150</v>
      </c>
      <c r="O83" s="10" t="s">
        <v>3151</v>
      </c>
      <c r="P83" s="8">
        <v>46223</v>
      </c>
      <c r="Q83" s="9" t="s">
        <v>3241</v>
      </c>
      <c r="R83" s="9">
        <v>7</v>
      </c>
      <c r="S83" s="10" t="s">
        <v>3153</v>
      </c>
      <c r="T83" s="10" t="s">
        <v>2352</v>
      </c>
      <c r="U83" s="10" t="s">
        <v>3150</v>
      </c>
      <c r="V83" s="24">
        <v>9.33</v>
      </c>
      <c r="W83" s="24">
        <v>65.31</v>
      </c>
      <c r="X83" s="24">
        <v>279.89999999999998</v>
      </c>
      <c r="Y83" s="24">
        <v>65.31</v>
      </c>
      <c r="Z83" s="24">
        <v>65.31</v>
      </c>
      <c r="AA83" s="9" t="s">
        <v>3154</v>
      </c>
      <c r="AB83" s="9">
        <v>0</v>
      </c>
      <c r="AC83" s="9">
        <v>0</v>
      </c>
      <c r="AD83" s="8"/>
      <c r="AE83" s="8"/>
      <c r="AF83" s="8"/>
      <c r="AG83" s="8"/>
      <c r="AH83" s="9"/>
      <c r="AI83" s="8">
        <v>46216</v>
      </c>
      <c r="AJ83" s="231">
        <v>46229</v>
      </c>
    </row>
    <row r="84" spans="1:36">
      <c r="A84" s="19" t="s">
        <v>3233</v>
      </c>
      <c r="B84" s="10" t="s">
        <v>3143</v>
      </c>
      <c r="C84" s="10" t="s">
        <v>3144</v>
      </c>
      <c r="D84" s="10" t="s">
        <v>3234</v>
      </c>
      <c r="E84" s="10" t="s">
        <v>3146</v>
      </c>
      <c r="F84" s="10" t="s">
        <v>3300</v>
      </c>
      <c r="G84" s="10"/>
      <c r="H84" s="10" t="s">
        <v>2199</v>
      </c>
      <c r="I84" s="10" t="s">
        <v>3256</v>
      </c>
      <c r="J84" s="10" t="s">
        <v>3257</v>
      </c>
      <c r="K84" s="10" t="s">
        <v>226</v>
      </c>
      <c r="L84" s="9" t="s">
        <v>3306</v>
      </c>
      <c r="M84" s="10" t="s">
        <v>15</v>
      </c>
      <c r="N84" s="10" t="s">
        <v>3150</v>
      </c>
      <c r="O84" s="10" t="s">
        <v>3151</v>
      </c>
      <c r="P84" s="8">
        <v>46223</v>
      </c>
      <c r="Q84" s="9" t="s">
        <v>3241</v>
      </c>
      <c r="R84" s="9">
        <v>7</v>
      </c>
      <c r="S84" s="10" t="s">
        <v>3153</v>
      </c>
      <c r="T84" s="10" t="s">
        <v>2352</v>
      </c>
      <c r="U84" s="10" t="s">
        <v>3150</v>
      </c>
      <c r="V84" s="24">
        <v>9.33</v>
      </c>
      <c r="W84" s="24">
        <v>65.31</v>
      </c>
      <c r="X84" s="24">
        <v>279.89999999999998</v>
      </c>
      <c r="Y84" s="24">
        <v>65.31</v>
      </c>
      <c r="Z84" s="24">
        <v>65.31</v>
      </c>
      <c r="AA84" s="9" t="s">
        <v>3154</v>
      </c>
      <c r="AB84" s="9">
        <v>0</v>
      </c>
      <c r="AC84" s="9">
        <v>0</v>
      </c>
      <c r="AD84" s="8"/>
      <c r="AE84" s="8"/>
      <c r="AF84" s="8"/>
      <c r="AG84" s="8"/>
      <c r="AH84" s="9"/>
      <c r="AI84" s="8">
        <v>46216</v>
      </c>
      <c r="AJ84" s="231">
        <v>46229</v>
      </c>
    </row>
    <row r="85" spans="1:36">
      <c r="A85" s="19" t="s">
        <v>3233</v>
      </c>
      <c r="B85" s="10" t="s">
        <v>3143</v>
      </c>
      <c r="C85" s="10" t="s">
        <v>3144</v>
      </c>
      <c r="D85" s="10" t="s">
        <v>3234</v>
      </c>
      <c r="E85" s="10" t="s">
        <v>3146</v>
      </c>
      <c r="F85" s="10" t="s">
        <v>3300</v>
      </c>
      <c r="G85" s="10"/>
      <c r="H85" s="10" t="s">
        <v>2199</v>
      </c>
      <c r="I85" s="10" t="s">
        <v>3256</v>
      </c>
      <c r="J85" s="10" t="s">
        <v>3257</v>
      </c>
      <c r="K85" s="10" t="s">
        <v>226</v>
      </c>
      <c r="L85" s="9" t="s">
        <v>3305</v>
      </c>
      <c r="M85" s="10" t="s">
        <v>15</v>
      </c>
      <c r="N85" s="10" t="s">
        <v>3150</v>
      </c>
      <c r="O85" s="10" t="s">
        <v>3151</v>
      </c>
      <c r="P85" s="8">
        <v>46223</v>
      </c>
      <c r="Q85" s="9" t="s">
        <v>3241</v>
      </c>
      <c r="R85" s="9">
        <v>7</v>
      </c>
      <c r="S85" s="10" t="s">
        <v>3153</v>
      </c>
      <c r="T85" s="10" t="s">
        <v>2352</v>
      </c>
      <c r="U85" s="10" t="s">
        <v>3150</v>
      </c>
      <c r="V85" s="24">
        <v>9.33</v>
      </c>
      <c r="W85" s="24">
        <v>65.31</v>
      </c>
      <c r="X85" s="24">
        <v>279.89999999999998</v>
      </c>
      <c r="Y85" s="24">
        <v>65.31</v>
      </c>
      <c r="Z85" s="24">
        <v>65.31</v>
      </c>
      <c r="AA85" s="9" t="s">
        <v>3154</v>
      </c>
      <c r="AB85" s="9">
        <v>0</v>
      </c>
      <c r="AC85" s="9">
        <v>0</v>
      </c>
      <c r="AD85" s="8"/>
      <c r="AE85" s="8"/>
      <c r="AF85" s="8"/>
      <c r="AG85" s="8"/>
      <c r="AH85" s="9"/>
      <c r="AI85" s="8">
        <v>46216</v>
      </c>
      <c r="AJ85" s="231">
        <v>46229</v>
      </c>
    </row>
    <row r="86" spans="1:36">
      <c r="A86" s="19" t="s">
        <v>3233</v>
      </c>
      <c r="B86" s="10" t="s">
        <v>3143</v>
      </c>
      <c r="C86" s="10" t="s">
        <v>3144</v>
      </c>
      <c r="D86" s="10" t="s">
        <v>3234</v>
      </c>
      <c r="E86" s="10" t="s">
        <v>3146</v>
      </c>
      <c r="F86" s="10" t="s">
        <v>3300</v>
      </c>
      <c r="G86" s="10"/>
      <c r="H86" s="10" t="s">
        <v>2199</v>
      </c>
      <c r="I86" s="10" t="s">
        <v>3256</v>
      </c>
      <c r="J86" s="10" t="s">
        <v>3257</v>
      </c>
      <c r="K86" s="10" t="s">
        <v>226</v>
      </c>
      <c r="L86" s="9" t="s">
        <v>3304</v>
      </c>
      <c r="M86" s="10" t="s">
        <v>15</v>
      </c>
      <c r="N86" s="10" t="s">
        <v>3150</v>
      </c>
      <c r="O86" s="10" t="s">
        <v>3151</v>
      </c>
      <c r="P86" s="8">
        <v>46223</v>
      </c>
      <c r="Q86" s="9" t="s">
        <v>3241</v>
      </c>
      <c r="R86" s="9">
        <v>7</v>
      </c>
      <c r="S86" s="10" t="s">
        <v>3153</v>
      </c>
      <c r="T86" s="10" t="s">
        <v>2352</v>
      </c>
      <c r="U86" s="10" t="s">
        <v>3150</v>
      </c>
      <c r="V86" s="24">
        <v>9.33</v>
      </c>
      <c r="W86" s="24">
        <v>65.31</v>
      </c>
      <c r="X86" s="24">
        <v>279.89999999999998</v>
      </c>
      <c r="Y86" s="24">
        <v>65.31</v>
      </c>
      <c r="Z86" s="24">
        <v>65.31</v>
      </c>
      <c r="AA86" s="9" t="s">
        <v>3154</v>
      </c>
      <c r="AB86" s="9">
        <v>0</v>
      </c>
      <c r="AC86" s="9">
        <v>0</v>
      </c>
      <c r="AD86" s="8"/>
      <c r="AE86" s="8"/>
      <c r="AF86" s="8"/>
      <c r="AG86" s="8"/>
      <c r="AH86" s="9"/>
      <c r="AI86" s="8">
        <v>46216</v>
      </c>
      <c r="AJ86" s="231">
        <v>46229</v>
      </c>
    </row>
    <row r="87" spans="1:36">
      <c r="A87" s="19" t="s">
        <v>3233</v>
      </c>
      <c r="B87" s="10" t="s">
        <v>3143</v>
      </c>
      <c r="C87" s="10" t="s">
        <v>3144</v>
      </c>
      <c r="D87" s="10" t="s">
        <v>3234</v>
      </c>
      <c r="E87" s="10" t="s">
        <v>3146</v>
      </c>
      <c r="F87" s="10" t="s">
        <v>3300</v>
      </c>
      <c r="G87" s="10"/>
      <c r="H87" s="10" t="s">
        <v>2199</v>
      </c>
      <c r="I87" s="10" t="s">
        <v>3256</v>
      </c>
      <c r="J87" s="10" t="s">
        <v>3257</v>
      </c>
      <c r="K87" s="10" t="s">
        <v>226</v>
      </c>
      <c r="L87" s="9" t="s">
        <v>3301</v>
      </c>
      <c r="M87" s="10" t="s">
        <v>15</v>
      </c>
      <c r="N87" s="10" t="s">
        <v>3150</v>
      </c>
      <c r="O87" s="10" t="s">
        <v>3151</v>
      </c>
      <c r="P87" s="8">
        <v>46223</v>
      </c>
      <c r="Q87" s="9" t="s">
        <v>3241</v>
      </c>
      <c r="R87" s="9">
        <v>7</v>
      </c>
      <c r="S87" s="10" t="s">
        <v>3153</v>
      </c>
      <c r="T87" s="10" t="s">
        <v>2352</v>
      </c>
      <c r="U87" s="10" t="s">
        <v>3150</v>
      </c>
      <c r="V87" s="24">
        <v>9.33</v>
      </c>
      <c r="W87" s="24">
        <v>65.31</v>
      </c>
      <c r="X87" s="24">
        <v>279.89999999999998</v>
      </c>
      <c r="Y87" s="24">
        <v>65.31</v>
      </c>
      <c r="Z87" s="24">
        <v>65.31</v>
      </c>
      <c r="AA87" s="9" t="s">
        <v>3154</v>
      </c>
      <c r="AB87" s="9">
        <v>0</v>
      </c>
      <c r="AC87" s="9">
        <v>0</v>
      </c>
      <c r="AD87" s="8"/>
      <c r="AE87" s="8"/>
      <c r="AF87" s="8"/>
      <c r="AG87" s="8"/>
      <c r="AH87" s="9"/>
      <c r="AI87" s="8">
        <v>46216</v>
      </c>
      <c r="AJ87" s="231">
        <v>46229</v>
      </c>
    </row>
    <row r="88" spans="1:36">
      <c r="A88" s="19" t="s">
        <v>3233</v>
      </c>
      <c r="B88" s="10" t="s">
        <v>3143</v>
      </c>
      <c r="C88" s="10" t="s">
        <v>3144</v>
      </c>
      <c r="D88" s="10" t="s">
        <v>3234</v>
      </c>
      <c r="E88" s="10" t="s">
        <v>3146</v>
      </c>
      <c r="F88" s="10" t="s">
        <v>3284</v>
      </c>
      <c r="G88" s="10"/>
      <c r="H88" s="10" t="s">
        <v>673</v>
      </c>
      <c r="I88" s="10" t="s">
        <v>3256</v>
      </c>
      <c r="J88" s="10" t="s">
        <v>3257</v>
      </c>
      <c r="K88" s="10" t="s">
        <v>144</v>
      </c>
      <c r="L88" s="9" t="s">
        <v>3287</v>
      </c>
      <c r="M88" s="10" t="s">
        <v>15</v>
      </c>
      <c r="N88" s="10" t="s">
        <v>3150</v>
      </c>
      <c r="O88" s="10" t="s">
        <v>3151</v>
      </c>
      <c r="P88" s="8">
        <v>46223</v>
      </c>
      <c r="Q88" s="9" t="s">
        <v>3286</v>
      </c>
      <c r="R88" s="9">
        <v>7</v>
      </c>
      <c r="S88" s="10" t="s">
        <v>3153</v>
      </c>
      <c r="T88" s="10" t="s">
        <v>2352</v>
      </c>
      <c r="U88" s="10" t="s">
        <v>3150</v>
      </c>
      <c r="V88" s="24">
        <v>9.33</v>
      </c>
      <c r="W88" s="24">
        <v>65.31</v>
      </c>
      <c r="X88" s="24">
        <v>279.89999999999998</v>
      </c>
      <c r="Y88" s="24">
        <v>65.31</v>
      </c>
      <c r="Z88" s="24">
        <v>65.31</v>
      </c>
      <c r="AA88" s="9" t="s">
        <v>3154</v>
      </c>
      <c r="AB88" s="9">
        <v>0</v>
      </c>
      <c r="AC88" s="9">
        <v>0</v>
      </c>
      <c r="AD88" s="8"/>
      <c r="AE88" s="8"/>
      <c r="AF88" s="8"/>
      <c r="AG88" s="8"/>
      <c r="AH88" s="9"/>
      <c r="AI88" s="8">
        <v>46216</v>
      </c>
      <c r="AJ88" s="231">
        <v>46229</v>
      </c>
    </row>
    <row r="89" spans="1:36">
      <c r="A89" s="19" t="s">
        <v>3233</v>
      </c>
      <c r="B89" s="10" t="s">
        <v>3143</v>
      </c>
      <c r="C89" s="10" t="s">
        <v>3144</v>
      </c>
      <c r="D89" s="10" t="s">
        <v>3234</v>
      </c>
      <c r="E89" s="10" t="s">
        <v>3146</v>
      </c>
      <c r="F89" s="10" t="s">
        <v>3284</v>
      </c>
      <c r="G89" s="10"/>
      <c r="H89" s="10" t="s">
        <v>673</v>
      </c>
      <c r="I89" s="10" t="s">
        <v>3256</v>
      </c>
      <c r="J89" s="10" t="s">
        <v>3257</v>
      </c>
      <c r="K89" s="10" t="s">
        <v>144</v>
      </c>
      <c r="L89" s="9" t="s">
        <v>3295</v>
      </c>
      <c r="M89" s="10" t="s">
        <v>15</v>
      </c>
      <c r="N89" s="10" t="s">
        <v>3150</v>
      </c>
      <c r="O89" s="10" t="s">
        <v>3151</v>
      </c>
      <c r="P89" s="8">
        <v>46223</v>
      </c>
      <c r="Q89" s="9" t="s">
        <v>3286</v>
      </c>
      <c r="R89" s="9">
        <v>7</v>
      </c>
      <c r="S89" s="10" t="s">
        <v>3153</v>
      </c>
      <c r="T89" s="10" t="s">
        <v>2352</v>
      </c>
      <c r="U89" s="10" t="s">
        <v>3150</v>
      </c>
      <c r="V89" s="24">
        <v>9.33</v>
      </c>
      <c r="W89" s="24">
        <v>65.31</v>
      </c>
      <c r="X89" s="24">
        <v>279.89999999999998</v>
      </c>
      <c r="Y89" s="24">
        <v>65.31</v>
      </c>
      <c r="Z89" s="24">
        <v>65.31</v>
      </c>
      <c r="AA89" s="9" t="s">
        <v>3154</v>
      </c>
      <c r="AB89" s="9">
        <v>0</v>
      </c>
      <c r="AC89" s="9">
        <v>0</v>
      </c>
      <c r="AD89" s="8"/>
      <c r="AE89" s="8"/>
      <c r="AF89" s="8"/>
      <c r="AG89" s="8"/>
      <c r="AH89" s="9"/>
      <c r="AI89" s="8">
        <v>46216</v>
      </c>
      <c r="AJ89" s="231">
        <v>46229</v>
      </c>
    </row>
    <row r="90" spans="1:36">
      <c r="A90" s="19" t="s">
        <v>3233</v>
      </c>
      <c r="B90" s="10" t="s">
        <v>3143</v>
      </c>
      <c r="C90" s="10" t="s">
        <v>3144</v>
      </c>
      <c r="D90" s="10" t="s">
        <v>3234</v>
      </c>
      <c r="E90" s="10" t="s">
        <v>3146</v>
      </c>
      <c r="F90" s="10" t="s">
        <v>3284</v>
      </c>
      <c r="G90" s="10"/>
      <c r="H90" s="10" t="s">
        <v>673</v>
      </c>
      <c r="I90" s="10" t="s">
        <v>3256</v>
      </c>
      <c r="J90" s="10" t="s">
        <v>3257</v>
      </c>
      <c r="K90" s="10" t="s">
        <v>144</v>
      </c>
      <c r="L90" s="9" t="s">
        <v>3296</v>
      </c>
      <c r="M90" s="10" t="s">
        <v>15</v>
      </c>
      <c r="N90" s="10" t="s">
        <v>3150</v>
      </c>
      <c r="O90" s="10" t="s">
        <v>3151</v>
      </c>
      <c r="P90" s="8">
        <v>46223</v>
      </c>
      <c r="Q90" s="9" t="s">
        <v>3286</v>
      </c>
      <c r="R90" s="9">
        <v>7</v>
      </c>
      <c r="S90" s="10" t="s">
        <v>3153</v>
      </c>
      <c r="T90" s="10" t="s">
        <v>2352</v>
      </c>
      <c r="U90" s="10" t="s">
        <v>3150</v>
      </c>
      <c r="V90" s="24">
        <v>9.33</v>
      </c>
      <c r="W90" s="24">
        <v>65.31</v>
      </c>
      <c r="X90" s="24">
        <v>279.89999999999998</v>
      </c>
      <c r="Y90" s="24">
        <v>65.31</v>
      </c>
      <c r="Z90" s="24">
        <v>65.31</v>
      </c>
      <c r="AA90" s="9" t="s">
        <v>3154</v>
      </c>
      <c r="AB90" s="9">
        <v>0</v>
      </c>
      <c r="AC90" s="9">
        <v>0</v>
      </c>
      <c r="AD90" s="8"/>
      <c r="AE90" s="8"/>
      <c r="AF90" s="8"/>
      <c r="AG90" s="8"/>
      <c r="AH90" s="9"/>
      <c r="AI90" s="8">
        <v>46216</v>
      </c>
      <c r="AJ90" s="231">
        <v>46229</v>
      </c>
    </row>
    <row r="91" spans="1:36">
      <c r="A91" s="19" t="s">
        <v>3233</v>
      </c>
      <c r="B91" s="10" t="s">
        <v>3143</v>
      </c>
      <c r="C91" s="10" t="s">
        <v>3144</v>
      </c>
      <c r="D91" s="10" t="s">
        <v>3234</v>
      </c>
      <c r="E91" s="10" t="s">
        <v>3146</v>
      </c>
      <c r="F91" s="10" t="s">
        <v>3284</v>
      </c>
      <c r="G91" s="10"/>
      <c r="H91" s="10" t="s">
        <v>673</v>
      </c>
      <c r="I91" s="10" t="s">
        <v>3256</v>
      </c>
      <c r="J91" s="10" t="s">
        <v>3257</v>
      </c>
      <c r="K91" s="10" t="s">
        <v>144</v>
      </c>
      <c r="L91" s="9" t="s">
        <v>3298</v>
      </c>
      <c r="M91" s="10" t="s">
        <v>15</v>
      </c>
      <c r="N91" s="10" t="s">
        <v>3150</v>
      </c>
      <c r="O91" s="10" t="s">
        <v>3151</v>
      </c>
      <c r="P91" s="8">
        <v>46223</v>
      </c>
      <c r="Q91" s="9" t="s">
        <v>3286</v>
      </c>
      <c r="R91" s="9">
        <v>7</v>
      </c>
      <c r="S91" s="10" t="s">
        <v>3153</v>
      </c>
      <c r="T91" s="10" t="s">
        <v>2352</v>
      </c>
      <c r="U91" s="10" t="s">
        <v>3150</v>
      </c>
      <c r="V91" s="24">
        <v>9.33</v>
      </c>
      <c r="W91" s="24">
        <v>65.31</v>
      </c>
      <c r="X91" s="24">
        <v>279.89999999999998</v>
      </c>
      <c r="Y91" s="24">
        <v>65.31</v>
      </c>
      <c r="Z91" s="24">
        <v>65.31</v>
      </c>
      <c r="AA91" s="9" t="s">
        <v>3154</v>
      </c>
      <c r="AB91" s="9">
        <v>0</v>
      </c>
      <c r="AC91" s="9">
        <v>0</v>
      </c>
      <c r="AD91" s="8"/>
      <c r="AE91" s="8"/>
      <c r="AF91" s="8"/>
      <c r="AG91" s="8"/>
      <c r="AH91" s="9"/>
      <c r="AI91" s="8">
        <v>46216</v>
      </c>
      <c r="AJ91" s="231">
        <v>46229</v>
      </c>
    </row>
    <row r="92" spans="1:36">
      <c r="A92" s="19" t="s">
        <v>3233</v>
      </c>
      <c r="B92" s="10" t="s">
        <v>3143</v>
      </c>
      <c r="C92" s="10" t="s">
        <v>3144</v>
      </c>
      <c r="D92" s="10" t="s">
        <v>3234</v>
      </c>
      <c r="E92" s="10" t="s">
        <v>3146</v>
      </c>
      <c r="F92" s="10" t="s">
        <v>3284</v>
      </c>
      <c r="G92" s="10"/>
      <c r="H92" s="10" t="s">
        <v>673</v>
      </c>
      <c r="I92" s="10" t="s">
        <v>3256</v>
      </c>
      <c r="J92" s="10" t="s">
        <v>3257</v>
      </c>
      <c r="K92" s="10" t="s">
        <v>144</v>
      </c>
      <c r="L92" s="9" t="s">
        <v>3291</v>
      </c>
      <c r="M92" s="10" t="s">
        <v>15</v>
      </c>
      <c r="N92" s="10" t="s">
        <v>3150</v>
      </c>
      <c r="O92" s="10" t="s">
        <v>3151</v>
      </c>
      <c r="P92" s="8">
        <v>46223</v>
      </c>
      <c r="Q92" s="9" t="s">
        <v>3286</v>
      </c>
      <c r="R92" s="9">
        <v>7</v>
      </c>
      <c r="S92" s="10" t="s">
        <v>3153</v>
      </c>
      <c r="T92" s="10" t="s">
        <v>2352</v>
      </c>
      <c r="U92" s="10" t="s">
        <v>3150</v>
      </c>
      <c r="V92" s="24">
        <v>9.33</v>
      </c>
      <c r="W92" s="24">
        <v>65.31</v>
      </c>
      <c r="X92" s="24">
        <v>279.89999999999998</v>
      </c>
      <c r="Y92" s="24">
        <v>65.31</v>
      </c>
      <c r="Z92" s="24">
        <v>65.31</v>
      </c>
      <c r="AA92" s="9" t="s">
        <v>3154</v>
      </c>
      <c r="AB92" s="9">
        <v>0</v>
      </c>
      <c r="AC92" s="9">
        <v>0</v>
      </c>
      <c r="AD92" s="8"/>
      <c r="AE92" s="8"/>
      <c r="AF92" s="8"/>
      <c r="AG92" s="8"/>
      <c r="AH92" s="9"/>
      <c r="AI92" s="8">
        <v>46216</v>
      </c>
      <c r="AJ92" s="231">
        <v>46229</v>
      </c>
    </row>
    <row r="93" spans="1:36">
      <c r="A93" s="19" t="s">
        <v>3233</v>
      </c>
      <c r="B93" s="10" t="s">
        <v>3143</v>
      </c>
      <c r="C93" s="10" t="s">
        <v>3144</v>
      </c>
      <c r="D93" s="10" t="s">
        <v>3234</v>
      </c>
      <c r="E93" s="10" t="s">
        <v>3146</v>
      </c>
      <c r="F93" s="10" t="s">
        <v>3284</v>
      </c>
      <c r="G93" s="10"/>
      <c r="H93" s="10" t="s">
        <v>673</v>
      </c>
      <c r="I93" s="10" t="s">
        <v>3256</v>
      </c>
      <c r="J93" s="10" t="s">
        <v>3257</v>
      </c>
      <c r="K93" s="10" t="s">
        <v>144</v>
      </c>
      <c r="L93" s="9" t="s">
        <v>3297</v>
      </c>
      <c r="M93" s="10" t="s">
        <v>15</v>
      </c>
      <c r="N93" s="10" t="s">
        <v>3150</v>
      </c>
      <c r="O93" s="10" t="s">
        <v>3151</v>
      </c>
      <c r="P93" s="8">
        <v>46223</v>
      </c>
      <c r="Q93" s="9" t="s">
        <v>3286</v>
      </c>
      <c r="R93" s="9">
        <v>7</v>
      </c>
      <c r="S93" s="10" t="s">
        <v>3153</v>
      </c>
      <c r="T93" s="10" t="s">
        <v>2352</v>
      </c>
      <c r="U93" s="10" t="s">
        <v>3150</v>
      </c>
      <c r="V93" s="24">
        <v>9.33</v>
      </c>
      <c r="W93" s="24">
        <v>65.31</v>
      </c>
      <c r="X93" s="24">
        <v>279.89999999999998</v>
      </c>
      <c r="Y93" s="24">
        <v>65.31</v>
      </c>
      <c r="Z93" s="24">
        <v>65.31</v>
      </c>
      <c r="AA93" s="9" t="s">
        <v>3154</v>
      </c>
      <c r="AB93" s="9">
        <v>0</v>
      </c>
      <c r="AC93" s="9">
        <v>0</v>
      </c>
      <c r="AD93" s="8"/>
      <c r="AE93" s="8"/>
      <c r="AF93" s="8"/>
      <c r="AG93" s="8"/>
      <c r="AH93" s="9"/>
      <c r="AI93" s="8">
        <v>46216</v>
      </c>
      <c r="AJ93" s="231">
        <v>46229</v>
      </c>
    </row>
    <row r="94" spans="1:36">
      <c r="A94" s="19" t="s">
        <v>3233</v>
      </c>
      <c r="B94" s="10" t="s">
        <v>3143</v>
      </c>
      <c r="C94" s="10" t="s">
        <v>3144</v>
      </c>
      <c r="D94" s="10" t="s">
        <v>3234</v>
      </c>
      <c r="E94" s="10" t="s">
        <v>3146</v>
      </c>
      <c r="F94" s="10" t="s">
        <v>3284</v>
      </c>
      <c r="G94" s="10"/>
      <c r="H94" s="10" t="s">
        <v>673</v>
      </c>
      <c r="I94" s="10" t="s">
        <v>3256</v>
      </c>
      <c r="J94" s="10" t="s">
        <v>3257</v>
      </c>
      <c r="K94" s="10" t="s">
        <v>144</v>
      </c>
      <c r="L94" s="9" t="s">
        <v>3292</v>
      </c>
      <c r="M94" s="10" t="s">
        <v>15</v>
      </c>
      <c r="N94" s="10" t="s">
        <v>3150</v>
      </c>
      <c r="O94" s="10" t="s">
        <v>3151</v>
      </c>
      <c r="P94" s="8">
        <v>46223</v>
      </c>
      <c r="Q94" s="9" t="s">
        <v>3286</v>
      </c>
      <c r="R94" s="9">
        <v>7</v>
      </c>
      <c r="S94" s="10" t="s">
        <v>3153</v>
      </c>
      <c r="T94" s="10" t="s">
        <v>2352</v>
      </c>
      <c r="U94" s="10" t="s">
        <v>3150</v>
      </c>
      <c r="V94" s="24">
        <v>9.33</v>
      </c>
      <c r="W94" s="24">
        <v>65.31</v>
      </c>
      <c r="X94" s="24">
        <v>279.89999999999998</v>
      </c>
      <c r="Y94" s="24">
        <v>65.31</v>
      </c>
      <c r="Z94" s="24">
        <v>65.31</v>
      </c>
      <c r="AA94" s="9" t="s">
        <v>3154</v>
      </c>
      <c r="AB94" s="9">
        <v>0</v>
      </c>
      <c r="AC94" s="9">
        <v>0</v>
      </c>
      <c r="AD94" s="8"/>
      <c r="AE94" s="8"/>
      <c r="AF94" s="8"/>
      <c r="AG94" s="8"/>
      <c r="AH94" s="9"/>
      <c r="AI94" s="8">
        <v>46216</v>
      </c>
      <c r="AJ94" s="231">
        <v>46229</v>
      </c>
    </row>
    <row r="95" spans="1:36">
      <c r="A95" s="19" t="s">
        <v>3233</v>
      </c>
      <c r="B95" s="10" t="s">
        <v>3143</v>
      </c>
      <c r="C95" s="10" t="s">
        <v>3144</v>
      </c>
      <c r="D95" s="10" t="s">
        <v>3234</v>
      </c>
      <c r="E95" s="10" t="s">
        <v>3146</v>
      </c>
      <c r="F95" s="10" t="s">
        <v>3284</v>
      </c>
      <c r="G95" s="10"/>
      <c r="H95" s="10" t="s">
        <v>673</v>
      </c>
      <c r="I95" s="10" t="s">
        <v>3256</v>
      </c>
      <c r="J95" s="10" t="s">
        <v>3257</v>
      </c>
      <c r="K95" s="10" t="s">
        <v>144</v>
      </c>
      <c r="L95" s="9" t="s">
        <v>3294</v>
      </c>
      <c r="M95" s="10" t="s">
        <v>15</v>
      </c>
      <c r="N95" s="10" t="s">
        <v>3150</v>
      </c>
      <c r="O95" s="10" t="s">
        <v>3151</v>
      </c>
      <c r="P95" s="8">
        <v>46223</v>
      </c>
      <c r="Q95" s="9" t="s">
        <v>3286</v>
      </c>
      <c r="R95" s="9">
        <v>7</v>
      </c>
      <c r="S95" s="10" t="s">
        <v>3153</v>
      </c>
      <c r="T95" s="10" t="s">
        <v>2352</v>
      </c>
      <c r="U95" s="10" t="s">
        <v>3150</v>
      </c>
      <c r="V95" s="24">
        <v>9.33</v>
      </c>
      <c r="W95" s="24">
        <v>65.31</v>
      </c>
      <c r="X95" s="24">
        <v>279.89999999999998</v>
      </c>
      <c r="Y95" s="24">
        <v>65.31</v>
      </c>
      <c r="Z95" s="24">
        <v>65.31</v>
      </c>
      <c r="AA95" s="9" t="s">
        <v>3154</v>
      </c>
      <c r="AB95" s="9">
        <v>0</v>
      </c>
      <c r="AC95" s="9">
        <v>0</v>
      </c>
      <c r="AD95" s="8"/>
      <c r="AE95" s="8"/>
      <c r="AF95" s="8"/>
      <c r="AG95" s="8"/>
      <c r="AH95" s="9"/>
      <c r="AI95" s="8">
        <v>46216</v>
      </c>
      <c r="AJ95" s="231">
        <v>46229</v>
      </c>
    </row>
    <row r="96" spans="1:36">
      <c r="A96" s="19" t="s">
        <v>3233</v>
      </c>
      <c r="B96" s="10" t="s">
        <v>3143</v>
      </c>
      <c r="C96" s="10" t="s">
        <v>3144</v>
      </c>
      <c r="D96" s="10" t="s">
        <v>3234</v>
      </c>
      <c r="E96" s="10" t="s">
        <v>3146</v>
      </c>
      <c r="F96" s="10" t="s">
        <v>3284</v>
      </c>
      <c r="G96" s="10"/>
      <c r="H96" s="10" t="s">
        <v>673</v>
      </c>
      <c r="I96" s="10" t="s">
        <v>3256</v>
      </c>
      <c r="J96" s="10" t="s">
        <v>3257</v>
      </c>
      <c r="K96" s="10" t="s">
        <v>144</v>
      </c>
      <c r="L96" s="9" t="s">
        <v>3290</v>
      </c>
      <c r="M96" s="10" t="s">
        <v>15</v>
      </c>
      <c r="N96" s="10" t="s">
        <v>3150</v>
      </c>
      <c r="O96" s="10" t="s">
        <v>3151</v>
      </c>
      <c r="P96" s="8">
        <v>46223</v>
      </c>
      <c r="Q96" s="9" t="s">
        <v>3286</v>
      </c>
      <c r="R96" s="9">
        <v>7</v>
      </c>
      <c r="S96" s="10" t="s">
        <v>3153</v>
      </c>
      <c r="T96" s="10" t="s">
        <v>2352</v>
      </c>
      <c r="U96" s="10" t="s">
        <v>3150</v>
      </c>
      <c r="V96" s="24">
        <v>9.33</v>
      </c>
      <c r="W96" s="24">
        <v>65.31</v>
      </c>
      <c r="X96" s="24">
        <v>279.89999999999998</v>
      </c>
      <c r="Y96" s="24">
        <v>65.31</v>
      </c>
      <c r="Z96" s="24">
        <v>65.31</v>
      </c>
      <c r="AA96" s="9" t="s">
        <v>3154</v>
      </c>
      <c r="AB96" s="9">
        <v>0</v>
      </c>
      <c r="AC96" s="9">
        <v>0</v>
      </c>
      <c r="AD96" s="8"/>
      <c r="AE96" s="8"/>
      <c r="AF96" s="8"/>
      <c r="AG96" s="8"/>
      <c r="AH96" s="9"/>
      <c r="AI96" s="8">
        <v>46216</v>
      </c>
      <c r="AJ96" s="231">
        <v>46229</v>
      </c>
    </row>
    <row r="97" spans="1:36">
      <c r="A97" s="19" t="s">
        <v>3233</v>
      </c>
      <c r="B97" s="10" t="s">
        <v>3143</v>
      </c>
      <c r="C97" s="10" t="s">
        <v>3144</v>
      </c>
      <c r="D97" s="10" t="s">
        <v>3234</v>
      </c>
      <c r="E97" s="10" t="s">
        <v>3146</v>
      </c>
      <c r="F97" s="10" t="s">
        <v>3284</v>
      </c>
      <c r="G97" s="10"/>
      <c r="H97" s="10" t="s">
        <v>673</v>
      </c>
      <c r="I97" s="10" t="s">
        <v>3256</v>
      </c>
      <c r="J97" s="10" t="s">
        <v>3257</v>
      </c>
      <c r="K97" s="10" t="s">
        <v>144</v>
      </c>
      <c r="L97" s="9" t="s">
        <v>3299</v>
      </c>
      <c r="M97" s="10" t="s">
        <v>15</v>
      </c>
      <c r="N97" s="10" t="s">
        <v>3150</v>
      </c>
      <c r="O97" s="10" t="s">
        <v>3151</v>
      </c>
      <c r="P97" s="8">
        <v>46223</v>
      </c>
      <c r="Q97" s="9" t="s">
        <v>3286</v>
      </c>
      <c r="R97" s="9">
        <v>7</v>
      </c>
      <c r="S97" s="10" t="s">
        <v>3153</v>
      </c>
      <c r="T97" s="10" t="s">
        <v>2352</v>
      </c>
      <c r="U97" s="10" t="s">
        <v>3150</v>
      </c>
      <c r="V97" s="24">
        <v>9.33</v>
      </c>
      <c r="W97" s="24">
        <v>65.31</v>
      </c>
      <c r="X97" s="24">
        <v>279.89999999999998</v>
      </c>
      <c r="Y97" s="24">
        <v>65.31</v>
      </c>
      <c r="Z97" s="24">
        <v>65.31</v>
      </c>
      <c r="AA97" s="9" t="s">
        <v>3154</v>
      </c>
      <c r="AB97" s="9">
        <v>0</v>
      </c>
      <c r="AC97" s="9">
        <v>0</v>
      </c>
      <c r="AD97" s="8"/>
      <c r="AE97" s="8"/>
      <c r="AF97" s="8"/>
      <c r="AG97" s="8"/>
      <c r="AH97" s="9"/>
      <c r="AI97" s="8">
        <v>46216</v>
      </c>
      <c r="AJ97" s="231">
        <v>46229</v>
      </c>
    </row>
    <row r="98" spans="1:36">
      <c r="A98" s="19" t="s">
        <v>3233</v>
      </c>
      <c r="B98" s="10" t="s">
        <v>3143</v>
      </c>
      <c r="C98" s="10" t="s">
        <v>3144</v>
      </c>
      <c r="D98" s="10" t="s">
        <v>3234</v>
      </c>
      <c r="E98" s="10" t="s">
        <v>3146</v>
      </c>
      <c r="F98" s="10" t="s">
        <v>3284</v>
      </c>
      <c r="G98" s="10"/>
      <c r="H98" s="10" t="s">
        <v>673</v>
      </c>
      <c r="I98" s="10" t="s">
        <v>3256</v>
      </c>
      <c r="J98" s="10" t="s">
        <v>3257</v>
      </c>
      <c r="K98" s="10" t="s">
        <v>144</v>
      </c>
      <c r="L98" s="9" t="s">
        <v>3285</v>
      </c>
      <c r="M98" s="10" t="s">
        <v>15</v>
      </c>
      <c r="N98" s="10" t="s">
        <v>3150</v>
      </c>
      <c r="O98" s="10" t="s">
        <v>3151</v>
      </c>
      <c r="P98" s="8">
        <v>46223</v>
      </c>
      <c r="Q98" s="9" t="s">
        <v>3286</v>
      </c>
      <c r="R98" s="9">
        <v>7</v>
      </c>
      <c r="S98" s="10" t="s">
        <v>3153</v>
      </c>
      <c r="T98" s="10" t="s">
        <v>2352</v>
      </c>
      <c r="U98" s="10" t="s">
        <v>3150</v>
      </c>
      <c r="V98" s="24">
        <v>9.33</v>
      </c>
      <c r="W98" s="24">
        <v>65.31</v>
      </c>
      <c r="X98" s="24">
        <v>279.89999999999998</v>
      </c>
      <c r="Y98" s="24">
        <v>65.31</v>
      </c>
      <c r="Z98" s="24">
        <v>65.31</v>
      </c>
      <c r="AA98" s="9" t="s">
        <v>3154</v>
      </c>
      <c r="AB98" s="9">
        <v>0</v>
      </c>
      <c r="AC98" s="9">
        <v>0</v>
      </c>
      <c r="AD98" s="8"/>
      <c r="AE98" s="8"/>
      <c r="AF98" s="8"/>
      <c r="AG98" s="8"/>
      <c r="AH98" s="9"/>
      <c r="AI98" s="8">
        <v>46216</v>
      </c>
      <c r="AJ98" s="231">
        <v>46229</v>
      </c>
    </row>
    <row r="99" spans="1:36">
      <c r="A99" s="19" t="s">
        <v>3233</v>
      </c>
      <c r="B99" s="10" t="s">
        <v>3143</v>
      </c>
      <c r="C99" s="10" t="s">
        <v>3144</v>
      </c>
      <c r="D99" s="10" t="s">
        <v>3234</v>
      </c>
      <c r="E99" s="10" t="s">
        <v>3146</v>
      </c>
      <c r="F99" s="10" t="s">
        <v>3284</v>
      </c>
      <c r="G99" s="10"/>
      <c r="H99" s="10" t="s">
        <v>673</v>
      </c>
      <c r="I99" s="10" t="s">
        <v>3256</v>
      </c>
      <c r="J99" s="10" t="s">
        <v>3257</v>
      </c>
      <c r="K99" s="10" t="s">
        <v>144</v>
      </c>
      <c r="L99" s="9" t="s">
        <v>3293</v>
      </c>
      <c r="M99" s="10" t="s">
        <v>15</v>
      </c>
      <c r="N99" s="10" t="s">
        <v>3150</v>
      </c>
      <c r="O99" s="10" t="s">
        <v>3151</v>
      </c>
      <c r="P99" s="8">
        <v>46223</v>
      </c>
      <c r="Q99" s="9" t="s">
        <v>3286</v>
      </c>
      <c r="R99" s="9">
        <v>7</v>
      </c>
      <c r="S99" s="10" t="s">
        <v>3153</v>
      </c>
      <c r="T99" s="10" t="s">
        <v>2352</v>
      </c>
      <c r="U99" s="10" t="s">
        <v>3150</v>
      </c>
      <c r="V99" s="24">
        <v>9.33</v>
      </c>
      <c r="W99" s="24">
        <v>65.31</v>
      </c>
      <c r="X99" s="24">
        <v>279.89999999999998</v>
      </c>
      <c r="Y99" s="24">
        <v>65.31</v>
      </c>
      <c r="Z99" s="24">
        <v>65.31</v>
      </c>
      <c r="AA99" s="9" t="s">
        <v>3154</v>
      </c>
      <c r="AB99" s="9">
        <v>0</v>
      </c>
      <c r="AC99" s="9">
        <v>0</v>
      </c>
      <c r="AD99" s="8"/>
      <c r="AE99" s="8"/>
      <c r="AF99" s="8"/>
      <c r="AG99" s="8"/>
      <c r="AH99" s="9"/>
      <c r="AI99" s="8">
        <v>46216</v>
      </c>
      <c r="AJ99" s="231">
        <v>46229</v>
      </c>
    </row>
    <row r="100" spans="1:36">
      <c r="A100" s="19" t="s">
        <v>3233</v>
      </c>
      <c r="B100" s="10" t="s">
        <v>3143</v>
      </c>
      <c r="C100" s="10" t="s">
        <v>3144</v>
      </c>
      <c r="D100" s="10" t="s">
        <v>3234</v>
      </c>
      <c r="E100" s="10" t="s">
        <v>3146</v>
      </c>
      <c r="F100" s="10" t="s">
        <v>3284</v>
      </c>
      <c r="G100" s="10"/>
      <c r="H100" s="10" t="s">
        <v>673</v>
      </c>
      <c r="I100" s="10" t="s">
        <v>3256</v>
      </c>
      <c r="J100" s="10" t="s">
        <v>3257</v>
      </c>
      <c r="K100" s="10" t="s">
        <v>144</v>
      </c>
      <c r="L100" s="9" t="s">
        <v>3289</v>
      </c>
      <c r="M100" s="10" t="s">
        <v>15</v>
      </c>
      <c r="N100" s="10" t="s">
        <v>3150</v>
      </c>
      <c r="O100" s="10" t="s">
        <v>3151</v>
      </c>
      <c r="P100" s="8">
        <v>46223</v>
      </c>
      <c r="Q100" s="9" t="s">
        <v>3286</v>
      </c>
      <c r="R100" s="9">
        <v>7</v>
      </c>
      <c r="S100" s="10" t="s">
        <v>3153</v>
      </c>
      <c r="T100" s="10" t="s">
        <v>2352</v>
      </c>
      <c r="U100" s="10" t="s">
        <v>3150</v>
      </c>
      <c r="V100" s="24">
        <v>9.33</v>
      </c>
      <c r="W100" s="24">
        <v>65.31</v>
      </c>
      <c r="X100" s="24">
        <v>279.89999999999998</v>
      </c>
      <c r="Y100" s="24">
        <v>65.31</v>
      </c>
      <c r="Z100" s="24">
        <v>65.31</v>
      </c>
      <c r="AA100" s="9" t="s">
        <v>3154</v>
      </c>
      <c r="AB100" s="9">
        <v>0</v>
      </c>
      <c r="AC100" s="9">
        <v>0</v>
      </c>
      <c r="AD100" s="8"/>
      <c r="AE100" s="8"/>
      <c r="AF100" s="8"/>
      <c r="AG100" s="8"/>
      <c r="AH100" s="9"/>
      <c r="AI100" s="8">
        <v>46216</v>
      </c>
      <c r="AJ100" s="231">
        <v>46229</v>
      </c>
    </row>
    <row r="101" spans="1:36">
      <c r="A101" s="19" t="s">
        <v>3233</v>
      </c>
      <c r="B101" s="10" t="s">
        <v>3143</v>
      </c>
      <c r="C101" s="10" t="s">
        <v>3144</v>
      </c>
      <c r="D101" s="10" t="s">
        <v>3234</v>
      </c>
      <c r="E101" s="10" t="s">
        <v>3146</v>
      </c>
      <c r="F101" s="10" t="s">
        <v>3255</v>
      </c>
      <c r="G101" s="10"/>
      <c r="H101" s="10" t="s">
        <v>674</v>
      </c>
      <c r="I101" s="10" t="s">
        <v>3256</v>
      </c>
      <c r="J101" s="10" t="s">
        <v>3257</v>
      </c>
      <c r="K101" s="10" t="s">
        <v>149</v>
      </c>
      <c r="L101" s="9" t="s">
        <v>3262</v>
      </c>
      <c r="M101" s="10" t="s">
        <v>15</v>
      </c>
      <c r="N101" s="10" t="s">
        <v>3150</v>
      </c>
      <c r="O101" s="10" t="s">
        <v>3151</v>
      </c>
      <c r="P101" s="8">
        <v>46223</v>
      </c>
      <c r="Q101" s="9" t="s">
        <v>3259</v>
      </c>
      <c r="R101" s="9">
        <v>7</v>
      </c>
      <c r="S101" s="10" t="s">
        <v>3153</v>
      </c>
      <c r="T101" s="10" t="s">
        <v>2352</v>
      </c>
      <c r="U101" s="10" t="s">
        <v>3150</v>
      </c>
      <c r="V101" s="24">
        <v>18.670000000000002</v>
      </c>
      <c r="W101" s="24">
        <v>130.69</v>
      </c>
      <c r="X101" s="24">
        <v>560.1</v>
      </c>
      <c r="Y101" s="24">
        <v>130.69</v>
      </c>
      <c r="Z101" s="24">
        <v>130.69</v>
      </c>
      <c r="AA101" s="9" t="s">
        <v>3154</v>
      </c>
      <c r="AB101" s="9">
        <v>0</v>
      </c>
      <c r="AC101" s="9">
        <v>0</v>
      </c>
      <c r="AD101" s="8"/>
      <c r="AE101" s="8"/>
      <c r="AF101" s="8"/>
      <c r="AG101" s="8"/>
      <c r="AH101" s="9"/>
      <c r="AI101" s="8">
        <v>46216</v>
      </c>
      <c r="AJ101" s="231">
        <v>46229</v>
      </c>
    </row>
    <row r="102" spans="1:36">
      <c r="A102" s="19" t="s">
        <v>3233</v>
      </c>
      <c r="B102" s="10" t="s">
        <v>3143</v>
      </c>
      <c r="C102" s="10" t="s">
        <v>3144</v>
      </c>
      <c r="D102" s="10" t="s">
        <v>3234</v>
      </c>
      <c r="E102" s="10" t="s">
        <v>3146</v>
      </c>
      <c r="F102" s="10" t="s">
        <v>3255</v>
      </c>
      <c r="G102" s="10"/>
      <c r="H102" s="10" t="s">
        <v>674</v>
      </c>
      <c r="I102" s="10" t="s">
        <v>3256</v>
      </c>
      <c r="J102" s="10" t="s">
        <v>3257</v>
      </c>
      <c r="K102" s="10" t="s">
        <v>149</v>
      </c>
      <c r="L102" s="9" t="s">
        <v>3266</v>
      </c>
      <c r="M102" s="10" t="s">
        <v>15</v>
      </c>
      <c r="N102" s="10" t="s">
        <v>3150</v>
      </c>
      <c r="O102" s="10" t="s">
        <v>3151</v>
      </c>
      <c r="P102" s="8">
        <v>46223</v>
      </c>
      <c r="Q102" s="9" t="s">
        <v>3259</v>
      </c>
      <c r="R102" s="9">
        <v>7</v>
      </c>
      <c r="S102" s="10" t="s">
        <v>3153</v>
      </c>
      <c r="T102" s="10" t="s">
        <v>2352</v>
      </c>
      <c r="U102" s="10" t="s">
        <v>3150</v>
      </c>
      <c r="V102" s="24">
        <v>18.670000000000002</v>
      </c>
      <c r="W102" s="24">
        <v>130.69</v>
      </c>
      <c r="X102" s="24">
        <v>560.1</v>
      </c>
      <c r="Y102" s="24">
        <v>130.69</v>
      </c>
      <c r="Z102" s="24">
        <v>130.69</v>
      </c>
      <c r="AA102" s="9" t="s">
        <v>3154</v>
      </c>
      <c r="AB102" s="9">
        <v>0</v>
      </c>
      <c r="AC102" s="9">
        <v>0</v>
      </c>
      <c r="AD102" s="8"/>
      <c r="AE102" s="8"/>
      <c r="AF102" s="8"/>
      <c r="AG102" s="8"/>
      <c r="AH102" s="9"/>
      <c r="AI102" s="8">
        <v>46216</v>
      </c>
      <c r="AJ102" s="231">
        <v>46229</v>
      </c>
    </row>
    <row r="103" spans="1:36">
      <c r="A103" s="19" t="s">
        <v>3233</v>
      </c>
      <c r="B103" s="10" t="s">
        <v>3143</v>
      </c>
      <c r="C103" s="10" t="s">
        <v>3144</v>
      </c>
      <c r="D103" s="10" t="s">
        <v>3234</v>
      </c>
      <c r="E103" s="10" t="s">
        <v>3146</v>
      </c>
      <c r="F103" s="10" t="s">
        <v>3255</v>
      </c>
      <c r="G103" s="10"/>
      <c r="H103" s="10" t="s">
        <v>674</v>
      </c>
      <c r="I103" s="10" t="s">
        <v>3256</v>
      </c>
      <c r="J103" s="10" t="s">
        <v>3257</v>
      </c>
      <c r="K103" s="10" t="s">
        <v>149</v>
      </c>
      <c r="L103" s="9" t="s">
        <v>3264</v>
      </c>
      <c r="M103" s="10" t="s">
        <v>15</v>
      </c>
      <c r="N103" s="10" t="s">
        <v>3150</v>
      </c>
      <c r="O103" s="10" t="s">
        <v>3151</v>
      </c>
      <c r="P103" s="8">
        <v>46223</v>
      </c>
      <c r="Q103" s="9" t="s">
        <v>3259</v>
      </c>
      <c r="R103" s="9">
        <v>7</v>
      </c>
      <c r="S103" s="10" t="s">
        <v>3153</v>
      </c>
      <c r="T103" s="10" t="s">
        <v>2352</v>
      </c>
      <c r="U103" s="10" t="s">
        <v>3150</v>
      </c>
      <c r="V103" s="24">
        <v>18.670000000000002</v>
      </c>
      <c r="W103" s="24">
        <v>130.69</v>
      </c>
      <c r="X103" s="24">
        <v>560.1</v>
      </c>
      <c r="Y103" s="24">
        <v>130.69</v>
      </c>
      <c r="Z103" s="24">
        <v>130.69</v>
      </c>
      <c r="AA103" s="9" t="s">
        <v>3154</v>
      </c>
      <c r="AB103" s="9">
        <v>0</v>
      </c>
      <c r="AC103" s="9">
        <v>0</v>
      </c>
      <c r="AD103" s="8"/>
      <c r="AE103" s="8"/>
      <c r="AF103" s="8"/>
      <c r="AG103" s="8"/>
      <c r="AH103" s="9"/>
      <c r="AI103" s="8">
        <v>46216</v>
      </c>
      <c r="AJ103" s="231">
        <v>46229</v>
      </c>
    </row>
    <row r="104" spans="1:36">
      <c r="A104" s="19" t="s">
        <v>3233</v>
      </c>
      <c r="B104" s="10" t="s">
        <v>3143</v>
      </c>
      <c r="C104" s="10" t="s">
        <v>3144</v>
      </c>
      <c r="D104" s="10" t="s">
        <v>3234</v>
      </c>
      <c r="E104" s="10" t="s">
        <v>3146</v>
      </c>
      <c r="F104" s="10" t="s">
        <v>3255</v>
      </c>
      <c r="G104" s="10"/>
      <c r="H104" s="10" t="s">
        <v>674</v>
      </c>
      <c r="I104" s="10" t="s">
        <v>3256</v>
      </c>
      <c r="J104" s="10" t="s">
        <v>3257</v>
      </c>
      <c r="K104" s="10" t="s">
        <v>149</v>
      </c>
      <c r="L104" s="9" t="s">
        <v>3261</v>
      </c>
      <c r="M104" s="10" t="s">
        <v>15</v>
      </c>
      <c r="N104" s="10" t="s">
        <v>3150</v>
      </c>
      <c r="O104" s="10" t="s">
        <v>3151</v>
      </c>
      <c r="P104" s="8">
        <v>46223</v>
      </c>
      <c r="Q104" s="9" t="s">
        <v>3259</v>
      </c>
      <c r="R104" s="9">
        <v>7</v>
      </c>
      <c r="S104" s="10" t="s">
        <v>3153</v>
      </c>
      <c r="T104" s="10" t="s">
        <v>2352</v>
      </c>
      <c r="U104" s="10" t="s">
        <v>3150</v>
      </c>
      <c r="V104" s="24">
        <v>18.670000000000002</v>
      </c>
      <c r="W104" s="24">
        <v>130.69</v>
      </c>
      <c r="X104" s="24">
        <v>560.1</v>
      </c>
      <c r="Y104" s="24">
        <v>130.69</v>
      </c>
      <c r="Z104" s="24">
        <v>130.69</v>
      </c>
      <c r="AA104" s="9" t="s">
        <v>3154</v>
      </c>
      <c r="AB104" s="9">
        <v>0</v>
      </c>
      <c r="AC104" s="9">
        <v>0</v>
      </c>
      <c r="AD104" s="8"/>
      <c r="AE104" s="8"/>
      <c r="AF104" s="8"/>
      <c r="AG104" s="8"/>
      <c r="AH104" s="9"/>
      <c r="AI104" s="8">
        <v>46216</v>
      </c>
      <c r="AJ104" s="231">
        <v>46229</v>
      </c>
    </row>
    <row r="105" spans="1:36">
      <c r="A105" s="19" t="s">
        <v>3233</v>
      </c>
      <c r="B105" s="10" t="s">
        <v>3143</v>
      </c>
      <c r="C105" s="10" t="s">
        <v>3144</v>
      </c>
      <c r="D105" s="10" t="s">
        <v>3234</v>
      </c>
      <c r="E105" s="10" t="s">
        <v>3146</v>
      </c>
      <c r="F105" s="10" t="s">
        <v>3255</v>
      </c>
      <c r="G105" s="10"/>
      <c r="H105" s="10" t="s">
        <v>674</v>
      </c>
      <c r="I105" s="10" t="s">
        <v>3256</v>
      </c>
      <c r="J105" s="10" t="s">
        <v>3257</v>
      </c>
      <c r="K105" s="10" t="s">
        <v>149</v>
      </c>
      <c r="L105" s="9" t="s">
        <v>3258</v>
      </c>
      <c r="M105" s="10" t="s">
        <v>15</v>
      </c>
      <c r="N105" s="10" t="s">
        <v>3150</v>
      </c>
      <c r="O105" s="10" t="s">
        <v>3151</v>
      </c>
      <c r="P105" s="8">
        <v>46223</v>
      </c>
      <c r="Q105" s="9" t="s">
        <v>3259</v>
      </c>
      <c r="R105" s="9">
        <v>7</v>
      </c>
      <c r="S105" s="10" t="s">
        <v>3153</v>
      </c>
      <c r="T105" s="10" t="s">
        <v>2352</v>
      </c>
      <c r="U105" s="10" t="s">
        <v>3150</v>
      </c>
      <c r="V105" s="24">
        <v>18.670000000000002</v>
      </c>
      <c r="W105" s="24">
        <v>130.69</v>
      </c>
      <c r="X105" s="24">
        <v>560.1</v>
      </c>
      <c r="Y105" s="24">
        <v>130.69</v>
      </c>
      <c r="Z105" s="24">
        <v>130.69</v>
      </c>
      <c r="AA105" s="9" t="s">
        <v>3154</v>
      </c>
      <c r="AB105" s="9">
        <v>0</v>
      </c>
      <c r="AC105" s="9">
        <v>0</v>
      </c>
      <c r="AD105" s="8"/>
      <c r="AE105" s="8"/>
      <c r="AF105" s="8"/>
      <c r="AG105" s="8"/>
      <c r="AH105" s="9"/>
      <c r="AI105" s="8">
        <v>46216</v>
      </c>
      <c r="AJ105" s="231">
        <v>46229</v>
      </c>
    </row>
    <row r="106" spans="1:36">
      <c r="A106" s="19" t="s">
        <v>3233</v>
      </c>
      <c r="B106" s="10" t="s">
        <v>3143</v>
      </c>
      <c r="C106" s="10" t="s">
        <v>3144</v>
      </c>
      <c r="D106" s="10" t="s">
        <v>3234</v>
      </c>
      <c r="E106" s="10" t="s">
        <v>3146</v>
      </c>
      <c r="F106" s="10" t="s">
        <v>3255</v>
      </c>
      <c r="G106" s="10"/>
      <c r="H106" s="10" t="s">
        <v>674</v>
      </c>
      <c r="I106" s="10" t="s">
        <v>3256</v>
      </c>
      <c r="J106" s="10" t="s">
        <v>3257</v>
      </c>
      <c r="K106" s="10" t="s">
        <v>149</v>
      </c>
      <c r="L106" s="9" t="s">
        <v>3265</v>
      </c>
      <c r="M106" s="10" t="s">
        <v>15</v>
      </c>
      <c r="N106" s="10" t="s">
        <v>3150</v>
      </c>
      <c r="O106" s="10" t="s">
        <v>3151</v>
      </c>
      <c r="P106" s="8">
        <v>46223</v>
      </c>
      <c r="Q106" s="9" t="s">
        <v>3259</v>
      </c>
      <c r="R106" s="9">
        <v>7</v>
      </c>
      <c r="S106" s="10" t="s">
        <v>3153</v>
      </c>
      <c r="T106" s="10" t="s">
        <v>2352</v>
      </c>
      <c r="U106" s="10" t="s">
        <v>3150</v>
      </c>
      <c r="V106" s="24">
        <v>18.670000000000002</v>
      </c>
      <c r="W106" s="24">
        <v>130.69</v>
      </c>
      <c r="X106" s="24">
        <v>560.1</v>
      </c>
      <c r="Y106" s="24">
        <v>130.69</v>
      </c>
      <c r="Z106" s="24">
        <v>130.69</v>
      </c>
      <c r="AA106" s="9" t="s">
        <v>3154</v>
      </c>
      <c r="AB106" s="9">
        <v>0</v>
      </c>
      <c r="AC106" s="9">
        <v>0</v>
      </c>
      <c r="AD106" s="8"/>
      <c r="AE106" s="8"/>
      <c r="AF106" s="8"/>
      <c r="AG106" s="8"/>
      <c r="AH106" s="9"/>
      <c r="AI106" s="8">
        <v>46216</v>
      </c>
      <c r="AJ106" s="231">
        <v>46229</v>
      </c>
    </row>
    <row r="107" spans="1:36">
      <c r="A107" s="19" t="s">
        <v>3233</v>
      </c>
      <c r="B107" s="10" t="s">
        <v>3143</v>
      </c>
      <c r="C107" s="10" t="s">
        <v>3144</v>
      </c>
      <c r="D107" s="10" t="s">
        <v>3234</v>
      </c>
      <c r="E107" s="10" t="s">
        <v>3146</v>
      </c>
      <c r="F107" s="10" t="s">
        <v>3255</v>
      </c>
      <c r="G107" s="10"/>
      <c r="H107" s="10" t="s">
        <v>674</v>
      </c>
      <c r="I107" s="10" t="s">
        <v>3256</v>
      </c>
      <c r="J107" s="10" t="s">
        <v>3257</v>
      </c>
      <c r="K107" s="10" t="s">
        <v>149</v>
      </c>
      <c r="L107" s="9" t="s">
        <v>3263</v>
      </c>
      <c r="M107" s="10" t="s">
        <v>15</v>
      </c>
      <c r="N107" s="10" t="s">
        <v>3150</v>
      </c>
      <c r="O107" s="10" t="s">
        <v>3151</v>
      </c>
      <c r="P107" s="8">
        <v>46223</v>
      </c>
      <c r="Q107" s="9" t="s">
        <v>3259</v>
      </c>
      <c r="R107" s="9">
        <v>7</v>
      </c>
      <c r="S107" s="10" t="s">
        <v>3153</v>
      </c>
      <c r="T107" s="10" t="s">
        <v>2352</v>
      </c>
      <c r="U107" s="10" t="s">
        <v>3150</v>
      </c>
      <c r="V107" s="24">
        <v>18.670000000000002</v>
      </c>
      <c r="W107" s="24">
        <v>130.69</v>
      </c>
      <c r="X107" s="24">
        <v>560.1</v>
      </c>
      <c r="Y107" s="24">
        <v>130.69</v>
      </c>
      <c r="Z107" s="24">
        <v>130.69</v>
      </c>
      <c r="AA107" s="9" t="s">
        <v>3154</v>
      </c>
      <c r="AB107" s="9">
        <v>0</v>
      </c>
      <c r="AC107" s="9">
        <v>0</v>
      </c>
      <c r="AD107" s="8"/>
      <c r="AE107" s="8"/>
      <c r="AF107" s="8"/>
      <c r="AG107" s="8"/>
      <c r="AH107" s="9"/>
      <c r="AI107" s="8">
        <v>46216</v>
      </c>
      <c r="AJ107" s="231">
        <v>46229</v>
      </c>
    </row>
    <row r="108" spans="1:36">
      <c r="A108" s="19" t="s">
        <v>3233</v>
      </c>
      <c r="B108" s="10" t="s">
        <v>3143</v>
      </c>
      <c r="C108" s="10" t="s">
        <v>3144</v>
      </c>
      <c r="D108" s="10" t="s">
        <v>3234</v>
      </c>
      <c r="E108" s="10" t="s">
        <v>3146</v>
      </c>
      <c r="F108" s="10" t="s">
        <v>3255</v>
      </c>
      <c r="G108" s="10"/>
      <c r="H108" s="10" t="s">
        <v>674</v>
      </c>
      <c r="I108" s="10" t="s">
        <v>3256</v>
      </c>
      <c r="J108" s="10" t="s">
        <v>3257</v>
      </c>
      <c r="K108" s="10" t="s">
        <v>149</v>
      </c>
      <c r="L108" s="9" t="s">
        <v>3260</v>
      </c>
      <c r="M108" s="10" t="s">
        <v>15</v>
      </c>
      <c r="N108" s="10" t="s">
        <v>3150</v>
      </c>
      <c r="O108" s="10" t="s">
        <v>3151</v>
      </c>
      <c r="P108" s="8">
        <v>46223</v>
      </c>
      <c r="Q108" s="9" t="s">
        <v>3259</v>
      </c>
      <c r="R108" s="9">
        <v>7</v>
      </c>
      <c r="S108" s="10" t="s">
        <v>3153</v>
      </c>
      <c r="T108" s="10" t="s">
        <v>2352</v>
      </c>
      <c r="U108" s="10" t="s">
        <v>3150</v>
      </c>
      <c r="V108" s="24">
        <v>18.670000000000002</v>
      </c>
      <c r="W108" s="24">
        <v>130.69</v>
      </c>
      <c r="X108" s="24">
        <v>560.1</v>
      </c>
      <c r="Y108" s="24">
        <v>130.69</v>
      </c>
      <c r="Z108" s="24">
        <v>130.69</v>
      </c>
      <c r="AA108" s="9" t="s">
        <v>3154</v>
      </c>
      <c r="AB108" s="9">
        <v>0</v>
      </c>
      <c r="AC108" s="9">
        <v>0</v>
      </c>
      <c r="AD108" s="8"/>
      <c r="AE108" s="8"/>
      <c r="AF108" s="8"/>
      <c r="AG108" s="8"/>
      <c r="AH108" s="9"/>
      <c r="AI108" s="8">
        <v>46216</v>
      </c>
      <c r="AJ108" s="231">
        <v>46229</v>
      </c>
    </row>
    <row r="109" spans="1:36">
      <c r="A109" s="19" t="s">
        <v>3142</v>
      </c>
      <c r="B109" s="10" t="s">
        <v>3143</v>
      </c>
      <c r="C109" s="10" t="s">
        <v>3144</v>
      </c>
      <c r="D109" s="10" t="s">
        <v>3145</v>
      </c>
      <c r="E109" s="10" t="s">
        <v>3146</v>
      </c>
      <c r="F109" s="10" t="s">
        <v>3170</v>
      </c>
      <c r="G109" s="10"/>
      <c r="H109" s="10" t="s">
        <v>678</v>
      </c>
      <c r="I109" s="10" t="s">
        <v>3170</v>
      </c>
      <c r="J109" s="10" t="s">
        <v>3164</v>
      </c>
      <c r="K109" s="10" t="s">
        <v>2203</v>
      </c>
      <c r="L109" s="9" t="s">
        <v>3229</v>
      </c>
      <c r="M109" s="10" t="s">
        <v>15</v>
      </c>
      <c r="N109" s="10" t="s">
        <v>3150</v>
      </c>
      <c r="O109" s="10" t="s">
        <v>3151</v>
      </c>
      <c r="P109" s="8">
        <v>46223</v>
      </c>
      <c r="Q109" s="9" t="s">
        <v>3156</v>
      </c>
      <c r="R109" s="9">
        <v>7</v>
      </c>
      <c r="S109" s="10" t="s">
        <v>3153</v>
      </c>
      <c r="T109" s="10" t="s">
        <v>2352</v>
      </c>
      <c r="U109" s="10" t="s">
        <v>3150</v>
      </c>
      <c r="V109" s="24">
        <v>46.66</v>
      </c>
      <c r="W109" s="24">
        <v>326.62</v>
      </c>
      <c r="X109" s="24">
        <v>1399.8</v>
      </c>
      <c r="Y109" s="24">
        <v>326.62</v>
      </c>
      <c r="Z109" s="24">
        <v>326.62</v>
      </c>
      <c r="AA109" s="9" t="s">
        <v>3154</v>
      </c>
      <c r="AB109" s="9">
        <v>0</v>
      </c>
      <c r="AC109" s="9">
        <v>0</v>
      </c>
      <c r="AD109" s="8"/>
      <c r="AE109" s="8"/>
      <c r="AF109" s="8"/>
      <c r="AG109" s="8"/>
      <c r="AH109" s="9"/>
      <c r="AI109" s="8">
        <v>46216</v>
      </c>
      <c r="AJ109" s="231">
        <v>46229</v>
      </c>
    </row>
    <row r="110" spans="1:36">
      <c r="A110" s="19" t="s">
        <v>3142</v>
      </c>
      <c r="B110" s="10" t="s">
        <v>3143</v>
      </c>
      <c r="C110" s="10" t="s">
        <v>3144</v>
      </c>
      <c r="D110" s="10" t="s">
        <v>3145</v>
      </c>
      <c r="E110" s="10" t="s">
        <v>3146</v>
      </c>
      <c r="F110" s="10" t="s">
        <v>3170</v>
      </c>
      <c r="G110" s="10"/>
      <c r="H110" s="10" t="s">
        <v>678</v>
      </c>
      <c r="I110" s="10" t="s">
        <v>3170</v>
      </c>
      <c r="J110" s="10" t="s">
        <v>3164</v>
      </c>
      <c r="K110" s="10" t="s">
        <v>2203</v>
      </c>
      <c r="L110" s="9" t="s">
        <v>3230</v>
      </c>
      <c r="M110" s="10" t="s">
        <v>15</v>
      </c>
      <c r="N110" s="10" t="s">
        <v>3150</v>
      </c>
      <c r="O110" s="10" t="s">
        <v>3151</v>
      </c>
      <c r="P110" s="8">
        <v>46223</v>
      </c>
      <c r="Q110" s="9" t="s">
        <v>3156</v>
      </c>
      <c r="R110" s="9">
        <v>7</v>
      </c>
      <c r="S110" s="10" t="s">
        <v>3153</v>
      </c>
      <c r="T110" s="10" t="s">
        <v>2352</v>
      </c>
      <c r="U110" s="10" t="s">
        <v>3150</v>
      </c>
      <c r="V110" s="24">
        <v>46.66</v>
      </c>
      <c r="W110" s="24">
        <v>326.62</v>
      </c>
      <c r="X110" s="24">
        <v>1399.8</v>
      </c>
      <c r="Y110" s="24">
        <v>326.62</v>
      </c>
      <c r="Z110" s="24">
        <v>326.62</v>
      </c>
      <c r="AA110" s="9" t="s">
        <v>3154</v>
      </c>
      <c r="AB110" s="9">
        <v>0</v>
      </c>
      <c r="AC110" s="9">
        <v>0</v>
      </c>
      <c r="AD110" s="8"/>
      <c r="AE110" s="8"/>
      <c r="AF110" s="8"/>
      <c r="AG110" s="8"/>
      <c r="AH110" s="9"/>
      <c r="AI110" s="8">
        <v>46216</v>
      </c>
      <c r="AJ110" s="231">
        <v>46229</v>
      </c>
    </row>
    <row r="111" spans="1:36">
      <c r="A111" s="19" t="s">
        <v>3142</v>
      </c>
      <c r="B111" s="10" t="s">
        <v>3143</v>
      </c>
      <c r="C111" s="10" t="s">
        <v>3144</v>
      </c>
      <c r="D111" s="10" t="s">
        <v>3145</v>
      </c>
      <c r="E111" s="10" t="s">
        <v>3146</v>
      </c>
      <c r="F111" s="10" t="s">
        <v>3170</v>
      </c>
      <c r="G111" s="10"/>
      <c r="H111" s="10" t="s">
        <v>2204</v>
      </c>
      <c r="I111" s="10" t="s">
        <v>3170</v>
      </c>
      <c r="J111" s="10" t="s">
        <v>3164</v>
      </c>
      <c r="K111" s="10" t="s">
        <v>2205</v>
      </c>
      <c r="L111" s="9" t="s">
        <v>3830</v>
      </c>
      <c r="M111" s="10" t="s">
        <v>15</v>
      </c>
      <c r="N111" s="10" t="s">
        <v>3150</v>
      </c>
      <c r="O111" s="10" t="s">
        <v>3151</v>
      </c>
      <c r="P111" s="8">
        <v>46228</v>
      </c>
      <c r="Q111" s="9" t="s">
        <v>3847</v>
      </c>
      <c r="R111" s="9">
        <v>2</v>
      </c>
      <c r="S111" s="10" t="s">
        <v>3153</v>
      </c>
      <c r="T111" s="10" t="s">
        <v>2352</v>
      </c>
      <c r="U111" s="10" t="s">
        <v>3150</v>
      </c>
      <c r="V111" s="24">
        <v>53.92</v>
      </c>
      <c r="W111" s="24">
        <v>377.44</v>
      </c>
      <c r="X111" s="24">
        <v>1617.6</v>
      </c>
      <c r="Y111" s="24">
        <v>107.84</v>
      </c>
      <c r="Z111" s="24">
        <v>107.84</v>
      </c>
      <c r="AA111" s="9" t="s">
        <v>3154</v>
      </c>
      <c r="AB111" s="9">
        <v>0</v>
      </c>
      <c r="AC111" s="9">
        <v>0</v>
      </c>
      <c r="AD111" s="8"/>
      <c r="AE111" s="8"/>
      <c r="AF111" s="8"/>
      <c r="AG111" s="8"/>
      <c r="AH111" s="9"/>
      <c r="AI111" s="8">
        <v>46216</v>
      </c>
      <c r="AJ111" s="231">
        <v>46229</v>
      </c>
    </row>
    <row r="112" spans="1:36">
      <c r="A112" s="19" t="s">
        <v>3142</v>
      </c>
      <c r="B112" s="10" t="s">
        <v>3143</v>
      </c>
      <c r="C112" s="10" t="s">
        <v>3144</v>
      </c>
      <c r="D112" s="10" t="s">
        <v>3145</v>
      </c>
      <c r="E112" s="10" t="s">
        <v>3146</v>
      </c>
      <c r="F112" s="10" t="s">
        <v>3170</v>
      </c>
      <c r="G112" s="10"/>
      <c r="H112" s="10" t="s">
        <v>666</v>
      </c>
      <c r="I112" s="10" t="s">
        <v>3170</v>
      </c>
      <c r="J112" s="10" t="s">
        <v>3164</v>
      </c>
      <c r="K112" s="10" t="s">
        <v>622</v>
      </c>
      <c r="L112" s="9" t="s">
        <v>3226</v>
      </c>
      <c r="M112" s="10" t="s">
        <v>15</v>
      </c>
      <c r="N112" s="10" t="s">
        <v>3150</v>
      </c>
      <c r="O112" s="10" t="s">
        <v>3151</v>
      </c>
      <c r="P112" s="8">
        <v>46225</v>
      </c>
      <c r="Q112" s="9" t="s">
        <v>3721</v>
      </c>
      <c r="R112" s="9">
        <v>5</v>
      </c>
      <c r="S112" s="10" t="s">
        <v>3153</v>
      </c>
      <c r="T112" s="10" t="s">
        <v>2352</v>
      </c>
      <c r="U112" s="10" t="s">
        <v>3150</v>
      </c>
      <c r="V112" s="24">
        <v>53.92</v>
      </c>
      <c r="W112" s="24">
        <v>377.44</v>
      </c>
      <c r="X112" s="24">
        <v>1617.6</v>
      </c>
      <c r="Y112" s="24">
        <v>269.60000000000002</v>
      </c>
      <c r="Z112" s="24">
        <v>269.60000000000002</v>
      </c>
      <c r="AA112" s="9" t="s">
        <v>3154</v>
      </c>
      <c r="AB112" s="9">
        <v>0</v>
      </c>
      <c r="AC112" s="9">
        <v>0</v>
      </c>
      <c r="AD112" s="8"/>
      <c r="AE112" s="8"/>
      <c r="AF112" s="8"/>
      <c r="AG112" s="8"/>
      <c r="AH112" s="9"/>
      <c r="AI112" s="8">
        <v>46216</v>
      </c>
      <c r="AJ112" s="231">
        <v>46229</v>
      </c>
    </row>
    <row r="113" spans="1:36">
      <c r="A113" s="19" t="s">
        <v>3142</v>
      </c>
      <c r="B113" s="10" t="s">
        <v>3143</v>
      </c>
      <c r="C113" s="10" t="s">
        <v>3144</v>
      </c>
      <c r="D113" s="10" t="s">
        <v>3145</v>
      </c>
      <c r="E113" s="10" t="s">
        <v>3146</v>
      </c>
      <c r="F113" s="10" t="s">
        <v>3902</v>
      </c>
      <c r="G113" s="10"/>
      <c r="H113" s="10" t="s">
        <v>2227</v>
      </c>
      <c r="I113" s="10" t="s">
        <v>3902</v>
      </c>
      <c r="J113" s="10" t="s">
        <v>3201</v>
      </c>
      <c r="K113" s="10" t="s">
        <v>710</v>
      </c>
      <c r="L113" s="9" t="s">
        <v>3203</v>
      </c>
      <c r="M113" s="10" t="s">
        <v>15</v>
      </c>
      <c r="N113" s="10" t="s">
        <v>3150</v>
      </c>
      <c r="O113" s="10" t="s">
        <v>3151</v>
      </c>
      <c r="P113" s="8">
        <v>46229</v>
      </c>
      <c r="Q113" s="9" t="s">
        <v>3903</v>
      </c>
      <c r="R113" s="9">
        <v>1</v>
      </c>
      <c r="S113" s="10" t="s">
        <v>3153</v>
      </c>
      <c r="T113" s="10" t="s">
        <v>2352</v>
      </c>
      <c r="U113" s="10" t="s">
        <v>3150</v>
      </c>
      <c r="V113" s="24">
        <v>67.41</v>
      </c>
      <c r="W113" s="24">
        <v>471.87</v>
      </c>
      <c r="X113" s="24">
        <v>2022.3</v>
      </c>
      <c r="Y113" s="24">
        <v>67.41</v>
      </c>
      <c r="Z113" s="24">
        <v>67.41</v>
      </c>
      <c r="AA113" s="9" t="s">
        <v>3154</v>
      </c>
      <c r="AB113" s="9">
        <v>0</v>
      </c>
      <c r="AC113" s="9">
        <v>0</v>
      </c>
      <c r="AD113" s="8"/>
      <c r="AE113" s="8"/>
      <c r="AF113" s="8"/>
      <c r="AG113" s="8"/>
      <c r="AH113" s="9"/>
      <c r="AI113" s="8">
        <v>46216</v>
      </c>
      <c r="AJ113" s="231">
        <v>46229</v>
      </c>
    </row>
    <row r="114" spans="1:36">
      <c r="A114" s="19" t="s">
        <v>3142</v>
      </c>
      <c r="B114" s="10" t="s">
        <v>3143</v>
      </c>
      <c r="C114" s="10" t="s">
        <v>3144</v>
      </c>
      <c r="D114" s="10" t="s">
        <v>3145</v>
      </c>
      <c r="E114" s="10" t="s">
        <v>3146</v>
      </c>
      <c r="F114" s="10" t="s">
        <v>3179</v>
      </c>
      <c r="G114" s="10"/>
      <c r="H114" s="10" t="s">
        <v>667</v>
      </c>
      <c r="I114" s="10" t="s">
        <v>3179</v>
      </c>
      <c r="J114" s="10" t="s">
        <v>3155</v>
      </c>
      <c r="K114" s="10" t="s">
        <v>2214</v>
      </c>
      <c r="L114" s="9" t="s">
        <v>3180</v>
      </c>
      <c r="M114" s="10" t="s">
        <v>15</v>
      </c>
      <c r="N114" s="10" t="s">
        <v>3150</v>
      </c>
      <c r="O114" s="10" t="s">
        <v>3151</v>
      </c>
      <c r="P114" s="8">
        <v>46223</v>
      </c>
      <c r="Q114" s="9" t="s">
        <v>3156</v>
      </c>
      <c r="R114" s="9">
        <v>7</v>
      </c>
      <c r="S114" s="10" t="s">
        <v>3153</v>
      </c>
      <c r="T114" s="10" t="s">
        <v>2352</v>
      </c>
      <c r="U114" s="10" t="s">
        <v>3150</v>
      </c>
      <c r="V114" s="24">
        <v>103.7</v>
      </c>
      <c r="W114" s="24">
        <v>725.9</v>
      </c>
      <c r="X114" s="24">
        <v>3111</v>
      </c>
      <c r="Y114" s="24">
        <v>725.9</v>
      </c>
      <c r="Z114" s="24">
        <v>725.9</v>
      </c>
      <c r="AA114" s="9" t="s">
        <v>3154</v>
      </c>
      <c r="AB114" s="9">
        <v>0</v>
      </c>
      <c r="AC114" s="9">
        <v>0</v>
      </c>
      <c r="AD114" s="8"/>
      <c r="AE114" s="8"/>
      <c r="AF114" s="8"/>
      <c r="AG114" s="8"/>
      <c r="AH114" s="9"/>
      <c r="AI114" s="8">
        <v>46216</v>
      </c>
      <c r="AJ114" s="231">
        <v>46229</v>
      </c>
    </row>
    <row r="115" spans="1:36">
      <c r="A115" s="19" t="s">
        <v>3142</v>
      </c>
      <c r="B115" s="10" t="s">
        <v>3143</v>
      </c>
      <c r="C115" s="10" t="s">
        <v>3144</v>
      </c>
      <c r="D115" s="10" t="s">
        <v>3145</v>
      </c>
      <c r="E115" s="10" t="s">
        <v>3146</v>
      </c>
      <c r="F115" s="10" t="s">
        <v>3179</v>
      </c>
      <c r="G115" s="10"/>
      <c r="H115" s="10" t="s">
        <v>667</v>
      </c>
      <c r="I115" s="10" t="s">
        <v>3179</v>
      </c>
      <c r="J115" s="10" t="s">
        <v>3155</v>
      </c>
      <c r="K115" s="10" t="s">
        <v>2214</v>
      </c>
      <c r="L115" s="9" t="s">
        <v>3183</v>
      </c>
      <c r="M115" s="10" t="s">
        <v>15</v>
      </c>
      <c r="N115" s="10" t="s">
        <v>3150</v>
      </c>
      <c r="O115" s="10" t="s">
        <v>3151</v>
      </c>
      <c r="P115" s="8">
        <v>46223</v>
      </c>
      <c r="Q115" s="9" t="s">
        <v>3156</v>
      </c>
      <c r="R115" s="9">
        <v>7</v>
      </c>
      <c r="S115" s="10" t="s">
        <v>3153</v>
      </c>
      <c r="T115" s="10" t="s">
        <v>2352</v>
      </c>
      <c r="U115" s="10" t="s">
        <v>3150</v>
      </c>
      <c r="V115" s="24">
        <v>103.7</v>
      </c>
      <c r="W115" s="24">
        <v>725.9</v>
      </c>
      <c r="X115" s="24">
        <v>3111</v>
      </c>
      <c r="Y115" s="24">
        <v>725.9</v>
      </c>
      <c r="Z115" s="24">
        <v>725.9</v>
      </c>
      <c r="AA115" s="9" t="s">
        <v>3154</v>
      </c>
      <c r="AB115" s="9">
        <v>0</v>
      </c>
      <c r="AC115" s="9">
        <v>0</v>
      </c>
      <c r="AD115" s="8"/>
      <c r="AE115" s="8"/>
      <c r="AF115" s="8"/>
      <c r="AG115" s="8"/>
      <c r="AH115" s="9"/>
      <c r="AI115" s="8">
        <v>46216</v>
      </c>
      <c r="AJ115" s="231">
        <v>46229</v>
      </c>
    </row>
    <row r="116" spans="1:36">
      <c r="A116" s="19" t="s">
        <v>3142</v>
      </c>
      <c r="B116" s="10" t="s">
        <v>3143</v>
      </c>
      <c r="C116" s="10" t="s">
        <v>3144</v>
      </c>
      <c r="D116" s="10" t="s">
        <v>3145</v>
      </c>
      <c r="E116" s="10" t="s">
        <v>3146</v>
      </c>
      <c r="F116" s="10" t="s">
        <v>3179</v>
      </c>
      <c r="G116" s="10"/>
      <c r="H116" s="10" t="s">
        <v>667</v>
      </c>
      <c r="I116" s="10" t="s">
        <v>3179</v>
      </c>
      <c r="J116" s="10" t="s">
        <v>3155</v>
      </c>
      <c r="K116" s="10" t="s">
        <v>2214</v>
      </c>
      <c r="L116" s="9" t="s">
        <v>3182</v>
      </c>
      <c r="M116" s="10" t="s">
        <v>15</v>
      </c>
      <c r="N116" s="10" t="s">
        <v>3150</v>
      </c>
      <c r="O116" s="10" t="s">
        <v>3151</v>
      </c>
      <c r="P116" s="8">
        <v>46223</v>
      </c>
      <c r="Q116" s="9" t="s">
        <v>3156</v>
      </c>
      <c r="R116" s="9">
        <v>7</v>
      </c>
      <c r="S116" s="10" t="s">
        <v>3153</v>
      </c>
      <c r="T116" s="10" t="s">
        <v>2352</v>
      </c>
      <c r="U116" s="10" t="s">
        <v>3150</v>
      </c>
      <c r="V116" s="24">
        <v>103.7</v>
      </c>
      <c r="W116" s="24">
        <v>725.9</v>
      </c>
      <c r="X116" s="24">
        <v>3111</v>
      </c>
      <c r="Y116" s="24">
        <v>725.9</v>
      </c>
      <c r="Z116" s="24">
        <v>725.9</v>
      </c>
      <c r="AA116" s="9" t="s">
        <v>3154</v>
      </c>
      <c r="AB116" s="9">
        <v>0</v>
      </c>
      <c r="AC116" s="9">
        <v>0</v>
      </c>
      <c r="AD116" s="8"/>
      <c r="AE116" s="8"/>
      <c r="AF116" s="8"/>
      <c r="AG116" s="8"/>
      <c r="AH116" s="9"/>
      <c r="AI116" s="8">
        <v>46216</v>
      </c>
      <c r="AJ116" s="231">
        <v>46229</v>
      </c>
    </row>
    <row r="117" spans="1:36">
      <c r="A117" s="19" t="s">
        <v>3142</v>
      </c>
      <c r="B117" s="10" t="s">
        <v>3143</v>
      </c>
      <c r="C117" s="10" t="s">
        <v>3144</v>
      </c>
      <c r="D117" s="10" t="s">
        <v>3145</v>
      </c>
      <c r="E117" s="10" t="s">
        <v>3146</v>
      </c>
      <c r="F117" s="10" t="s">
        <v>3179</v>
      </c>
      <c r="G117" s="10"/>
      <c r="H117" s="10" t="s">
        <v>667</v>
      </c>
      <c r="I117" s="10" t="s">
        <v>3179</v>
      </c>
      <c r="J117" s="10" t="s">
        <v>3155</v>
      </c>
      <c r="K117" s="10" t="s">
        <v>2214</v>
      </c>
      <c r="L117" s="9" t="s">
        <v>3185</v>
      </c>
      <c r="M117" s="10" t="s">
        <v>15</v>
      </c>
      <c r="N117" s="10" t="s">
        <v>3150</v>
      </c>
      <c r="O117" s="10" t="s">
        <v>3151</v>
      </c>
      <c r="P117" s="8">
        <v>46223</v>
      </c>
      <c r="Q117" s="9" t="s">
        <v>3156</v>
      </c>
      <c r="R117" s="9">
        <v>7</v>
      </c>
      <c r="S117" s="10" t="s">
        <v>3153</v>
      </c>
      <c r="T117" s="10" t="s">
        <v>2352</v>
      </c>
      <c r="U117" s="10" t="s">
        <v>3150</v>
      </c>
      <c r="V117" s="24">
        <v>103.7</v>
      </c>
      <c r="W117" s="24">
        <v>725.9</v>
      </c>
      <c r="X117" s="24">
        <v>3111</v>
      </c>
      <c r="Y117" s="24">
        <v>725.9</v>
      </c>
      <c r="Z117" s="24">
        <v>725.9</v>
      </c>
      <c r="AA117" s="9" t="s">
        <v>3154</v>
      </c>
      <c r="AB117" s="9">
        <v>0</v>
      </c>
      <c r="AC117" s="9">
        <v>0</v>
      </c>
      <c r="AD117" s="8"/>
      <c r="AE117" s="8"/>
      <c r="AF117" s="8"/>
      <c r="AG117" s="8"/>
      <c r="AH117" s="9"/>
      <c r="AI117" s="8">
        <v>46216</v>
      </c>
      <c r="AJ117" s="231">
        <v>46229</v>
      </c>
    </row>
    <row r="118" spans="1:36">
      <c r="A118" s="19" t="s">
        <v>3142</v>
      </c>
      <c r="B118" s="10" t="s">
        <v>3143</v>
      </c>
      <c r="C118" s="10" t="s">
        <v>3144</v>
      </c>
      <c r="D118" s="10" t="s">
        <v>3145</v>
      </c>
      <c r="E118" s="10" t="s">
        <v>3146</v>
      </c>
      <c r="F118" s="10" t="s">
        <v>3179</v>
      </c>
      <c r="G118" s="10"/>
      <c r="H118" s="10" t="s">
        <v>667</v>
      </c>
      <c r="I118" s="10" t="s">
        <v>3179</v>
      </c>
      <c r="J118" s="10" t="s">
        <v>3155</v>
      </c>
      <c r="K118" s="10" t="s">
        <v>2214</v>
      </c>
      <c r="L118" s="9" t="s">
        <v>3184</v>
      </c>
      <c r="M118" s="10" t="s">
        <v>15</v>
      </c>
      <c r="N118" s="10" t="s">
        <v>3150</v>
      </c>
      <c r="O118" s="10" t="s">
        <v>3151</v>
      </c>
      <c r="P118" s="8">
        <v>46223</v>
      </c>
      <c r="Q118" s="9" t="s">
        <v>3156</v>
      </c>
      <c r="R118" s="9">
        <v>7</v>
      </c>
      <c r="S118" s="10" t="s">
        <v>3153</v>
      </c>
      <c r="T118" s="10" t="s">
        <v>2352</v>
      </c>
      <c r="U118" s="10" t="s">
        <v>3150</v>
      </c>
      <c r="V118" s="24">
        <v>103.7</v>
      </c>
      <c r="W118" s="24">
        <v>725.9</v>
      </c>
      <c r="X118" s="24">
        <v>3111</v>
      </c>
      <c r="Y118" s="24">
        <v>725.9</v>
      </c>
      <c r="Z118" s="24">
        <v>725.9</v>
      </c>
      <c r="AA118" s="9" t="s">
        <v>3154</v>
      </c>
      <c r="AB118" s="9">
        <v>0</v>
      </c>
      <c r="AC118" s="9">
        <v>0</v>
      </c>
      <c r="AD118" s="8"/>
      <c r="AE118" s="8"/>
      <c r="AF118" s="8"/>
      <c r="AG118" s="8"/>
      <c r="AH118" s="9"/>
      <c r="AI118" s="8">
        <v>46216</v>
      </c>
      <c r="AJ118" s="231">
        <v>46229</v>
      </c>
    </row>
    <row r="119" spans="1:36">
      <c r="A119" s="19" t="s">
        <v>3142</v>
      </c>
      <c r="B119" s="10" t="s">
        <v>3143</v>
      </c>
      <c r="C119" s="10" t="s">
        <v>3144</v>
      </c>
      <c r="D119" s="10" t="s">
        <v>3145</v>
      </c>
      <c r="E119" s="10" t="s">
        <v>3146</v>
      </c>
      <c r="F119" s="10" t="s">
        <v>3176</v>
      </c>
      <c r="G119" s="10"/>
      <c r="H119" s="10" t="s">
        <v>2215</v>
      </c>
      <c r="I119" s="10" t="s">
        <v>3176</v>
      </c>
      <c r="J119" s="10" t="s">
        <v>3155</v>
      </c>
      <c r="K119" s="10" t="s">
        <v>2216</v>
      </c>
      <c r="L119" s="9" t="s">
        <v>3177</v>
      </c>
      <c r="M119" s="10" t="s">
        <v>15</v>
      </c>
      <c r="N119" s="10" t="s">
        <v>3150</v>
      </c>
      <c r="O119" s="10" t="s">
        <v>3151</v>
      </c>
      <c r="P119" s="8">
        <v>46223</v>
      </c>
      <c r="Q119" s="9" t="s">
        <v>3156</v>
      </c>
      <c r="R119" s="9">
        <v>7</v>
      </c>
      <c r="S119" s="10" t="s">
        <v>3153</v>
      </c>
      <c r="T119" s="10" t="s">
        <v>2352</v>
      </c>
      <c r="U119" s="10" t="s">
        <v>3150</v>
      </c>
      <c r="V119" s="24">
        <v>103.7</v>
      </c>
      <c r="W119" s="24">
        <v>725.9</v>
      </c>
      <c r="X119" s="24">
        <v>3111</v>
      </c>
      <c r="Y119" s="24">
        <v>725.9</v>
      </c>
      <c r="Z119" s="24">
        <v>725.9</v>
      </c>
      <c r="AA119" s="9" t="s">
        <v>3154</v>
      </c>
      <c r="AB119" s="9">
        <v>0</v>
      </c>
      <c r="AC119" s="9">
        <v>0</v>
      </c>
      <c r="AD119" s="8"/>
      <c r="AE119" s="8"/>
      <c r="AF119" s="8"/>
      <c r="AG119" s="8"/>
      <c r="AH119" s="9"/>
      <c r="AI119" s="8">
        <v>46216</v>
      </c>
      <c r="AJ119" s="231">
        <v>46229</v>
      </c>
    </row>
    <row r="120" spans="1:36">
      <c r="A120" s="19" t="s">
        <v>3142</v>
      </c>
      <c r="B120" s="10" t="s">
        <v>3143</v>
      </c>
      <c r="C120" s="10" t="s">
        <v>3144</v>
      </c>
      <c r="D120" s="10" t="s">
        <v>3145</v>
      </c>
      <c r="E120" s="10" t="s">
        <v>3146</v>
      </c>
      <c r="F120" s="10" t="s">
        <v>3179</v>
      </c>
      <c r="G120" s="10"/>
      <c r="H120" s="10" t="s">
        <v>703</v>
      </c>
      <c r="I120" s="10" t="s">
        <v>3179</v>
      </c>
      <c r="J120" s="10" t="s">
        <v>3155</v>
      </c>
      <c r="K120" s="10" t="s">
        <v>704</v>
      </c>
      <c r="L120" s="9" t="s">
        <v>3190</v>
      </c>
      <c r="M120" s="10" t="s">
        <v>15</v>
      </c>
      <c r="N120" s="10" t="s">
        <v>3150</v>
      </c>
      <c r="O120" s="10" t="s">
        <v>3151</v>
      </c>
      <c r="P120" s="8">
        <v>46223</v>
      </c>
      <c r="Q120" s="9" t="s">
        <v>3156</v>
      </c>
      <c r="R120" s="9">
        <v>7</v>
      </c>
      <c r="S120" s="10" t="s">
        <v>3153</v>
      </c>
      <c r="T120" s="10" t="s">
        <v>2352</v>
      </c>
      <c r="U120" s="10" t="s">
        <v>3150</v>
      </c>
      <c r="V120" s="24">
        <v>77.78</v>
      </c>
      <c r="W120" s="24">
        <v>544.46</v>
      </c>
      <c r="X120" s="24">
        <v>2333.4</v>
      </c>
      <c r="Y120" s="24">
        <v>544.46</v>
      </c>
      <c r="Z120" s="24">
        <v>544.46</v>
      </c>
      <c r="AA120" s="9" t="s">
        <v>3154</v>
      </c>
      <c r="AB120" s="9">
        <v>0</v>
      </c>
      <c r="AC120" s="9">
        <v>0</v>
      </c>
      <c r="AD120" s="8"/>
      <c r="AE120" s="8"/>
      <c r="AF120" s="8"/>
      <c r="AG120" s="8"/>
      <c r="AH120" s="9"/>
      <c r="AI120" s="8">
        <v>46216</v>
      </c>
      <c r="AJ120" s="231">
        <v>46229</v>
      </c>
    </row>
    <row r="121" spans="1:36">
      <c r="A121" s="19" t="s">
        <v>3142</v>
      </c>
      <c r="B121" s="10" t="s">
        <v>3143</v>
      </c>
      <c r="C121" s="10" t="s">
        <v>3144</v>
      </c>
      <c r="D121" s="10" t="s">
        <v>3145</v>
      </c>
      <c r="E121" s="10" t="s">
        <v>3146</v>
      </c>
      <c r="F121" s="10" t="s">
        <v>3179</v>
      </c>
      <c r="G121" s="10"/>
      <c r="H121" s="10" t="s">
        <v>668</v>
      </c>
      <c r="I121" s="10" t="s">
        <v>3179</v>
      </c>
      <c r="J121" s="10" t="s">
        <v>3155</v>
      </c>
      <c r="K121" s="10" t="s">
        <v>2219</v>
      </c>
      <c r="L121" s="9" t="s">
        <v>3191</v>
      </c>
      <c r="M121" s="10" t="s">
        <v>15</v>
      </c>
      <c r="N121" s="10" t="s">
        <v>3150</v>
      </c>
      <c r="O121" s="10" t="s">
        <v>3151</v>
      </c>
      <c r="P121" s="8">
        <v>46223</v>
      </c>
      <c r="Q121" s="9" t="s">
        <v>3156</v>
      </c>
      <c r="R121" s="9">
        <v>7</v>
      </c>
      <c r="S121" s="10" t="s">
        <v>3153</v>
      </c>
      <c r="T121" s="10" t="s">
        <v>2352</v>
      </c>
      <c r="U121" s="10" t="s">
        <v>3150</v>
      </c>
      <c r="V121" s="24">
        <v>72.59</v>
      </c>
      <c r="W121" s="24">
        <v>508.13</v>
      </c>
      <c r="X121" s="24">
        <v>2177.6999999999998</v>
      </c>
      <c r="Y121" s="24">
        <v>508.13</v>
      </c>
      <c r="Z121" s="24">
        <v>508.13</v>
      </c>
      <c r="AA121" s="9" t="s">
        <v>3154</v>
      </c>
      <c r="AB121" s="9">
        <v>0</v>
      </c>
      <c r="AC121" s="9">
        <v>0</v>
      </c>
      <c r="AD121" s="8"/>
      <c r="AE121" s="8"/>
      <c r="AF121" s="8"/>
      <c r="AG121" s="8"/>
      <c r="AH121" s="9"/>
      <c r="AI121" s="8">
        <v>46216</v>
      </c>
      <c r="AJ121" s="231">
        <v>46229</v>
      </c>
    </row>
    <row r="122" spans="1:36">
      <c r="A122" s="19" t="s">
        <v>3142</v>
      </c>
      <c r="B122" s="10" t="s">
        <v>3143</v>
      </c>
      <c r="C122" s="10" t="s">
        <v>3144</v>
      </c>
      <c r="D122" s="10" t="s">
        <v>3145</v>
      </c>
      <c r="E122" s="10" t="s">
        <v>3146</v>
      </c>
      <c r="F122" s="10" t="s">
        <v>3179</v>
      </c>
      <c r="G122" s="10"/>
      <c r="H122" s="10" t="s">
        <v>669</v>
      </c>
      <c r="I122" s="10" t="s">
        <v>3179</v>
      </c>
      <c r="J122" s="10" t="s">
        <v>3155</v>
      </c>
      <c r="K122" s="10" t="s">
        <v>2220</v>
      </c>
      <c r="L122" s="9" t="s">
        <v>3189</v>
      </c>
      <c r="M122" s="10" t="s">
        <v>15</v>
      </c>
      <c r="N122" s="10" t="s">
        <v>3150</v>
      </c>
      <c r="O122" s="10" t="s">
        <v>3151</v>
      </c>
      <c r="P122" s="8">
        <v>46223</v>
      </c>
      <c r="Q122" s="9" t="s">
        <v>3156</v>
      </c>
      <c r="R122" s="9">
        <v>7</v>
      </c>
      <c r="S122" s="10" t="s">
        <v>3153</v>
      </c>
      <c r="T122" s="10" t="s">
        <v>2352</v>
      </c>
      <c r="U122" s="10" t="s">
        <v>3150</v>
      </c>
      <c r="V122" s="24">
        <v>88.15</v>
      </c>
      <c r="W122" s="24">
        <v>617.04999999999995</v>
      </c>
      <c r="X122" s="24">
        <v>2644.5</v>
      </c>
      <c r="Y122" s="24">
        <v>617.04999999999995</v>
      </c>
      <c r="Z122" s="24">
        <v>617.04999999999995</v>
      </c>
      <c r="AA122" s="9" t="s">
        <v>3154</v>
      </c>
      <c r="AB122" s="9">
        <v>0</v>
      </c>
      <c r="AC122" s="9">
        <v>0</v>
      </c>
      <c r="AD122" s="8"/>
      <c r="AE122" s="8"/>
      <c r="AF122" s="8"/>
      <c r="AG122" s="8"/>
      <c r="AH122" s="9"/>
      <c r="AI122" s="8">
        <v>46216</v>
      </c>
      <c r="AJ122" s="231">
        <v>46229</v>
      </c>
    </row>
    <row r="123" spans="1:36">
      <c r="A123" s="19" t="s">
        <v>3233</v>
      </c>
      <c r="B123" s="10" t="s">
        <v>3143</v>
      </c>
      <c r="C123" s="10" t="s">
        <v>3144</v>
      </c>
      <c r="D123" s="10" t="s">
        <v>3234</v>
      </c>
      <c r="E123" s="10" t="s">
        <v>3146</v>
      </c>
      <c r="F123" s="10" t="s">
        <v>3236</v>
      </c>
      <c r="G123" s="10"/>
      <c r="H123" s="10" t="s">
        <v>685</v>
      </c>
      <c r="I123" s="10" t="s">
        <v>3236</v>
      </c>
      <c r="J123" s="10" t="s">
        <v>3164</v>
      </c>
      <c r="K123" s="10" t="s">
        <v>2228</v>
      </c>
      <c r="L123" s="9" t="s">
        <v>3237</v>
      </c>
      <c r="M123" s="10" t="s">
        <v>15</v>
      </c>
      <c r="N123" s="10" t="s">
        <v>3150</v>
      </c>
      <c r="O123" s="10" t="s">
        <v>3151</v>
      </c>
      <c r="P123" s="8">
        <v>46223</v>
      </c>
      <c r="Q123" s="9" t="s">
        <v>3169</v>
      </c>
      <c r="R123" s="9">
        <v>7</v>
      </c>
      <c r="S123" s="10" t="s">
        <v>3153</v>
      </c>
      <c r="T123" s="10" t="s">
        <v>2352</v>
      </c>
      <c r="U123" s="10" t="s">
        <v>3150</v>
      </c>
      <c r="V123" s="24">
        <v>26.68</v>
      </c>
      <c r="W123" s="24">
        <v>186.76</v>
      </c>
      <c r="X123" s="24">
        <v>800.4</v>
      </c>
      <c r="Y123" s="24">
        <v>186.76</v>
      </c>
      <c r="Z123" s="24">
        <v>186.76</v>
      </c>
      <c r="AA123" s="9" t="s">
        <v>3154</v>
      </c>
      <c r="AB123" s="9">
        <v>0</v>
      </c>
      <c r="AC123" s="9">
        <v>0</v>
      </c>
      <c r="AD123" s="8"/>
      <c r="AE123" s="8"/>
      <c r="AF123" s="8"/>
      <c r="AG123" s="8"/>
      <c r="AH123" s="9"/>
      <c r="AI123" s="8">
        <v>46216</v>
      </c>
      <c r="AJ123" s="231">
        <v>46229</v>
      </c>
    </row>
    <row r="124" spans="1:36">
      <c r="A124" s="19" t="s">
        <v>3233</v>
      </c>
      <c r="B124" s="10" t="s">
        <v>3143</v>
      </c>
      <c r="C124" s="10" t="s">
        <v>3144</v>
      </c>
      <c r="D124" s="10" t="s">
        <v>3234</v>
      </c>
      <c r="E124" s="10" t="s">
        <v>3146</v>
      </c>
      <c r="F124" s="10" t="s">
        <v>3239</v>
      </c>
      <c r="G124" s="10"/>
      <c r="H124" s="10" t="s">
        <v>699</v>
      </c>
      <c r="I124" s="10" t="s">
        <v>3239</v>
      </c>
      <c r="J124" s="10" t="s">
        <v>3155</v>
      </c>
      <c r="K124" s="10" t="s">
        <v>700</v>
      </c>
      <c r="L124" s="9" t="s">
        <v>3269</v>
      </c>
      <c r="M124" s="10" t="s">
        <v>15</v>
      </c>
      <c r="N124" s="10" t="s">
        <v>3150</v>
      </c>
      <c r="O124" s="10" t="s">
        <v>3151</v>
      </c>
      <c r="P124" s="8">
        <v>46223</v>
      </c>
      <c r="Q124" s="9" t="s">
        <v>3156</v>
      </c>
      <c r="R124" s="9">
        <v>7</v>
      </c>
      <c r="S124" s="10" t="s">
        <v>3153</v>
      </c>
      <c r="T124" s="10" t="s">
        <v>2352</v>
      </c>
      <c r="U124" s="10" t="s">
        <v>3150</v>
      </c>
      <c r="V124" s="24">
        <v>18.670000000000002</v>
      </c>
      <c r="W124" s="24">
        <v>130.69</v>
      </c>
      <c r="X124" s="24">
        <v>560.1</v>
      </c>
      <c r="Y124" s="24">
        <v>130.69</v>
      </c>
      <c r="Z124" s="24">
        <v>130.69</v>
      </c>
      <c r="AA124" s="9" t="s">
        <v>3154</v>
      </c>
      <c r="AB124" s="9">
        <v>0</v>
      </c>
      <c r="AC124" s="9">
        <v>0</v>
      </c>
      <c r="AD124" s="8"/>
      <c r="AE124" s="8"/>
      <c r="AF124" s="8"/>
      <c r="AG124" s="8"/>
      <c r="AH124" s="9"/>
      <c r="AI124" s="8">
        <v>46216</v>
      </c>
      <c r="AJ124" s="231">
        <v>46229</v>
      </c>
    </row>
    <row r="125" spans="1:36">
      <c r="A125" s="19" t="s">
        <v>3233</v>
      </c>
      <c r="B125" s="10" t="s">
        <v>3143</v>
      </c>
      <c r="C125" s="10" t="s">
        <v>3144</v>
      </c>
      <c r="D125" s="10" t="s">
        <v>3234</v>
      </c>
      <c r="E125" s="10" t="s">
        <v>3146</v>
      </c>
      <c r="F125" s="10" t="s">
        <v>3239</v>
      </c>
      <c r="G125" s="10"/>
      <c r="H125" s="10" t="s">
        <v>699</v>
      </c>
      <c r="I125" s="10" t="s">
        <v>3239</v>
      </c>
      <c r="J125" s="10" t="s">
        <v>3155</v>
      </c>
      <c r="K125" s="10" t="s">
        <v>700</v>
      </c>
      <c r="L125" s="9" t="s">
        <v>3268</v>
      </c>
      <c r="M125" s="10" t="s">
        <v>15</v>
      </c>
      <c r="N125" s="10" t="s">
        <v>3150</v>
      </c>
      <c r="O125" s="10" t="s">
        <v>3151</v>
      </c>
      <c r="P125" s="8">
        <v>46223</v>
      </c>
      <c r="Q125" s="9" t="s">
        <v>3156</v>
      </c>
      <c r="R125" s="9">
        <v>7</v>
      </c>
      <c r="S125" s="10" t="s">
        <v>3153</v>
      </c>
      <c r="T125" s="10" t="s">
        <v>2352</v>
      </c>
      <c r="U125" s="10" t="s">
        <v>3150</v>
      </c>
      <c r="V125" s="24">
        <v>18.670000000000002</v>
      </c>
      <c r="W125" s="24">
        <v>130.69</v>
      </c>
      <c r="X125" s="24">
        <v>560.1</v>
      </c>
      <c r="Y125" s="24">
        <v>130.69</v>
      </c>
      <c r="Z125" s="24">
        <v>130.69</v>
      </c>
      <c r="AA125" s="9" t="s">
        <v>3154</v>
      </c>
      <c r="AB125" s="9">
        <v>0</v>
      </c>
      <c r="AC125" s="9">
        <v>0</v>
      </c>
      <c r="AD125" s="8"/>
      <c r="AE125" s="8"/>
      <c r="AF125" s="8"/>
      <c r="AG125" s="8"/>
      <c r="AH125" s="9"/>
      <c r="AI125" s="8">
        <v>46216</v>
      </c>
      <c r="AJ125" s="231">
        <v>46229</v>
      </c>
    </row>
    <row r="126" spans="1:36">
      <c r="A126" s="19" t="s">
        <v>3142</v>
      </c>
      <c r="B126" s="10" t="s">
        <v>3143</v>
      </c>
      <c r="C126" s="10" t="s">
        <v>3144</v>
      </c>
      <c r="D126" s="10" t="s">
        <v>3145</v>
      </c>
      <c r="E126" s="10" t="s">
        <v>3146</v>
      </c>
      <c r="F126" s="10" t="s">
        <v>3147</v>
      </c>
      <c r="G126" s="10"/>
      <c r="H126" s="10" t="s">
        <v>662</v>
      </c>
      <c r="I126" s="10" t="s">
        <v>3147</v>
      </c>
      <c r="J126" s="10" t="s">
        <v>3148</v>
      </c>
      <c r="K126" s="10" t="s">
        <v>2185</v>
      </c>
      <c r="L126" s="9" t="s">
        <v>3149</v>
      </c>
      <c r="M126" s="10" t="s">
        <v>15</v>
      </c>
      <c r="N126" s="10" t="s">
        <v>3150</v>
      </c>
      <c r="O126" s="10" t="s">
        <v>3151</v>
      </c>
      <c r="P126" s="8">
        <v>46223</v>
      </c>
      <c r="Q126" s="9" t="s">
        <v>3152</v>
      </c>
      <c r="R126" s="9">
        <v>7</v>
      </c>
      <c r="S126" s="10" t="s">
        <v>3153</v>
      </c>
      <c r="T126" s="10" t="s">
        <v>2352</v>
      </c>
      <c r="U126" s="10" t="s">
        <v>3150</v>
      </c>
      <c r="V126" s="24">
        <v>414.8</v>
      </c>
      <c r="W126" s="24">
        <v>2903.6</v>
      </c>
      <c r="X126" s="24">
        <v>12444</v>
      </c>
      <c r="Y126" s="24">
        <v>2903.6</v>
      </c>
      <c r="Z126" s="24">
        <v>2903.6</v>
      </c>
      <c r="AA126" s="9" t="s">
        <v>3154</v>
      </c>
      <c r="AB126" s="9">
        <v>0</v>
      </c>
      <c r="AC126" s="9">
        <v>0</v>
      </c>
      <c r="AD126" s="8"/>
      <c r="AE126" s="8"/>
      <c r="AF126" s="8"/>
      <c r="AG126" s="8"/>
      <c r="AH126" s="9"/>
      <c r="AI126" s="8">
        <v>46216</v>
      </c>
      <c r="AJ126" s="231">
        <v>46229</v>
      </c>
    </row>
    <row r="127" spans="1:36">
      <c r="A127" s="19" t="s">
        <v>3142</v>
      </c>
      <c r="B127" s="10" t="s">
        <v>3143</v>
      </c>
      <c r="C127" s="10" t="s">
        <v>3144</v>
      </c>
      <c r="D127" s="10" t="s">
        <v>3145</v>
      </c>
      <c r="E127" s="10" t="s">
        <v>3146</v>
      </c>
      <c r="F127" s="10" t="s">
        <v>3147</v>
      </c>
      <c r="G127" s="10"/>
      <c r="H127" s="10" t="s">
        <v>696</v>
      </c>
      <c r="I127" s="10" t="s">
        <v>3147</v>
      </c>
      <c r="J127" s="10" t="s">
        <v>3148</v>
      </c>
      <c r="K127" s="10" t="s">
        <v>692</v>
      </c>
      <c r="L127" s="9" t="s">
        <v>3173</v>
      </c>
      <c r="M127" s="10" t="s">
        <v>15</v>
      </c>
      <c r="N127" s="10" t="s">
        <v>3150</v>
      </c>
      <c r="O127" s="10" t="s">
        <v>3151</v>
      </c>
      <c r="P127" s="8">
        <v>46223</v>
      </c>
      <c r="Q127" s="9" t="s">
        <v>3152</v>
      </c>
      <c r="R127" s="9">
        <v>7</v>
      </c>
      <c r="S127" s="10" t="s">
        <v>3153</v>
      </c>
      <c r="T127" s="10" t="s">
        <v>2352</v>
      </c>
      <c r="U127" s="10" t="s">
        <v>3150</v>
      </c>
      <c r="V127" s="24">
        <v>127</v>
      </c>
      <c r="W127" s="24">
        <v>889</v>
      </c>
      <c r="X127" s="24">
        <v>3810</v>
      </c>
      <c r="Y127" s="24">
        <v>889</v>
      </c>
      <c r="Z127" s="24">
        <v>889</v>
      </c>
      <c r="AA127" s="9" t="s">
        <v>3154</v>
      </c>
      <c r="AB127" s="9">
        <v>0</v>
      </c>
      <c r="AC127" s="9">
        <v>0</v>
      </c>
      <c r="AD127" s="8"/>
      <c r="AE127" s="8"/>
      <c r="AF127" s="8"/>
      <c r="AG127" s="8"/>
      <c r="AH127" s="9"/>
      <c r="AI127" s="8">
        <v>46216</v>
      </c>
      <c r="AJ127" s="231">
        <v>46229</v>
      </c>
    </row>
    <row r="128" spans="1:36">
      <c r="A128" s="19" t="s">
        <v>3142</v>
      </c>
      <c r="B128" s="10" t="s">
        <v>3143</v>
      </c>
      <c r="C128" s="10" t="s">
        <v>3144</v>
      </c>
      <c r="D128" s="10" t="s">
        <v>3145</v>
      </c>
      <c r="E128" s="10" t="s">
        <v>3146</v>
      </c>
      <c r="F128" s="10" t="s">
        <v>3216</v>
      </c>
      <c r="G128" s="10"/>
      <c r="H128" s="10" t="s">
        <v>705</v>
      </c>
      <c r="I128" s="10" t="s">
        <v>3216</v>
      </c>
      <c r="J128" s="10" t="s">
        <v>648</v>
      </c>
      <c r="K128" s="10" t="s">
        <v>154</v>
      </c>
      <c r="L128" s="9" t="s">
        <v>3221</v>
      </c>
      <c r="M128" s="10" t="s">
        <v>15</v>
      </c>
      <c r="N128" s="10" t="s">
        <v>3150</v>
      </c>
      <c r="O128" s="10" t="s">
        <v>3151</v>
      </c>
      <c r="P128" s="8">
        <v>46223</v>
      </c>
      <c r="Q128" s="9" t="s">
        <v>3156</v>
      </c>
      <c r="R128" s="9">
        <v>7</v>
      </c>
      <c r="S128" s="10" t="s">
        <v>3153</v>
      </c>
      <c r="T128" s="10" t="s">
        <v>2352</v>
      </c>
      <c r="U128" s="10" t="s">
        <v>3150</v>
      </c>
      <c r="V128" s="24">
        <v>57.03</v>
      </c>
      <c r="W128" s="24">
        <v>399.21</v>
      </c>
      <c r="X128" s="24">
        <v>1710.9</v>
      </c>
      <c r="Y128" s="24">
        <v>399.21</v>
      </c>
      <c r="Z128" s="24">
        <v>399.21</v>
      </c>
      <c r="AA128" s="9" t="s">
        <v>3154</v>
      </c>
      <c r="AB128" s="9">
        <v>0</v>
      </c>
      <c r="AC128" s="9">
        <v>0</v>
      </c>
      <c r="AD128" s="8"/>
      <c r="AE128" s="8"/>
      <c r="AF128" s="8"/>
      <c r="AG128" s="8"/>
      <c r="AH128" s="9"/>
      <c r="AI128" s="8">
        <v>46216</v>
      </c>
      <c r="AJ128" s="231">
        <v>46229</v>
      </c>
    </row>
    <row r="129" spans="1:36">
      <c r="A129" s="19" t="s">
        <v>3142</v>
      </c>
      <c r="B129" s="10" t="s">
        <v>3143</v>
      </c>
      <c r="C129" s="10" t="s">
        <v>3144</v>
      </c>
      <c r="D129" s="10" t="s">
        <v>3145</v>
      </c>
      <c r="E129" s="10" t="s">
        <v>3146</v>
      </c>
      <c r="F129" s="10" t="s">
        <v>3216</v>
      </c>
      <c r="G129" s="10"/>
      <c r="H129" s="10" t="s">
        <v>676</v>
      </c>
      <c r="I129" s="10" t="s">
        <v>3216</v>
      </c>
      <c r="J129" s="10" t="s">
        <v>648</v>
      </c>
      <c r="K129" s="10" t="s">
        <v>2222</v>
      </c>
      <c r="L129" s="9" t="s">
        <v>3224</v>
      </c>
      <c r="M129" s="10" t="s">
        <v>15</v>
      </c>
      <c r="N129" s="10" t="s">
        <v>3150</v>
      </c>
      <c r="O129" s="10" t="s">
        <v>3151</v>
      </c>
      <c r="P129" s="8">
        <v>46223</v>
      </c>
      <c r="Q129" s="9" t="s">
        <v>3156</v>
      </c>
      <c r="R129" s="9">
        <v>7</v>
      </c>
      <c r="S129" s="10" t="s">
        <v>3153</v>
      </c>
      <c r="T129" s="10" t="s">
        <v>2352</v>
      </c>
      <c r="U129" s="10" t="s">
        <v>3150</v>
      </c>
      <c r="V129" s="24">
        <v>57.03</v>
      </c>
      <c r="W129" s="24">
        <v>399.21</v>
      </c>
      <c r="X129" s="24">
        <v>1710.9</v>
      </c>
      <c r="Y129" s="24">
        <v>399.21</v>
      </c>
      <c r="Z129" s="24">
        <v>399.21</v>
      </c>
      <c r="AA129" s="9" t="s">
        <v>3154</v>
      </c>
      <c r="AB129" s="9">
        <v>0</v>
      </c>
      <c r="AC129" s="9">
        <v>0</v>
      </c>
      <c r="AD129" s="8"/>
      <c r="AE129" s="8"/>
      <c r="AF129" s="8"/>
      <c r="AG129" s="8"/>
      <c r="AH129" s="9"/>
      <c r="AI129" s="8">
        <v>46216</v>
      </c>
      <c r="AJ129" s="231">
        <v>46229</v>
      </c>
    </row>
    <row r="130" spans="1:36">
      <c r="A130" s="19" t="s">
        <v>3142</v>
      </c>
      <c r="B130" s="10" t="s">
        <v>3143</v>
      </c>
      <c r="C130" s="10" t="s">
        <v>3144</v>
      </c>
      <c r="D130" s="10" t="s">
        <v>3145</v>
      </c>
      <c r="E130" s="10" t="s">
        <v>3146</v>
      </c>
      <c r="F130" s="10" t="s">
        <v>3216</v>
      </c>
      <c r="G130" s="10"/>
      <c r="H130" s="10" t="s">
        <v>676</v>
      </c>
      <c r="I130" s="10" t="s">
        <v>3216</v>
      </c>
      <c r="J130" s="10" t="s">
        <v>648</v>
      </c>
      <c r="K130" s="10" t="s">
        <v>2222</v>
      </c>
      <c r="L130" s="9" t="s">
        <v>3223</v>
      </c>
      <c r="M130" s="10" t="s">
        <v>15</v>
      </c>
      <c r="N130" s="10" t="s">
        <v>3150</v>
      </c>
      <c r="O130" s="10" t="s">
        <v>3151</v>
      </c>
      <c r="P130" s="8">
        <v>46223</v>
      </c>
      <c r="Q130" s="9" t="s">
        <v>3156</v>
      </c>
      <c r="R130" s="9">
        <v>7</v>
      </c>
      <c r="S130" s="10" t="s">
        <v>3153</v>
      </c>
      <c r="T130" s="10" t="s">
        <v>2352</v>
      </c>
      <c r="U130" s="10" t="s">
        <v>3150</v>
      </c>
      <c r="V130" s="24">
        <v>57.03</v>
      </c>
      <c r="W130" s="24">
        <v>399.21</v>
      </c>
      <c r="X130" s="24">
        <v>1710.9</v>
      </c>
      <c r="Y130" s="24">
        <v>399.21</v>
      </c>
      <c r="Z130" s="24">
        <v>399.21</v>
      </c>
      <c r="AA130" s="9" t="s">
        <v>3154</v>
      </c>
      <c r="AB130" s="9">
        <v>0</v>
      </c>
      <c r="AC130" s="9">
        <v>0</v>
      </c>
      <c r="AD130" s="8"/>
      <c r="AE130" s="8"/>
      <c r="AF130" s="8"/>
      <c r="AG130" s="8"/>
      <c r="AH130" s="9"/>
      <c r="AI130" s="8">
        <v>46216</v>
      </c>
      <c r="AJ130" s="231">
        <v>46229</v>
      </c>
    </row>
    <row r="131" spans="1:36">
      <c r="A131" s="19" t="s">
        <v>3142</v>
      </c>
      <c r="B131" s="10" t="s">
        <v>3143</v>
      </c>
      <c r="C131" s="10" t="s">
        <v>3144</v>
      </c>
      <c r="D131" s="10" t="s">
        <v>3145</v>
      </c>
      <c r="E131" s="10" t="s">
        <v>3146</v>
      </c>
      <c r="F131" s="10" t="s">
        <v>3166</v>
      </c>
      <c r="G131" s="10"/>
      <c r="H131" s="10" t="s">
        <v>2229</v>
      </c>
      <c r="I131" s="10" t="s">
        <v>3166</v>
      </c>
      <c r="J131" s="10" t="s">
        <v>3167</v>
      </c>
      <c r="K131" s="10" t="s">
        <v>2230</v>
      </c>
      <c r="L131" s="9" t="s">
        <v>3168</v>
      </c>
      <c r="M131" s="10" t="s">
        <v>15</v>
      </c>
      <c r="N131" s="10" t="s">
        <v>3150</v>
      </c>
      <c r="O131" s="10" t="s">
        <v>3151</v>
      </c>
      <c r="P131" s="8">
        <v>46223</v>
      </c>
      <c r="Q131" s="9" t="s">
        <v>3169</v>
      </c>
      <c r="R131" s="9">
        <v>7</v>
      </c>
      <c r="S131" s="10" t="s">
        <v>3153</v>
      </c>
      <c r="T131" s="10" t="s">
        <v>2352</v>
      </c>
      <c r="U131" s="10" t="s">
        <v>3150</v>
      </c>
      <c r="V131" s="24">
        <v>149.5</v>
      </c>
      <c r="W131" s="24">
        <v>1046.5</v>
      </c>
      <c r="X131" s="24">
        <v>4485</v>
      </c>
      <c r="Y131" s="24">
        <v>1046.5</v>
      </c>
      <c r="Z131" s="24">
        <v>1046.5</v>
      </c>
      <c r="AA131" s="9" t="s">
        <v>3154</v>
      </c>
      <c r="AB131" s="9">
        <v>0</v>
      </c>
      <c r="AC131" s="9">
        <v>0</v>
      </c>
      <c r="AD131" s="8"/>
      <c r="AE131" s="8"/>
      <c r="AF131" s="8"/>
      <c r="AG131" s="8"/>
      <c r="AH131" s="9"/>
      <c r="AI131" s="8">
        <v>46216</v>
      </c>
      <c r="AJ131" s="231">
        <v>46229</v>
      </c>
    </row>
    <row r="132" spans="1:36">
      <c r="A132" s="19" t="s">
        <v>3233</v>
      </c>
      <c r="B132" s="10" t="s">
        <v>3143</v>
      </c>
      <c r="C132" s="10" t="s">
        <v>3144</v>
      </c>
      <c r="D132" s="10" t="s">
        <v>3234</v>
      </c>
      <c r="E132" s="10" t="s">
        <v>3146</v>
      </c>
      <c r="F132" s="10" t="s">
        <v>3200</v>
      </c>
      <c r="G132" s="10"/>
      <c r="H132" s="10" t="s">
        <v>684</v>
      </c>
      <c r="I132" s="10" t="s">
        <v>3200</v>
      </c>
      <c r="J132" s="10" t="s">
        <v>3201</v>
      </c>
      <c r="K132" s="10" t="s">
        <v>156</v>
      </c>
      <c r="L132" s="9" t="s">
        <v>3235</v>
      </c>
      <c r="M132" s="10" t="s">
        <v>15</v>
      </c>
      <c r="N132" s="10" t="s">
        <v>3150</v>
      </c>
      <c r="O132" s="10" t="s">
        <v>3151</v>
      </c>
      <c r="P132" s="8">
        <v>46223</v>
      </c>
      <c r="Q132" s="9" t="s">
        <v>3169</v>
      </c>
      <c r="R132" s="9">
        <v>7</v>
      </c>
      <c r="S132" s="10" t="s">
        <v>3153</v>
      </c>
      <c r="T132" s="10" t="s">
        <v>2352</v>
      </c>
      <c r="U132" s="10" t="s">
        <v>3150</v>
      </c>
      <c r="V132" s="24">
        <v>31.11</v>
      </c>
      <c r="W132" s="24">
        <v>217.77</v>
      </c>
      <c r="X132" s="24">
        <v>933.3</v>
      </c>
      <c r="Y132" s="24">
        <v>217.77</v>
      </c>
      <c r="Z132" s="24">
        <v>217.77</v>
      </c>
      <c r="AA132" s="9" t="s">
        <v>3154</v>
      </c>
      <c r="AB132" s="9">
        <v>0</v>
      </c>
      <c r="AC132" s="9">
        <v>0</v>
      </c>
      <c r="AD132" s="8"/>
      <c r="AE132" s="8"/>
      <c r="AF132" s="8"/>
      <c r="AG132" s="8"/>
      <c r="AH132" s="9"/>
      <c r="AI132" s="8">
        <v>46216</v>
      </c>
      <c r="AJ132" s="231">
        <v>46229</v>
      </c>
    </row>
    <row r="133" spans="1:36">
      <c r="A133" s="19" t="s">
        <v>3142</v>
      </c>
      <c r="B133" s="10" t="s">
        <v>3143</v>
      </c>
      <c r="C133" s="10" t="s">
        <v>3144</v>
      </c>
      <c r="D133" s="10" t="s">
        <v>3145</v>
      </c>
      <c r="E133" s="10" t="s">
        <v>3146</v>
      </c>
      <c r="F133" s="10" t="s">
        <v>3170</v>
      </c>
      <c r="G133" s="10"/>
      <c r="H133" s="10" t="s">
        <v>677</v>
      </c>
      <c r="I133" s="10" t="s">
        <v>3170</v>
      </c>
      <c r="J133" s="10" t="s">
        <v>3164</v>
      </c>
      <c r="K133" s="10" t="s">
        <v>2211</v>
      </c>
      <c r="L133" s="9" t="s">
        <v>3207</v>
      </c>
      <c r="M133" s="10" t="s">
        <v>15</v>
      </c>
      <c r="N133" s="10" t="s">
        <v>3150</v>
      </c>
      <c r="O133" s="10" t="s">
        <v>3151</v>
      </c>
      <c r="P133" s="8">
        <v>46223</v>
      </c>
      <c r="Q133" s="9" t="s">
        <v>3156</v>
      </c>
      <c r="R133" s="9">
        <v>7</v>
      </c>
      <c r="S133" s="10" t="s">
        <v>3153</v>
      </c>
      <c r="T133" s="10" t="s">
        <v>2352</v>
      </c>
      <c r="U133" s="10" t="s">
        <v>3150</v>
      </c>
      <c r="V133" s="24">
        <v>62</v>
      </c>
      <c r="W133" s="24">
        <v>434</v>
      </c>
      <c r="X133" s="24">
        <v>1860</v>
      </c>
      <c r="Y133" s="24">
        <v>434</v>
      </c>
      <c r="Z133" s="24">
        <v>434</v>
      </c>
      <c r="AA133" s="9" t="s">
        <v>3154</v>
      </c>
      <c r="AB133" s="9">
        <v>0</v>
      </c>
      <c r="AC133" s="9">
        <v>0</v>
      </c>
      <c r="AD133" s="8"/>
      <c r="AE133" s="8"/>
      <c r="AF133" s="8"/>
      <c r="AG133" s="8"/>
      <c r="AH133" s="9"/>
      <c r="AI133" s="8">
        <v>46216</v>
      </c>
      <c r="AJ133" s="231">
        <v>46229</v>
      </c>
    </row>
    <row r="134" spans="1:36">
      <c r="A134" s="19" t="s">
        <v>3142</v>
      </c>
      <c r="B134" s="10" t="s">
        <v>3143</v>
      </c>
      <c r="C134" s="10" t="s">
        <v>3144</v>
      </c>
      <c r="D134" s="10" t="s">
        <v>3145</v>
      </c>
      <c r="E134" s="10" t="s">
        <v>3146</v>
      </c>
      <c r="F134" s="10" t="s">
        <v>3170</v>
      </c>
      <c r="G134" s="10"/>
      <c r="H134" s="10" t="s">
        <v>677</v>
      </c>
      <c r="I134" s="10" t="s">
        <v>3170</v>
      </c>
      <c r="J134" s="10" t="s">
        <v>3164</v>
      </c>
      <c r="K134" s="10" t="s">
        <v>2211</v>
      </c>
      <c r="L134" s="9" t="s">
        <v>3206</v>
      </c>
      <c r="M134" s="10" t="s">
        <v>15</v>
      </c>
      <c r="N134" s="10" t="s">
        <v>3150</v>
      </c>
      <c r="O134" s="10" t="s">
        <v>3151</v>
      </c>
      <c r="P134" s="8">
        <v>46223</v>
      </c>
      <c r="Q134" s="9" t="s">
        <v>3156</v>
      </c>
      <c r="R134" s="9">
        <v>7</v>
      </c>
      <c r="S134" s="10" t="s">
        <v>3153</v>
      </c>
      <c r="T134" s="10" t="s">
        <v>2352</v>
      </c>
      <c r="U134" s="10" t="s">
        <v>3150</v>
      </c>
      <c r="V134" s="24">
        <v>62</v>
      </c>
      <c r="W134" s="24">
        <v>434</v>
      </c>
      <c r="X134" s="24">
        <v>1860</v>
      </c>
      <c r="Y134" s="24">
        <v>434</v>
      </c>
      <c r="Z134" s="24">
        <v>434</v>
      </c>
      <c r="AA134" s="9" t="s">
        <v>3154</v>
      </c>
      <c r="AB134" s="9">
        <v>0</v>
      </c>
      <c r="AC134" s="9">
        <v>0</v>
      </c>
      <c r="AD134" s="8"/>
      <c r="AE134" s="8"/>
      <c r="AF134" s="8"/>
      <c r="AG134" s="8"/>
      <c r="AH134" s="9"/>
      <c r="AI134" s="8">
        <v>46216</v>
      </c>
      <c r="AJ134" s="231">
        <v>46229</v>
      </c>
    </row>
    <row r="135" spans="1:36">
      <c r="A135" s="19" t="s">
        <v>3142</v>
      </c>
      <c r="B135" s="10" t="s">
        <v>3143</v>
      </c>
      <c r="C135" s="10" t="s">
        <v>3144</v>
      </c>
      <c r="D135" s="10" t="s">
        <v>3145</v>
      </c>
      <c r="E135" s="10" t="s">
        <v>3146</v>
      </c>
      <c r="F135" s="10" t="s">
        <v>3170</v>
      </c>
      <c r="G135" s="10"/>
      <c r="H135" s="10" t="s">
        <v>677</v>
      </c>
      <c r="I135" s="10" t="s">
        <v>3170</v>
      </c>
      <c r="J135" s="10" t="s">
        <v>3164</v>
      </c>
      <c r="K135" s="10" t="s">
        <v>2211</v>
      </c>
      <c r="L135" s="9" t="s">
        <v>3209</v>
      </c>
      <c r="M135" s="10" t="s">
        <v>15</v>
      </c>
      <c r="N135" s="10" t="s">
        <v>3150</v>
      </c>
      <c r="O135" s="10" t="s">
        <v>3151</v>
      </c>
      <c r="P135" s="8">
        <v>46223</v>
      </c>
      <c r="Q135" s="9" t="s">
        <v>3156</v>
      </c>
      <c r="R135" s="9">
        <v>7</v>
      </c>
      <c r="S135" s="10" t="s">
        <v>3153</v>
      </c>
      <c r="T135" s="10" t="s">
        <v>2352</v>
      </c>
      <c r="U135" s="10" t="s">
        <v>3150</v>
      </c>
      <c r="V135" s="24">
        <v>62</v>
      </c>
      <c r="W135" s="24">
        <v>434</v>
      </c>
      <c r="X135" s="24">
        <v>1860</v>
      </c>
      <c r="Y135" s="24">
        <v>434</v>
      </c>
      <c r="Z135" s="24">
        <v>434</v>
      </c>
      <c r="AA135" s="9" t="s">
        <v>3154</v>
      </c>
      <c r="AB135" s="9">
        <v>0</v>
      </c>
      <c r="AC135" s="9">
        <v>0</v>
      </c>
      <c r="AD135" s="8"/>
      <c r="AE135" s="8"/>
      <c r="AF135" s="8"/>
      <c r="AG135" s="8"/>
      <c r="AH135" s="9"/>
      <c r="AI135" s="8">
        <v>46216</v>
      </c>
      <c r="AJ135" s="231">
        <v>46229</v>
      </c>
    </row>
    <row r="136" spans="1:36" hidden="1">
      <c r="A136" s="19" t="s">
        <v>3233</v>
      </c>
      <c r="B136" s="10" t="s">
        <v>3143</v>
      </c>
      <c r="C136" s="10" t="s">
        <v>3144</v>
      </c>
      <c r="D136" s="10" t="s">
        <v>3234</v>
      </c>
      <c r="E136" s="10" t="s">
        <v>3146</v>
      </c>
      <c r="F136" s="10" t="s">
        <v>2923</v>
      </c>
      <c r="G136" s="10" t="s">
        <v>2719</v>
      </c>
      <c r="H136" s="10" t="s">
        <v>706</v>
      </c>
      <c r="I136" s="10" t="s">
        <v>3373</v>
      </c>
      <c r="J136" s="10" t="s">
        <v>3374</v>
      </c>
      <c r="K136" s="10" t="s">
        <v>151</v>
      </c>
      <c r="L136" s="9" t="s">
        <v>3405</v>
      </c>
      <c r="M136" s="10" t="s">
        <v>15</v>
      </c>
      <c r="N136" s="10" t="s">
        <v>3150</v>
      </c>
      <c r="O136" s="10" t="s">
        <v>3151</v>
      </c>
      <c r="P136" s="8">
        <v>46223</v>
      </c>
      <c r="Q136" s="9" t="s">
        <v>3376</v>
      </c>
      <c r="R136" s="9">
        <v>7</v>
      </c>
      <c r="S136" s="10" t="s">
        <v>3153</v>
      </c>
      <c r="T136" s="10" t="s">
        <v>2255</v>
      </c>
      <c r="U136" s="10" t="s">
        <v>3150</v>
      </c>
      <c r="V136" s="24">
        <v>1.04</v>
      </c>
      <c r="W136" s="24">
        <v>7.28</v>
      </c>
      <c r="X136" s="24">
        <v>31.2</v>
      </c>
      <c r="Y136" s="24">
        <v>7.28</v>
      </c>
      <c r="Z136" s="24">
        <v>7.28</v>
      </c>
      <c r="AA136" s="9" t="s">
        <v>3154</v>
      </c>
      <c r="AB136" s="9">
        <v>0</v>
      </c>
      <c r="AC136" s="9">
        <v>0</v>
      </c>
      <c r="AD136" s="8"/>
      <c r="AE136" s="8"/>
      <c r="AF136" s="8"/>
      <c r="AG136" s="8"/>
      <c r="AH136" s="9"/>
      <c r="AI136" s="8">
        <v>46216</v>
      </c>
      <c r="AJ136" s="231">
        <v>46229</v>
      </c>
    </row>
    <row r="137" spans="1:36" hidden="1">
      <c r="A137" s="19" t="s">
        <v>3233</v>
      </c>
      <c r="B137" s="10" t="s">
        <v>3143</v>
      </c>
      <c r="C137" s="10" t="s">
        <v>3144</v>
      </c>
      <c r="D137" s="10" t="s">
        <v>3234</v>
      </c>
      <c r="E137" s="10" t="s">
        <v>3146</v>
      </c>
      <c r="F137" s="10" t="s">
        <v>2923</v>
      </c>
      <c r="G137" s="10" t="s">
        <v>2719</v>
      </c>
      <c r="H137" s="10" t="s">
        <v>706</v>
      </c>
      <c r="I137" s="10" t="s">
        <v>3373</v>
      </c>
      <c r="J137" s="10" t="s">
        <v>3374</v>
      </c>
      <c r="K137" s="10" t="s">
        <v>151</v>
      </c>
      <c r="L137" s="9" t="s">
        <v>3384</v>
      </c>
      <c r="M137" s="10" t="s">
        <v>15</v>
      </c>
      <c r="N137" s="10" t="s">
        <v>3150</v>
      </c>
      <c r="O137" s="10" t="s">
        <v>3151</v>
      </c>
      <c r="P137" s="8">
        <v>46223</v>
      </c>
      <c r="Q137" s="9" t="s">
        <v>3376</v>
      </c>
      <c r="R137" s="9">
        <v>7</v>
      </c>
      <c r="S137" s="10" t="s">
        <v>3153</v>
      </c>
      <c r="T137" s="10" t="s">
        <v>2255</v>
      </c>
      <c r="U137" s="10" t="s">
        <v>3150</v>
      </c>
      <c r="V137" s="24">
        <v>1.04</v>
      </c>
      <c r="W137" s="24">
        <v>7.28</v>
      </c>
      <c r="X137" s="24">
        <v>31.2</v>
      </c>
      <c r="Y137" s="24">
        <v>7.28</v>
      </c>
      <c r="Z137" s="24">
        <v>7.28</v>
      </c>
      <c r="AA137" s="9" t="s">
        <v>3154</v>
      </c>
      <c r="AB137" s="9">
        <v>0</v>
      </c>
      <c r="AC137" s="9">
        <v>0</v>
      </c>
      <c r="AD137" s="8"/>
      <c r="AE137" s="8"/>
      <c r="AF137" s="8"/>
      <c r="AG137" s="8"/>
      <c r="AH137" s="9"/>
      <c r="AI137" s="8">
        <v>46216</v>
      </c>
      <c r="AJ137" s="231">
        <v>46229</v>
      </c>
    </row>
    <row r="138" spans="1:36" hidden="1">
      <c r="A138" s="19" t="s">
        <v>3233</v>
      </c>
      <c r="B138" s="10" t="s">
        <v>3143</v>
      </c>
      <c r="C138" s="10" t="s">
        <v>3144</v>
      </c>
      <c r="D138" s="10" t="s">
        <v>3234</v>
      </c>
      <c r="E138" s="10" t="s">
        <v>3146</v>
      </c>
      <c r="F138" s="10" t="s">
        <v>2923</v>
      </c>
      <c r="G138" s="10" t="s">
        <v>2719</v>
      </c>
      <c r="H138" s="10" t="s">
        <v>706</v>
      </c>
      <c r="I138" s="10" t="s">
        <v>3373</v>
      </c>
      <c r="J138" s="10" t="s">
        <v>3374</v>
      </c>
      <c r="K138" s="10" t="s">
        <v>151</v>
      </c>
      <c r="L138" s="9" t="s">
        <v>3406</v>
      </c>
      <c r="M138" s="10" t="s">
        <v>15</v>
      </c>
      <c r="N138" s="10" t="s">
        <v>3150</v>
      </c>
      <c r="O138" s="10" t="s">
        <v>3151</v>
      </c>
      <c r="P138" s="8">
        <v>46223</v>
      </c>
      <c r="Q138" s="9" t="s">
        <v>3376</v>
      </c>
      <c r="R138" s="9">
        <v>7</v>
      </c>
      <c r="S138" s="10" t="s">
        <v>3153</v>
      </c>
      <c r="T138" s="10" t="s">
        <v>2255</v>
      </c>
      <c r="U138" s="10" t="s">
        <v>3150</v>
      </c>
      <c r="V138" s="24">
        <v>1.04</v>
      </c>
      <c r="W138" s="24">
        <v>7.28</v>
      </c>
      <c r="X138" s="24">
        <v>31.2</v>
      </c>
      <c r="Y138" s="24">
        <v>7.28</v>
      </c>
      <c r="Z138" s="24">
        <v>7.28</v>
      </c>
      <c r="AA138" s="9" t="s">
        <v>3154</v>
      </c>
      <c r="AB138" s="9">
        <v>0</v>
      </c>
      <c r="AC138" s="9">
        <v>0</v>
      </c>
      <c r="AD138" s="8"/>
      <c r="AE138" s="8"/>
      <c r="AF138" s="8"/>
      <c r="AG138" s="8"/>
      <c r="AH138" s="9"/>
      <c r="AI138" s="8">
        <v>46216</v>
      </c>
      <c r="AJ138" s="231">
        <v>46229</v>
      </c>
    </row>
    <row r="139" spans="1:36" hidden="1">
      <c r="A139" s="19" t="s">
        <v>3233</v>
      </c>
      <c r="B139" s="10" t="s">
        <v>3143</v>
      </c>
      <c r="C139" s="10" t="s">
        <v>3144</v>
      </c>
      <c r="D139" s="10" t="s">
        <v>3234</v>
      </c>
      <c r="E139" s="10" t="s">
        <v>3146</v>
      </c>
      <c r="F139" s="10" t="s">
        <v>2923</v>
      </c>
      <c r="G139" s="10" t="s">
        <v>2719</v>
      </c>
      <c r="H139" s="10" t="s">
        <v>706</v>
      </c>
      <c r="I139" s="10" t="s">
        <v>3373</v>
      </c>
      <c r="J139" s="10" t="s">
        <v>3374</v>
      </c>
      <c r="K139" s="10" t="s">
        <v>151</v>
      </c>
      <c r="L139" s="9" t="s">
        <v>3425</v>
      </c>
      <c r="M139" s="10" t="s">
        <v>15</v>
      </c>
      <c r="N139" s="10" t="s">
        <v>3150</v>
      </c>
      <c r="O139" s="10" t="s">
        <v>3151</v>
      </c>
      <c r="P139" s="8">
        <v>46223</v>
      </c>
      <c r="Q139" s="9" t="s">
        <v>3376</v>
      </c>
      <c r="R139" s="9">
        <v>7</v>
      </c>
      <c r="S139" s="10" t="s">
        <v>3153</v>
      </c>
      <c r="T139" s="10" t="s">
        <v>2255</v>
      </c>
      <c r="U139" s="10" t="s">
        <v>3150</v>
      </c>
      <c r="V139" s="24">
        <v>1.04</v>
      </c>
      <c r="W139" s="24">
        <v>7.28</v>
      </c>
      <c r="X139" s="24">
        <v>31.2</v>
      </c>
      <c r="Y139" s="24">
        <v>7.28</v>
      </c>
      <c r="Z139" s="24">
        <v>7.28</v>
      </c>
      <c r="AA139" s="9" t="s">
        <v>3154</v>
      </c>
      <c r="AB139" s="9">
        <v>0</v>
      </c>
      <c r="AC139" s="9">
        <v>0</v>
      </c>
      <c r="AD139" s="8"/>
      <c r="AE139" s="8"/>
      <c r="AF139" s="8"/>
      <c r="AG139" s="8"/>
      <c r="AH139" s="9"/>
      <c r="AI139" s="8">
        <v>46216</v>
      </c>
      <c r="AJ139" s="231">
        <v>46229</v>
      </c>
    </row>
    <row r="140" spans="1:36" hidden="1">
      <c r="A140" s="19" t="s">
        <v>3233</v>
      </c>
      <c r="B140" s="10" t="s">
        <v>3143</v>
      </c>
      <c r="C140" s="10" t="s">
        <v>3144</v>
      </c>
      <c r="D140" s="10" t="s">
        <v>3234</v>
      </c>
      <c r="E140" s="10" t="s">
        <v>3146</v>
      </c>
      <c r="F140" s="10" t="s">
        <v>2923</v>
      </c>
      <c r="G140" s="10" t="s">
        <v>2719</v>
      </c>
      <c r="H140" s="10" t="s">
        <v>706</v>
      </c>
      <c r="I140" s="10" t="s">
        <v>3373</v>
      </c>
      <c r="J140" s="10" t="s">
        <v>3374</v>
      </c>
      <c r="K140" s="10" t="s">
        <v>151</v>
      </c>
      <c r="L140" s="9" t="s">
        <v>3426</v>
      </c>
      <c r="M140" s="10" t="s">
        <v>15</v>
      </c>
      <c r="N140" s="10" t="s">
        <v>3150</v>
      </c>
      <c r="O140" s="10" t="s">
        <v>3151</v>
      </c>
      <c r="P140" s="8">
        <v>46223</v>
      </c>
      <c r="Q140" s="9" t="s">
        <v>3376</v>
      </c>
      <c r="R140" s="9">
        <v>7</v>
      </c>
      <c r="S140" s="10" t="s">
        <v>3153</v>
      </c>
      <c r="T140" s="10" t="s">
        <v>2255</v>
      </c>
      <c r="U140" s="10" t="s">
        <v>3150</v>
      </c>
      <c r="V140" s="24">
        <v>1.04</v>
      </c>
      <c r="W140" s="24">
        <v>7.28</v>
      </c>
      <c r="X140" s="24">
        <v>31.2</v>
      </c>
      <c r="Y140" s="24">
        <v>7.28</v>
      </c>
      <c r="Z140" s="24">
        <v>7.28</v>
      </c>
      <c r="AA140" s="9" t="s">
        <v>3154</v>
      </c>
      <c r="AB140" s="9">
        <v>0</v>
      </c>
      <c r="AC140" s="9">
        <v>0</v>
      </c>
      <c r="AD140" s="8"/>
      <c r="AE140" s="8"/>
      <c r="AF140" s="8"/>
      <c r="AG140" s="8"/>
      <c r="AH140" s="9"/>
      <c r="AI140" s="8">
        <v>46216</v>
      </c>
      <c r="AJ140" s="231">
        <v>46229</v>
      </c>
    </row>
    <row r="141" spans="1:36" hidden="1">
      <c r="A141" s="19" t="s">
        <v>3233</v>
      </c>
      <c r="B141" s="10" t="s">
        <v>3143</v>
      </c>
      <c r="C141" s="10" t="s">
        <v>3144</v>
      </c>
      <c r="D141" s="10" t="s">
        <v>3234</v>
      </c>
      <c r="E141" s="10" t="s">
        <v>3146</v>
      </c>
      <c r="F141" s="10" t="s">
        <v>2923</v>
      </c>
      <c r="G141" s="10" t="s">
        <v>2719</v>
      </c>
      <c r="H141" s="10" t="s">
        <v>706</v>
      </c>
      <c r="I141" s="10" t="s">
        <v>3373</v>
      </c>
      <c r="J141" s="10" t="s">
        <v>3374</v>
      </c>
      <c r="K141" s="10" t="s">
        <v>151</v>
      </c>
      <c r="L141" s="9" t="s">
        <v>3427</v>
      </c>
      <c r="M141" s="10" t="s">
        <v>15</v>
      </c>
      <c r="N141" s="10" t="s">
        <v>3150</v>
      </c>
      <c r="O141" s="10" t="s">
        <v>3151</v>
      </c>
      <c r="P141" s="8">
        <v>46223</v>
      </c>
      <c r="Q141" s="9" t="s">
        <v>3376</v>
      </c>
      <c r="R141" s="9">
        <v>7</v>
      </c>
      <c r="S141" s="10" t="s">
        <v>3153</v>
      </c>
      <c r="T141" s="10" t="s">
        <v>2255</v>
      </c>
      <c r="U141" s="10" t="s">
        <v>3150</v>
      </c>
      <c r="V141" s="24">
        <v>1.04</v>
      </c>
      <c r="W141" s="24">
        <v>7.28</v>
      </c>
      <c r="X141" s="24">
        <v>31.2</v>
      </c>
      <c r="Y141" s="24">
        <v>7.28</v>
      </c>
      <c r="Z141" s="24">
        <v>7.28</v>
      </c>
      <c r="AA141" s="9" t="s">
        <v>3154</v>
      </c>
      <c r="AB141" s="9">
        <v>0</v>
      </c>
      <c r="AC141" s="9">
        <v>0</v>
      </c>
      <c r="AD141" s="8"/>
      <c r="AE141" s="8"/>
      <c r="AF141" s="8"/>
      <c r="AG141" s="8"/>
      <c r="AH141" s="9"/>
      <c r="AI141" s="8">
        <v>46216</v>
      </c>
      <c r="AJ141" s="231">
        <v>46229</v>
      </c>
    </row>
    <row r="142" spans="1:36" hidden="1">
      <c r="A142" s="19" t="s">
        <v>3233</v>
      </c>
      <c r="B142" s="10" t="s">
        <v>3143</v>
      </c>
      <c r="C142" s="10" t="s">
        <v>3144</v>
      </c>
      <c r="D142" s="10" t="s">
        <v>3234</v>
      </c>
      <c r="E142" s="10" t="s">
        <v>3146</v>
      </c>
      <c r="F142" s="10" t="s">
        <v>2923</v>
      </c>
      <c r="G142" s="10" t="s">
        <v>2719</v>
      </c>
      <c r="H142" s="10" t="s">
        <v>706</v>
      </c>
      <c r="I142" s="10" t="s">
        <v>3373</v>
      </c>
      <c r="J142" s="10" t="s">
        <v>3374</v>
      </c>
      <c r="K142" s="10" t="s">
        <v>151</v>
      </c>
      <c r="L142" s="9" t="s">
        <v>3428</v>
      </c>
      <c r="M142" s="10" t="s">
        <v>15</v>
      </c>
      <c r="N142" s="10" t="s">
        <v>3150</v>
      </c>
      <c r="O142" s="10" t="s">
        <v>3151</v>
      </c>
      <c r="P142" s="8">
        <v>46223</v>
      </c>
      <c r="Q142" s="9" t="s">
        <v>3376</v>
      </c>
      <c r="R142" s="9">
        <v>7</v>
      </c>
      <c r="S142" s="10" t="s">
        <v>3153</v>
      </c>
      <c r="T142" s="10" t="s">
        <v>2255</v>
      </c>
      <c r="U142" s="10" t="s">
        <v>3150</v>
      </c>
      <c r="V142" s="24">
        <v>1.04</v>
      </c>
      <c r="W142" s="24">
        <v>7.28</v>
      </c>
      <c r="X142" s="24">
        <v>31.2</v>
      </c>
      <c r="Y142" s="24">
        <v>7.28</v>
      </c>
      <c r="Z142" s="24">
        <v>7.28</v>
      </c>
      <c r="AA142" s="9" t="s">
        <v>3154</v>
      </c>
      <c r="AB142" s="9">
        <v>0</v>
      </c>
      <c r="AC142" s="9">
        <v>0</v>
      </c>
      <c r="AD142" s="8"/>
      <c r="AE142" s="8"/>
      <c r="AF142" s="8"/>
      <c r="AG142" s="8"/>
      <c r="AH142" s="9"/>
      <c r="AI142" s="8">
        <v>46216</v>
      </c>
      <c r="AJ142" s="231">
        <v>46229</v>
      </c>
    </row>
    <row r="143" spans="1:36" hidden="1">
      <c r="A143" s="19" t="s">
        <v>3233</v>
      </c>
      <c r="B143" s="10" t="s">
        <v>3143</v>
      </c>
      <c r="C143" s="10" t="s">
        <v>3144</v>
      </c>
      <c r="D143" s="10" t="s">
        <v>3234</v>
      </c>
      <c r="E143" s="10" t="s">
        <v>3146</v>
      </c>
      <c r="F143" s="10" t="s">
        <v>2923</v>
      </c>
      <c r="G143" s="10" t="s">
        <v>2719</v>
      </c>
      <c r="H143" s="10" t="s">
        <v>706</v>
      </c>
      <c r="I143" s="10" t="s">
        <v>3373</v>
      </c>
      <c r="J143" s="10" t="s">
        <v>3374</v>
      </c>
      <c r="K143" s="10" t="s">
        <v>151</v>
      </c>
      <c r="L143" s="9" t="s">
        <v>3429</v>
      </c>
      <c r="M143" s="10" t="s">
        <v>15</v>
      </c>
      <c r="N143" s="10" t="s">
        <v>3150</v>
      </c>
      <c r="O143" s="10" t="s">
        <v>3151</v>
      </c>
      <c r="P143" s="8">
        <v>46223</v>
      </c>
      <c r="Q143" s="9" t="s">
        <v>3376</v>
      </c>
      <c r="R143" s="9">
        <v>7</v>
      </c>
      <c r="S143" s="10" t="s">
        <v>3153</v>
      </c>
      <c r="T143" s="10" t="s">
        <v>2255</v>
      </c>
      <c r="U143" s="10" t="s">
        <v>3150</v>
      </c>
      <c r="V143" s="24">
        <v>1.04</v>
      </c>
      <c r="W143" s="24">
        <v>7.28</v>
      </c>
      <c r="X143" s="24">
        <v>31.2</v>
      </c>
      <c r="Y143" s="24">
        <v>7.28</v>
      </c>
      <c r="Z143" s="24">
        <v>7.28</v>
      </c>
      <c r="AA143" s="9" t="s">
        <v>3154</v>
      </c>
      <c r="AB143" s="9">
        <v>0</v>
      </c>
      <c r="AC143" s="9">
        <v>0</v>
      </c>
      <c r="AD143" s="8"/>
      <c r="AE143" s="8"/>
      <c r="AF143" s="8"/>
      <c r="AG143" s="8"/>
      <c r="AH143" s="9"/>
      <c r="AI143" s="8">
        <v>46216</v>
      </c>
      <c r="AJ143" s="231">
        <v>46229</v>
      </c>
    </row>
    <row r="144" spans="1:36" hidden="1">
      <c r="A144" s="19" t="s">
        <v>3233</v>
      </c>
      <c r="B144" s="10" t="s">
        <v>3143</v>
      </c>
      <c r="C144" s="10" t="s">
        <v>3144</v>
      </c>
      <c r="D144" s="10" t="s">
        <v>3234</v>
      </c>
      <c r="E144" s="10" t="s">
        <v>3146</v>
      </c>
      <c r="F144" s="10" t="s">
        <v>2923</v>
      </c>
      <c r="G144" s="10" t="s">
        <v>2719</v>
      </c>
      <c r="H144" s="10" t="s">
        <v>706</v>
      </c>
      <c r="I144" s="10" t="s">
        <v>3373</v>
      </c>
      <c r="J144" s="10" t="s">
        <v>3374</v>
      </c>
      <c r="K144" s="10" t="s">
        <v>151</v>
      </c>
      <c r="L144" s="9" t="s">
        <v>3443</v>
      </c>
      <c r="M144" s="10" t="s">
        <v>15</v>
      </c>
      <c r="N144" s="10" t="s">
        <v>3150</v>
      </c>
      <c r="O144" s="10" t="s">
        <v>3151</v>
      </c>
      <c r="P144" s="8">
        <v>46223</v>
      </c>
      <c r="Q144" s="9" t="s">
        <v>3376</v>
      </c>
      <c r="R144" s="9">
        <v>7</v>
      </c>
      <c r="S144" s="10" t="s">
        <v>3153</v>
      </c>
      <c r="T144" s="10" t="s">
        <v>2255</v>
      </c>
      <c r="U144" s="10" t="s">
        <v>3150</v>
      </c>
      <c r="V144" s="24">
        <v>1.04</v>
      </c>
      <c r="W144" s="24">
        <v>7.28</v>
      </c>
      <c r="X144" s="24">
        <v>31.2</v>
      </c>
      <c r="Y144" s="24">
        <v>7.28</v>
      </c>
      <c r="Z144" s="24">
        <v>7.28</v>
      </c>
      <c r="AA144" s="9" t="s">
        <v>3154</v>
      </c>
      <c r="AB144" s="9">
        <v>0</v>
      </c>
      <c r="AC144" s="9">
        <v>0</v>
      </c>
      <c r="AD144" s="8"/>
      <c r="AE144" s="8"/>
      <c r="AF144" s="8"/>
      <c r="AG144" s="8"/>
      <c r="AH144" s="9"/>
      <c r="AI144" s="8">
        <v>46216</v>
      </c>
      <c r="AJ144" s="231">
        <v>46229</v>
      </c>
    </row>
    <row r="145" spans="1:36" hidden="1">
      <c r="A145" s="19" t="s">
        <v>3233</v>
      </c>
      <c r="B145" s="10" t="s">
        <v>3143</v>
      </c>
      <c r="C145" s="10" t="s">
        <v>3144</v>
      </c>
      <c r="D145" s="10" t="s">
        <v>3234</v>
      </c>
      <c r="E145" s="10" t="s">
        <v>3146</v>
      </c>
      <c r="F145" s="10" t="s">
        <v>2923</v>
      </c>
      <c r="G145" s="10" t="s">
        <v>2719</v>
      </c>
      <c r="H145" s="10" t="s">
        <v>706</v>
      </c>
      <c r="I145" s="10" t="s">
        <v>3373</v>
      </c>
      <c r="J145" s="10" t="s">
        <v>3374</v>
      </c>
      <c r="K145" s="10" t="s">
        <v>151</v>
      </c>
      <c r="L145" s="9" t="s">
        <v>3442</v>
      </c>
      <c r="M145" s="10" t="s">
        <v>15</v>
      </c>
      <c r="N145" s="10" t="s">
        <v>3150</v>
      </c>
      <c r="O145" s="10" t="s">
        <v>3151</v>
      </c>
      <c r="P145" s="8">
        <v>46223</v>
      </c>
      <c r="Q145" s="9" t="s">
        <v>3376</v>
      </c>
      <c r="R145" s="9">
        <v>7</v>
      </c>
      <c r="S145" s="10" t="s">
        <v>3153</v>
      </c>
      <c r="T145" s="10" t="s">
        <v>2255</v>
      </c>
      <c r="U145" s="10" t="s">
        <v>3150</v>
      </c>
      <c r="V145" s="24">
        <v>1.04</v>
      </c>
      <c r="W145" s="24">
        <v>7.28</v>
      </c>
      <c r="X145" s="24">
        <v>31.2</v>
      </c>
      <c r="Y145" s="24">
        <v>7.28</v>
      </c>
      <c r="Z145" s="24">
        <v>7.28</v>
      </c>
      <c r="AA145" s="9" t="s">
        <v>3154</v>
      </c>
      <c r="AB145" s="9">
        <v>0</v>
      </c>
      <c r="AC145" s="9">
        <v>0</v>
      </c>
      <c r="AD145" s="8"/>
      <c r="AE145" s="8"/>
      <c r="AF145" s="8"/>
      <c r="AG145" s="8"/>
      <c r="AH145" s="9"/>
      <c r="AI145" s="8">
        <v>46216</v>
      </c>
      <c r="AJ145" s="231">
        <v>46229</v>
      </c>
    </row>
    <row r="146" spans="1:36" hidden="1">
      <c r="A146" s="19" t="s">
        <v>3233</v>
      </c>
      <c r="B146" s="10" t="s">
        <v>3143</v>
      </c>
      <c r="C146" s="10" t="s">
        <v>3144</v>
      </c>
      <c r="D146" s="10" t="s">
        <v>3234</v>
      </c>
      <c r="E146" s="10" t="s">
        <v>3146</v>
      </c>
      <c r="F146" s="10" t="s">
        <v>2923</v>
      </c>
      <c r="G146" s="10" t="s">
        <v>2719</v>
      </c>
      <c r="H146" s="10" t="s">
        <v>706</v>
      </c>
      <c r="I146" s="10" t="s">
        <v>3373</v>
      </c>
      <c r="J146" s="10" t="s">
        <v>3374</v>
      </c>
      <c r="K146" s="10" t="s">
        <v>151</v>
      </c>
      <c r="L146" s="9" t="s">
        <v>3441</v>
      </c>
      <c r="M146" s="10" t="s">
        <v>15</v>
      </c>
      <c r="N146" s="10" t="s">
        <v>3150</v>
      </c>
      <c r="O146" s="10" t="s">
        <v>3151</v>
      </c>
      <c r="P146" s="8">
        <v>46223</v>
      </c>
      <c r="Q146" s="9" t="s">
        <v>3376</v>
      </c>
      <c r="R146" s="9">
        <v>7</v>
      </c>
      <c r="S146" s="10" t="s">
        <v>3153</v>
      </c>
      <c r="T146" s="10" t="s">
        <v>2255</v>
      </c>
      <c r="U146" s="10" t="s">
        <v>3150</v>
      </c>
      <c r="V146" s="24">
        <v>1.04</v>
      </c>
      <c r="W146" s="24">
        <v>7.28</v>
      </c>
      <c r="X146" s="24">
        <v>31.2</v>
      </c>
      <c r="Y146" s="24">
        <v>7.28</v>
      </c>
      <c r="Z146" s="24">
        <v>7.28</v>
      </c>
      <c r="AA146" s="9" t="s">
        <v>3154</v>
      </c>
      <c r="AB146" s="9">
        <v>0</v>
      </c>
      <c r="AC146" s="9">
        <v>0</v>
      </c>
      <c r="AD146" s="8"/>
      <c r="AE146" s="8"/>
      <c r="AF146" s="8"/>
      <c r="AG146" s="8"/>
      <c r="AH146" s="9"/>
      <c r="AI146" s="8">
        <v>46216</v>
      </c>
      <c r="AJ146" s="231">
        <v>46229</v>
      </c>
    </row>
    <row r="147" spans="1:36" hidden="1">
      <c r="A147" s="19" t="s">
        <v>3233</v>
      </c>
      <c r="B147" s="10" t="s">
        <v>3143</v>
      </c>
      <c r="C147" s="10" t="s">
        <v>3144</v>
      </c>
      <c r="D147" s="10" t="s">
        <v>3234</v>
      </c>
      <c r="E147" s="10" t="s">
        <v>3146</v>
      </c>
      <c r="F147" s="10" t="s">
        <v>2923</v>
      </c>
      <c r="G147" s="10" t="s">
        <v>2719</v>
      </c>
      <c r="H147" s="10" t="s">
        <v>706</v>
      </c>
      <c r="I147" s="10" t="s">
        <v>3373</v>
      </c>
      <c r="J147" s="10" t="s">
        <v>3374</v>
      </c>
      <c r="K147" s="10" t="s">
        <v>151</v>
      </c>
      <c r="L147" s="9" t="s">
        <v>3440</v>
      </c>
      <c r="M147" s="10" t="s">
        <v>15</v>
      </c>
      <c r="N147" s="10" t="s">
        <v>3150</v>
      </c>
      <c r="O147" s="10" t="s">
        <v>3151</v>
      </c>
      <c r="P147" s="8">
        <v>46223</v>
      </c>
      <c r="Q147" s="9" t="s">
        <v>3376</v>
      </c>
      <c r="R147" s="9">
        <v>7</v>
      </c>
      <c r="S147" s="10" t="s">
        <v>3153</v>
      </c>
      <c r="T147" s="10" t="s">
        <v>2255</v>
      </c>
      <c r="U147" s="10" t="s">
        <v>3150</v>
      </c>
      <c r="V147" s="24">
        <v>1.04</v>
      </c>
      <c r="W147" s="24">
        <v>7.28</v>
      </c>
      <c r="X147" s="24">
        <v>31.2</v>
      </c>
      <c r="Y147" s="24">
        <v>7.28</v>
      </c>
      <c r="Z147" s="24">
        <v>7.28</v>
      </c>
      <c r="AA147" s="9" t="s">
        <v>3154</v>
      </c>
      <c r="AB147" s="9">
        <v>0</v>
      </c>
      <c r="AC147" s="9">
        <v>0</v>
      </c>
      <c r="AD147" s="8"/>
      <c r="AE147" s="8"/>
      <c r="AF147" s="8"/>
      <c r="AG147" s="8"/>
      <c r="AH147" s="9"/>
      <c r="AI147" s="8">
        <v>46216</v>
      </c>
      <c r="AJ147" s="231">
        <v>46229</v>
      </c>
    </row>
    <row r="148" spans="1:36" hidden="1">
      <c r="A148" s="19" t="s">
        <v>3233</v>
      </c>
      <c r="B148" s="10" t="s">
        <v>3143</v>
      </c>
      <c r="C148" s="10" t="s">
        <v>3144</v>
      </c>
      <c r="D148" s="10" t="s">
        <v>3234</v>
      </c>
      <c r="E148" s="10" t="s">
        <v>3146</v>
      </c>
      <c r="F148" s="10" t="s">
        <v>2923</v>
      </c>
      <c r="G148" s="10" t="s">
        <v>2719</v>
      </c>
      <c r="H148" s="10" t="s">
        <v>706</v>
      </c>
      <c r="I148" s="10" t="s">
        <v>3373</v>
      </c>
      <c r="J148" s="10" t="s">
        <v>3374</v>
      </c>
      <c r="K148" s="10" t="s">
        <v>151</v>
      </c>
      <c r="L148" s="9" t="s">
        <v>3439</v>
      </c>
      <c r="M148" s="10" t="s">
        <v>15</v>
      </c>
      <c r="N148" s="10" t="s">
        <v>3150</v>
      </c>
      <c r="O148" s="10" t="s">
        <v>3151</v>
      </c>
      <c r="P148" s="8">
        <v>46223</v>
      </c>
      <c r="Q148" s="9" t="s">
        <v>3376</v>
      </c>
      <c r="R148" s="9">
        <v>7</v>
      </c>
      <c r="S148" s="10" t="s">
        <v>3153</v>
      </c>
      <c r="T148" s="10" t="s">
        <v>2255</v>
      </c>
      <c r="U148" s="10" t="s">
        <v>3150</v>
      </c>
      <c r="V148" s="24">
        <v>1.04</v>
      </c>
      <c r="W148" s="24">
        <v>7.28</v>
      </c>
      <c r="X148" s="24">
        <v>31.2</v>
      </c>
      <c r="Y148" s="24">
        <v>7.28</v>
      </c>
      <c r="Z148" s="24">
        <v>7.28</v>
      </c>
      <c r="AA148" s="9" t="s">
        <v>3154</v>
      </c>
      <c r="AB148" s="9">
        <v>0</v>
      </c>
      <c r="AC148" s="9">
        <v>0</v>
      </c>
      <c r="AD148" s="8"/>
      <c r="AE148" s="8"/>
      <c r="AF148" s="8"/>
      <c r="AG148" s="8"/>
      <c r="AH148" s="9"/>
      <c r="AI148" s="8">
        <v>46216</v>
      </c>
      <c r="AJ148" s="231">
        <v>46229</v>
      </c>
    </row>
    <row r="149" spans="1:36" hidden="1">
      <c r="A149" s="19" t="s">
        <v>3233</v>
      </c>
      <c r="B149" s="10" t="s">
        <v>3143</v>
      </c>
      <c r="C149" s="10" t="s">
        <v>3144</v>
      </c>
      <c r="D149" s="10" t="s">
        <v>3234</v>
      </c>
      <c r="E149" s="10" t="s">
        <v>3146</v>
      </c>
      <c r="F149" s="10" t="s">
        <v>2923</v>
      </c>
      <c r="G149" s="10" t="s">
        <v>2719</v>
      </c>
      <c r="H149" s="10" t="s">
        <v>706</v>
      </c>
      <c r="I149" s="10" t="s">
        <v>3373</v>
      </c>
      <c r="J149" s="10" t="s">
        <v>3374</v>
      </c>
      <c r="K149" s="10" t="s">
        <v>151</v>
      </c>
      <c r="L149" s="9" t="s">
        <v>3438</v>
      </c>
      <c r="M149" s="10" t="s">
        <v>15</v>
      </c>
      <c r="N149" s="10" t="s">
        <v>3150</v>
      </c>
      <c r="O149" s="10" t="s">
        <v>3151</v>
      </c>
      <c r="P149" s="8">
        <v>46223</v>
      </c>
      <c r="Q149" s="9" t="s">
        <v>3376</v>
      </c>
      <c r="R149" s="9">
        <v>7</v>
      </c>
      <c r="S149" s="10" t="s">
        <v>3153</v>
      </c>
      <c r="T149" s="10" t="s">
        <v>2255</v>
      </c>
      <c r="U149" s="10" t="s">
        <v>3150</v>
      </c>
      <c r="V149" s="24">
        <v>1.04</v>
      </c>
      <c r="W149" s="24">
        <v>7.28</v>
      </c>
      <c r="X149" s="24">
        <v>31.2</v>
      </c>
      <c r="Y149" s="24">
        <v>7.28</v>
      </c>
      <c r="Z149" s="24">
        <v>7.28</v>
      </c>
      <c r="AA149" s="9" t="s">
        <v>3154</v>
      </c>
      <c r="AB149" s="9">
        <v>0</v>
      </c>
      <c r="AC149" s="9">
        <v>0</v>
      </c>
      <c r="AD149" s="8"/>
      <c r="AE149" s="8"/>
      <c r="AF149" s="8"/>
      <c r="AG149" s="8"/>
      <c r="AH149" s="9"/>
      <c r="AI149" s="8">
        <v>46216</v>
      </c>
      <c r="AJ149" s="231">
        <v>46229</v>
      </c>
    </row>
    <row r="150" spans="1:36" hidden="1">
      <c r="A150" s="19" t="s">
        <v>3233</v>
      </c>
      <c r="B150" s="10" t="s">
        <v>3143</v>
      </c>
      <c r="C150" s="10" t="s">
        <v>3144</v>
      </c>
      <c r="D150" s="10" t="s">
        <v>3234</v>
      </c>
      <c r="E150" s="10" t="s">
        <v>3146</v>
      </c>
      <c r="F150" s="10" t="s">
        <v>2923</v>
      </c>
      <c r="G150" s="10" t="s">
        <v>2719</v>
      </c>
      <c r="H150" s="10" t="s">
        <v>706</v>
      </c>
      <c r="I150" s="10" t="s">
        <v>3373</v>
      </c>
      <c r="J150" s="10" t="s">
        <v>3374</v>
      </c>
      <c r="K150" s="10" t="s">
        <v>151</v>
      </c>
      <c r="L150" s="9" t="s">
        <v>3444</v>
      </c>
      <c r="M150" s="10" t="s">
        <v>15</v>
      </c>
      <c r="N150" s="10" t="s">
        <v>3150</v>
      </c>
      <c r="O150" s="10" t="s">
        <v>3151</v>
      </c>
      <c r="P150" s="8">
        <v>46223</v>
      </c>
      <c r="Q150" s="9" t="s">
        <v>3376</v>
      </c>
      <c r="R150" s="9">
        <v>7</v>
      </c>
      <c r="S150" s="10" t="s">
        <v>3153</v>
      </c>
      <c r="T150" s="10" t="s">
        <v>2255</v>
      </c>
      <c r="U150" s="10" t="s">
        <v>3150</v>
      </c>
      <c r="V150" s="24">
        <v>1.04</v>
      </c>
      <c r="W150" s="24">
        <v>7.28</v>
      </c>
      <c r="X150" s="24">
        <v>31.2</v>
      </c>
      <c r="Y150" s="24">
        <v>7.28</v>
      </c>
      <c r="Z150" s="24">
        <v>7.28</v>
      </c>
      <c r="AA150" s="9" t="s">
        <v>3154</v>
      </c>
      <c r="AB150" s="9">
        <v>0</v>
      </c>
      <c r="AC150" s="9">
        <v>0</v>
      </c>
      <c r="AD150" s="8"/>
      <c r="AE150" s="8"/>
      <c r="AF150" s="8"/>
      <c r="AG150" s="8"/>
      <c r="AH150" s="9"/>
      <c r="AI150" s="8">
        <v>46216</v>
      </c>
      <c r="AJ150" s="231">
        <v>46229</v>
      </c>
    </row>
    <row r="151" spans="1:36" hidden="1">
      <c r="A151" s="19" t="s">
        <v>3233</v>
      </c>
      <c r="B151" s="10" t="s">
        <v>3143</v>
      </c>
      <c r="C151" s="10" t="s">
        <v>3144</v>
      </c>
      <c r="D151" s="10" t="s">
        <v>3234</v>
      </c>
      <c r="E151" s="10" t="s">
        <v>3146</v>
      </c>
      <c r="F151" s="10" t="s">
        <v>2923</v>
      </c>
      <c r="G151" s="10" t="s">
        <v>2719</v>
      </c>
      <c r="H151" s="10" t="s">
        <v>706</v>
      </c>
      <c r="I151" s="10" t="s">
        <v>3373</v>
      </c>
      <c r="J151" s="10" t="s">
        <v>3374</v>
      </c>
      <c r="K151" s="10" t="s">
        <v>151</v>
      </c>
      <c r="L151" s="9" t="s">
        <v>3437</v>
      </c>
      <c r="M151" s="10" t="s">
        <v>15</v>
      </c>
      <c r="N151" s="10" t="s">
        <v>3150</v>
      </c>
      <c r="O151" s="10" t="s">
        <v>3151</v>
      </c>
      <c r="P151" s="8">
        <v>46223</v>
      </c>
      <c r="Q151" s="9" t="s">
        <v>3376</v>
      </c>
      <c r="R151" s="9">
        <v>7</v>
      </c>
      <c r="S151" s="10" t="s">
        <v>3153</v>
      </c>
      <c r="T151" s="10" t="s">
        <v>2255</v>
      </c>
      <c r="U151" s="10" t="s">
        <v>3150</v>
      </c>
      <c r="V151" s="24">
        <v>1.04</v>
      </c>
      <c r="W151" s="24">
        <v>7.28</v>
      </c>
      <c r="X151" s="24">
        <v>31.2</v>
      </c>
      <c r="Y151" s="24">
        <v>7.28</v>
      </c>
      <c r="Z151" s="24">
        <v>7.28</v>
      </c>
      <c r="AA151" s="9" t="s">
        <v>3154</v>
      </c>
      <c r="AB151" s="9">
        <v>0</v>
      </c>
      <c r="AC151" s="9">
        <v>0</v>
      </c>
      <c r="AD151" s="8"/>
      <c r="AE151" s="8"/>
      <c r="AF151" s="8"/>
      <c r="AG151" s="8"/>
      <c r="AH151" s="9"/>
      <c r="AI151" s="8">
        <v>46216</v>
      </c>
      <c r="AJ151" s="231">
        <v>46229</v>
      </c>
    </row>
    <row r="152" spans="1:36" hidden="1">
      <c r="A152" s="19" t="s">
        <v>3233</v>
      </c>
      <c r="B152" s="10" t="s">
        <v>3143</v>
      </c>
      <c r="C152" s="10" t="s">
        <v>3144</v>
      </c>
      <c r="D152" s="10" t="s">
        <v>3234</v>
      </c>
      <c r="E152" s="10" t="s">
        <v>3146</v>
      </c>
      <c r="F152" s="10" t="s">
        <v>2923</v>
      </c>
      <c r="G152" s="10" t="s">
        <v>2719</v>
      </c>
      <c r="H152" s="10" t="s">
        <v>706</v>
      </c>
      <c r="I152" s="10" t="s">
        <v>3373</v>
      </c>
      <c r="J152" s="10" t="s">
        <v>3374</v>
      </c>
      <c r="K152" s="10" t="s">
        <v>151</v>
      </c>
      <c r="L152" s="9" t="s">
        <v>3435</v>
      </c>
      <c r="M152" s="10" t="s">
        <v>15</v>
      </c>
      <c r="N152" s="10" t="s">
        <v>3150</v>
      </c>
      <c r="O152" s="10" t="s">
        <v>3151</v>
      </c>
      <c r="P152" s="8">
        <v>46223</v>
      </c>
      <c r="Q152" s="9" t="s">
        <v>3376</v>
      </c>
      <c r="R152" s="9">
        <v>7</v>
      </c>
      <c r="S152" s="10" t="s">
        <v>3153</v>
      </c>
      <c r="T152" s="10" t="s">
        <v>2255</v>
      </c>
      <c r="U152" s="10" t="s">
        <v>3150</v>
      </c>
      <c r="V152" s="24">
        <v>1.04</v>
      </c>
      <c r="W152" s="24">
        <v>7.28</v>
      </c>
      <c r="X152" s="24">
        <v>31.2</v>
      </c>
      <c r="Y152" s="24">
        <v>7.28</v>
      </c>
      <c r="Z152" s="24">
        <v>7.28</v>
      </c>
      <c r="AA152" s="9" t="s">
        <v>3154</v>
      </c>
      <c r="AB152" s="9">
        <v>0</v>
      </c>
      <c r="AC152" s="9">
        <v>0</v>
      </c>
      <c r="AD152" s="8"/>
      <c r="AE152" s="8"/>
      <c r="AF152" s="8"/>
      <c r="AG152" s="8"/>
      <c r="AH152" s="9"/>
      <c r="AI152" s="8">
        <v>46216</v>
      </c>
      <c r="AJ152" s="231">
        <v>46229</v>
      </c>
    </row>
    <row r="153" spans="1:36" hidden="1">
      <c r="A153" s="19" t="s">
        <v>3233</v>
      </c>
      <c r="B153" s="10" t="s">
        <v>3143</v>
      </c>
      <c r="C153" s="10" t="s">
        <v>3144</v>
      </c>
      <c r="D153" s="10" t="s">
        <v>3234</v>
      </c>
      <c r="E153" s="10" t="s">
        <v>3146</v>
      </c>
      <c r="F153" s="10" t="s">
        <v>2923</v>
      </c>
      <c r="G153" s="10" t="s">
        <v>2719</v>
      </c>
      <c r="H153" s="10" t="s">
        <v>706</v>
      </c>
      <c r="I153" s="10" t="s">
        <v>3373</v>
      </c>
      <c r="J153" s="10" t="s">
        <v>3374</v>
      </c>
      <c r="K153" s="10" t="s">
        <v>151</v>
      </c>
      <c r="L153" s="9" t="s">
        <v>3424</v>
      </c>
      <c r="M153" s="10" t="s">
        <v>15</v>
      </c>
      <c r="N153" s="10" t="s">
        <v>3150</v>
      </c>
      <c r="O153" s="10" t="s">
        <v>3151</v>
      </c>
      <c r="P153" s="8">
        <v>46223</v>
      </c>
      <c r="Q153" s="9" t="s">
        <v>3376</v>
      </c>
      <c r="R153" s="9">
        <v>7</v>
      </c>
      <c r="S153" s="10" t="s">
        <v>3153</v>
      </c>
      <c r="T153" s="10" t="s">
        <v>2255</v>
      </c>
      <c r="U153" s="10" t="s">
        <v>3150</v>
      </c>
      <c r="V153" s="24">
        <v>1.04</v>
      </c>
      <c r="W153" s="24">
        <v>7.28</v>
      </c>
      <c r="X153" s="24">
        <v>31.2</v>
      </c>
      <c r="Y153" s="24">
        <v>7.28</v>
      </c>
      <c r="Z153" s="24">
        <v>7.28</v>
      </c>
      <c r="AA153" s="9" t="s">
        <v>3154</v>
      </c>
      <c r="AB153" s="9">
        <v>0</v>
      </c>
      <c r="AC153" s="9">
        <v>0</v>
      </c>
      <c r="AD153" s="8"/>
      <c r="AE153" s="8"/>
      <c r="AF153" s="8"/>
      <c r="AG153" s="8"/>
      <c r="AH153" s="9"/>
      <c r="AI153" s="8">
        <v>46216</v>
      </c>
      <c r="AJ153" s="231">
        <v>46229</v>
      </c>
    </row>
    <row r="154" spans="1:36" hidden="1">
      <c r="A154" s="19" t="s">
        <v>3233</v>
      </c>
      <c r="B154" s="10" t="s">
        <v>3143</v>
      </c>
      <c r="C154" s="10" t="s">
        <v>3144</v>
      </c>
      <c r="D154" s="10" t="s">
        <v>3234</v>
      </c>
      <c r="E154" s="10" t="s">
        <v>3146</v>
      </c>
      <c r="F154" s="10" t="s">
        <v>2923</v>
      </c>
      <c r="G154" s="10" t="s">
        <v>2719</v>
      </c>
      <c r="H154" s="10" t="s">
        <v>706</v>
      </c>
      <c r="I154" s="10" t="s">
        <v>3373</v>
      </c>
      <c r="J154" s="10" t="s">
        <v>3374</v>
      </c>
      <c r="K154" s="10" t="s">
        <v>151</v>
      </c>
      <c r="L154" s="9" t="s">
        <v>3434</v>
      </c>
      <c r="M154" s="10" t="s">
        <v>15</v>
      </c>
      <c r="N154" s="10" t="s">
        <v>3150</v>
      </c>
      <c r="O154" s="10" t="s">
        <v>3151</v>
      </c>
      <c r="P154" s="8">
        <v>46223</v>
      </c>
      <c r="Q154" s="9" t="s">
        <v>3376</v>
      </c>
      <c r="R154" s="9">
        <v>7</v>
      </c>
      <c r="S154" s="10" t="s">
        <v>3153</v>
      </c>
      <c r="T154" s="10" t="s">
        <v>2255</v>
      </c>
      <c r="U154" s="10" t="s">
        <v>3150</v>
      </c>
      <c r="V154" s="24">
        <v>1.04</v>
      </c>
      <c r="W154" s="24">
        <v>7.28</v>
      </c>
      <c r="X154" s="24">
        <v>31.2</v>
      </c>
      <c r="Y154" s="24">
        <v>7.28</v>
      </c>
      <c r="Z154" s="24">
        <v>7.28</v>
      </c>
      <c r="AA154" s="9" t="s">
        <v>3154</v>
      </c>
      <c r="AB154" s="9">
        <v>0</v>
      </c>
      <c r="AC154" s="9">
        <v>0</v>
      </c>
      <c r="AD154" s="8"/>
      <c r="AE154" s="8"/>
      <c r="AF154" s="8"/>
      <c r="AG154" s="8"/>
      <c r="AH154" s="9"/>
      <c r="AI154" s="8">
        <v>46216</v>
      </c>
      <c r="AJ154" s="231">
        <v>46229</v>
      </c>
    </row>
    <row r="155" spans="1:36" hidden="1">
      <c r="A155" s="19" t="s">
        <v>3233</v>
      </c>
      <c r="B155" s="10" t="s">
        <v>3143</v>
      </c>
      <c r="C155" s="10" t="s">
        <v>3144</v>
      </c>
      <c r="D155" s="10" t="s">
        <v>3234</v>
      </c>
      <c r="E155" s="10" t="s">
        <v>3146</v>
      </c>
      <c r="F155" s="10" t="s">
        <v>2923</v>
      </c>
      <c r="G155" s="10" t="s">
        <v>2719</v>
      </c>
      <c r="H155" s="10" t="s">
        <v>706</v>
      </c>
      <c r="I155" s="10" t="s">
        <v>3373</v>
      </c>
      <c r="J155" s="10" t="s">
        <v>3374</v>
      </c>
      <c r="K155" s="10" t="s">
        <v>151</v>
      </c>
      <c r="L155" s="9" t="s">
        <v>3432</v>
      </c>
      <c r="M155" s="10" t="s">
        <v>15</v>
      </c>
      <c r="N155" s="10" t="s">
        <v>3150</v>
      </c>
      <c r="O155" s="10" t="s">
        <v>3151</v>
      </c>
      <c r="P155" s="8">
        <v>46223</v>
      </c>
      <c r="Q155" s="9" t="s">
        <v>3376</v>
      </c>
      <c r="R155" s="9">
        <v>7</v>
      </c>
      <c r="S155" s="10" t="s">
        <v>3153</v>
      </c>
      <c r="T155" s="10" t="s">
        <v>2255</v>
      </c>
      <c r="U155" s="10" t="s">
        <v>3150</v>
      </c>
      <c r="V155" s="24">
        <v>1.04</v>
      </c>
      <c r="W155" s="24">
        <v>7.28</v>
      </c>
      <c r="X155" s="24">
        <v>31.2</v>
      </c>
      <c r="Y155" s="24">
        <v>7.28</v>
      </c>
      <c r="Z155" s="24">
        <v>7.28</v>
      </c>
      <c r="AA155" s="9" t="s">
        <v>3154</v>
      </c>
      <c r="AB155" s="9">
        <v>0</v>
      </c>
      <c r="AC155" s="9">
        <v>0</v>
      </c>
      <c r="AD155" s="8"/>
      <c r="AE155" s="8"/>
      <c r="AF155" s="8"/>
      <c r="AG155" s="8"/>
      <c r="AH155" s="9"/>
      <c r="AI155" s="8">
        <v>46216</v>
      </c>
      <c r="AJ155" s="231">
        <v>46229</v>
      </c>
    </row>
    <row r="156" spans="1:36" hidden="1">
      <c r="A156" s="19" t="s">
        <v>3233</v>
      </c>
      <c r="B156" s="10" t="s">
        <v>3143</v>
      </c>
      <c r="C156" s="10" t="s">
        <v>3144</v>
      </c>
      <c r="D156" s="10" t="s">
        <v>3234</v>
      </c>
      <c r="E156" s="10" t="s">
        <v>3146</v>
      </c>
      <c r="F156" s="10" t="s">
        <v>2923</v>
      </c>
      <c r="G156" s="10" t="s">
        <v>2719</v>
      </c>
      <c r="H156" s="10" t="s">
        <v>706</v>
      </c>
      <c r="I156" s="10" t="s">
        <v>3373</v>
      </c>
      <c r="J156" s="10" t="s">
        <v>3374</v>
      </c>
      <c r="K156" s="10" t="s">
        <v>151</v>
      </c>
      <c r="L156" s="9" t="s">
        <v>3431</v>
      </c>
      <c r="M156" s="10" t="s">
        <v>15</v>
      </c>
      <c r="N156" s="10" t="s">
        <v>3150</v>
      </c>
      <c r="O156" s="10" t="s">
        <v>3151</v>
      </c>
      <c r="P156" s="8">
        <v>46223</v>
      </c>
      <c r="Q156" s="9" t="s">
        <v>3376</v>
      </c>
      <c r="R156" s="9">
        <v>7</v>
      </c>
      <c r="S156" s="10" t="s">
        <v>3153</v>
      </c>
      <c r="T156" s="10" t="s">
        <v>2255</v>
      </c>
      <c r="U156" s="10" t="s">
        <v>3150</v>
      </c>
      <c r="V156" s="24">
        <v>1.04</v>
      </c>
      <c r="W156" s="24">
        <v>7.28</v>
      </c>
      <c r="X156" s="24">
        <v>31.2</v>
      </c>
      <c r="Y156" s="24">
        <v>7.28</v>
      </c>
      <c r="Z156" s="24">
        <v>7.28</v>
      </c>
      <c r="AA156" s="9" t="s">
        <v>3154</v>
      </c>
      <c r="AB156" s="9">
        <v>0</v>
      </c>
      <c r="AC156" s="9">
        <v>0</v>
      </c>
      <c r="AD156" s="8"/>
      <c r="AE156" s="8"/>
      <c r="AF156" s="8"/>
      <c r="AG156" s="8"/>
      <c r="AH156" s="9"/>
      <c r="AI156" s="8">
        <v>46216</v>
      </c>
      <c r="AJ156" s="231">
        <v>46229</v>
      </c>
    </row>
    <row r="157" spans="1:36" hidden="1">
      <c r="A157" s="19" t="s">
        <v>3233</v>
      </c>
      <c r="B157" s="10" t="s">
        <v>3143</v>
      </c>
      <c r="C157" s="10" t="s">
        <v>3144</v>
      </c>
      <c r="D157" s="10" t="s">
        <v>3234</v>
      </c>
      <c r="E157" s="10" t="s">
        <v>3146</v>
      </c>
      <c r="F157" s="10" t="s">
        <v>2923</v>
      </c>
      <c r="G157" s="10" t="s">
        <v>2719</v>
      </c>
      <c r="H157" s="10" t="s">
        <v>706</v>
      </c>
      <c r="I157" s="10" t="s">
        <v>3373</v>
      </c>
      <c r="J157" s="10" t="s">
        <v>3374</v>
      </c>
      <c r="K157" s="10" t="s">
        <v>151</v>
      </c>
      <c r="L157" s="9" t="s">
        <v>3430</v>
      </c>
      <c r="M157" s="10" t="s">
        <v>15</v>
      </c>
      <c r="N157" s="10" t="s">
        <v>3150</v>
      </c>
      <c r="O157" s="10" t="s">
        <v>3151</v>
      </c>
      <c r="P157" s="8">
        <v>46223</v>
      </c>
      <c r="Q157" s="9" t="s">
        <v>3376</v>
      </c>
      <c r="R157" s="9">
        <v>7</v>
      </c>
      <c r="S157" s="10" t="s">
        <v>3153</v>
      </c>
      <c r="T157" s="10" t="s">
        <v>2255</v>
      </c>
      <c r="U157" s="10" t="s">
        <v>3150</v>
      </c>
      <c r="V157" s="24">
        <v>1.04</v>
      </c>
      <c r="W157" s="24">
        <v>7.28</v>
      </c>
      <c r="X157" s="24">
        <v>31.2</v>
      </c>
      <c r="Y157" s="24">
        <v>7.28</v>
      </c>
      <c r="Z157" s="24">
        <v>7.28</v>
      </c>
      <c r="AA157" s="9" t="s">
        <v>3154</v>
      </c>
      <c r="AB157" s="9">
        <v>0</v>
      </c>
      <c r="AC157" s="9">
        <v>0</v>
      </c>
      <c r="AD157" s="8"/>
      <c r="AE157" s="8"/>
      <c r="AF157" s="8"/>
      <c r="AG157" s="8"/>
      <c r="AH157" s="9"/>
      <c r="AI157" s="8">
        <v>46216</v>
      </c>
      <c r="AJ157" s="231">
        <v>46229</v>
      </c>
    </row>
    <row r="158" spans="1:36" hidden="1">
      <c r="A158" s="19" t="s">
        <v>3233</v>
      </c>
      <c r="B158" s="10" t="s">
        <v>3143</v>
      </c>
      <c r="C158" s="10" t="s">
        <v>3144</v>
      </c>
      <c r="D158" s="10" t="s">
        <v>3234</v>
      </c>
      <c r="E158" s="10" t="s">
        <v>3146</v>
      </c>
      <c r="F158" s="10" t="s">
        <v>2923</v>
      </c>
      <c r="G158" s="10" t="s">
        <v>2719</v>
      </c>
      <c r="H158" s="10" t="s">
        <v>706</v>
      </c>
      <c r="I158" s="10" t="s">
        <v>3373</v>
      </c>
      <c r="J158" s="10" t="s">
        <v>3374</v>
      </c>
      <c r="K158" s="10" t="s">
        <v>151</v>
      </c>
      <c r="L158" s="9" t="s">
        <v>3412</v>
      </c>
      <c r="M158" s="10" t="s">
        <v>15</v>
      </c>
      <c r="N158" s="10" t="s">
        <v>3150</v>
      </c>
      <c r="O158" s="10" t="s">
        <v>3151</v>
      </c>
      <c r="P158" s="8">
        <v>46223</v>
      </c>
      <c r="Q158" s="9" t="s">
        <v>3376</v>
      </c>
      <c r="R158" s="9">
        <v>7</v>
      </c>
      <c r="S158" s="10" t="s">
        <v>3153</v>
      </c>
      <c r="T158" s="10" t="s">
        <v>2255</v>
      </c>
      <c r="U158" s="10" t="s">
        <v>3150</v>
      </c>
      <c r="V158" s="24">
        <v>1.04</v>
      </c>
      <c r="W158" s="24">
        <v>7.28</v>
      </c>
      <c r="X158" s="24">
        <v>31.2</v>
      </c>
      <c r="Y158" s="24">
        <v>7.28</v>
      </c>
      <c r="Z158" s="24">
        <v>7.28</v>
      </c>
      <c r="AA158" s="9" t="s">
        <v>3154</v>
      </c>
      <c r="AB158" s="9">
        <v>0</v>
      </c>
      <c r="AC158" s="9">
        <v>0</v>
      </c>
      <c r="AD158" s="8"/>
      <c r="AE158" s="8"/>
      <c r="AF158" s="8"/>
      <c r="AG158" s="8"/>
      <c r="AH158" s="9"/>
      <c r="AI158" s="8">
        <v>46216</v>
      </c>
      <c r="AJ158" s="231">
        <v>46229</v>
      </c>
    </row>
    <row r="159" spans="1:36" hidden="1">
      <c r="A159" s="19" t="s">
        <v>3233</v>
      </c>
      <c r="B159" s="10" t="s">
        <v>3143</v>
      </c>
      <c r="C159" s="10" t="s">
        <v>3144</v>
      </c>
      <c r="D159" s="10" t="s">
        <v>3234</v>
      </c>
      <c r="E159" s="10" t="s">
        <v>3146</v>
      </c>
      <c r="F159" s="10" t="s">
        <v>2923</v>
      </c>
      <c r="G159" s="10" t="s">
        <v>2719</v>
      </c>
      <c r="H159" s="10" t="s">
        <v>706</v>
      </c>
      <c r="I159" s="10" t="s">
        <v>3373</v>
      </c>
      <c r="J159" s="10" t="s">
        <v>3374</v>
      </c>
      <c r="K159" s="10" t="s">
        <v>151</v>
      </c>
      <c r="L159" s="9" t="s">
        <v>3436</v>
      </c>
      <c r="M159" s="10" t="s">
        <v>15</v>
      </c>
      <c r="N159" s="10" t="s">
        <v>3150</v>
      </c>
      <c r="O159" s="10" t="s">
        <v>3151</v>
      </c>
      <c r="P159" s="8">
        <v>46223</v>
      </c>
      <c r="Q159" s="9" t="s">
        <v>3376</v>
      </c>
      <c r="R159" s="9">
        <v>7</v>
      </c>
      <c r="S159" s="10" t="s">
        <v>3153</v>
      </c>
      <c r="T159" s="10" t="s">
        <v>2255</v>
      </c>
      <c r="U159" s="10" t="s">
        <v>3150</v>
      </c>
      <c r="V159" s="24">
        <v>1.04</v>
      </c>
      <c r="W159" s="24">
        <v>7.28</v>
      </c>
      <c r="X159" s="24">
        <v>31.2</v>
      </c>
      <c r="Y159" s="24">
        <v>7.28</v>
      </c>
      <c r="Z159" s="24">
        <v>7.28</v>
      </c>
      <c r="AA159" s="9" t="s">
        <v>3154</v>
      </c>
      <c r="AB159" s="9">
        <v>0</v>
      </c>
      <c r="AC159" s="9">
        <v>0</v>
      </c>
      <c r="AD159" s="8"/>
      <c r="AE159" s="8"/>
      <c r="AF159" s="8"/>
      <c r="AG159" s="8"/>
      <c r="AH159" s="9"/>
      <c r="AI159" s="8">
        <v>46216</v>
      </c>
      <c r="AJ159" s="231">
        <v>46229</v>
      </c>
    </row>
    <row r="160" spans="1:36" hidden="1">
      <c r="A160" s="19" t="s">
        <v>3233</v>
      </c>
      <c r="B160" s="10" t="s">
        <v>3143</v>
      </c>
      <c r="C160" s="10" t="s">
        <v>3144</v>
      </c>
      <c r="D160" s="10" t="s">
        <v>3234</v>
      </c>
      <c r="E160" s="10" t="s">
        <v>3146</v>
      </c>
      <c r="F160" s="10" t="s">
        <v>2923</v>
      </c>
      <c r="G160" s="10" t="s">
        <v>2719</v>
      </c>
      <c r="H160" s="10" t="s">
        <v>706</v>
      </c>
      <c r="I160" s="10" t="s">
        <v>3373</v>
      </c>
      <c r="J160" s="10" t="s">
        <v>3374</v>
      </c>
      <c r="K160" s="10" t="s">
        <v>151</v>
      </c>
      <c r="L160" s="9" t="s">
        <v>3411</v>
      </c>
      <c r="M160" s="10" t="s">
        <v>15</v>
      </c>
      <c r="N160" s="10" t="s">
        <v>3150</v>
      </c>
      <c r="O160" s="10" t="s">
        <v>3151</v>
      </c>
      <c r="P160" s="8">
        <v>46223</v>
      </c>
      <c r="Q160" s="9" t="s">
        <v>3376</v>
      </c>
      <c r="R160" s="9">
        <v>7</v>
      </c>
      <c r="S160" s="10" t="s">
        <v>3153</v>
      </c>
      <c r="T160" s="10" t="s">
        <v>2255</v>
      </c>
      <c r="U160" s="10" t="s">
        <v>3150</v>
      </c>
      <c r="V160" s="24">
        <v>1.04</v>
      </c>
      <c r="W160" s="24">
        <v>7.28</v>
      </c>
      <c r="X160" s="24">
        <v>31.2</v>
      </c>
      <c r="Y160" s="24">
        <v>7.28</v>
      </c>
      <c r="Z160" s="24">
        <v>7.28</v>
      </c>
      <c r="AA160" s="9" t="s">
        <v>3154</v>
      </c>
      <c r="AB160" s="9">
        <v>0</v>
      </c>
      <c r="AC160" s="9">
        <v>0</v>
      </c>
      <c r="AD160" s="8"/>
      <c r="AE160" s="8"/>
      <c r="AF160" s="8"/>
      <c r="AG160" s="8"/>
      <c r="AH160" s="9"/>
      <c r="AI160" s="8">
        <v>46216</v>
      </c>
      <c r="AJ160" s="231">
        <v>46229</v>
      </c>
    </row>
    <row r="161" spans="1:36" hidden="1">
      <c r="A161" s="19" t="s">
        <v>3233</v>
      </c>
      <c r="B161" s="10" t="s">
        <v>3143</v>
      </c>
      <c r="C161" s="10" t="s">
        <v>3144</v>
      </c>
      <c r="D161" s="10" t="s">
        <v>3234</v>
      </c>
      <c r="E161" s="10" t="s">
        <v>3146</v>
      </c>
      <c r="F161" s="10" t="s">
        <v>2923</v>
      </c>
      <c r="G161" s="10" t="s">
        <v>2719</v>
      </c>
      <c r="H161" s="10" t="s">
        <v>706</v>
      </c>
      <c r="I161" s="10" t="s">
        <v>3373</v>
      </c>
      <c r="J161" s="10" t="s">
        <v>3374</v>
      </c>
      <c r="K161" s="10" t="s">
        <v>151</v>
      </c>
      <c r="L161" s="9" t="s">
        <v>3401</v>
      </c>
      <c r="M161" s="10" t="s">
        <v>15</v>
      </c>
      <c r="N161" s="10" t="s">
        <v>3150</v>
      </c>
      <c r="O161" s="10" t="s">
        <v>3151</v>
      </c>
      <c r="P161" s="8">
        <v>46223</v>
      </c>
      <c r="Q161" s="9" t="s">
        <v>3376</v>
      </c>
      <c r="R161" s="9">
        <v>7</v>
      </c>
      <c r="S161" s="10" t="s">
        <v>3153</v>
      </c>
      <c r="T161" s="10" t="s">
        <v>2255</v>
      </c>
      <c r="U161" s="10" t="s">
        <v>3150</v>
      </c>
      <c r="V161" s="24">
        <v>1.04</v>
      </c>
      <c r="W161" s="24">
        <v>7.28</v>
      </c>
      <c r="X161" s="24">
        <v>31.2</v>
      </c>
      <c r="Y161" s="24">
        <v>7.28</v>
      </c>
      <c r="Z161" s="24">
        <v>7.28</v>
      </c>
      <c r="AA161" s="9" t="s">
        <v>3154</v>
      </c>
      <c r="AB161" s="9">
        <v>0</v>
      </c>
      <c r="AC161" s="9">
        <v>0</v>
      </c>
      <c r="AD161" s="8"/>
      <c r="AE161" s="8"/>
      <c r="AF161" s="8"/>
      <c r="AG161" s="8"/>
      <c r="AH161" s="9"/>
      <c r="AI161" s="8">
        <v>46216</v>
      </c>
      <c r="AJ161" s="231">
        <v>46229</v>
      </c>
    </row>
    <row r="162" spans="1:36" hidden="1">
      <c r="A162" s="19" t="s">
        <v>3233</v>
      </c>
      <c r="B162" s="10" t="s">
        <v>3143</v>
      </c>
      <c r="C162" s="10" t="s">
        <v>3144</v>
      </c>
      <c r="D162" s="10" t="s">
        <v>3234</v>
      </c>
      <c r="E162" s="10" t="s">
        <v>3146</v>
      </c>
      <c r="F162" s="10" t="s">
        <v>2923</v>
      </c>
      <c r="G162" s="10" t="s">
        <v>2719</v>
      </c>
      <c r="H162" s="10" t="s">
        <v>706</v>
      </c>
      <c r="I162" s="10" t="s">
        <v>3373</v>
      </c>
      <c r="J162" s="10" t="s">
        <v>3374</v>
      </c>
      <c r="K162" s="10" t="s">
        <v>151</v>
      </c>
      <c r="L162" s="9" t="s">
        <v>3375</v>
      </c>
      <c r="M162" s="10" t="s">
        <v>15</v>
      </c>
      <c r="N162" s="10" t="s">
        <v>3150</v>
      </c>
      <c r="O162" s="10" t="s">
        <v>3151</v>
      </c>
      <c r="P162" s="8">
        <v>46223</v>
      </c>
      <c r="Q162" s="9" t="s">
        <v>3376</v>
      </c>
      <c r="R162" s="9">
        <v>7</v>
      </c>
      <c r="S162" s="10" t="s">
        <v>3153</v>
      </c>
      <c r="T162" s="10" t="s">
        <v>2255</v>
      </c>
      <c r="U162" s="10" t="s">
        <v>3150</v>
      </c>
      <c r="V162" s="24">
        <v>1.04</v>
      </c>
      <c r="W162" s="24">
        <v>7.28</v>
      </c>
      <c r="X162" s="24">
        <v>31.2</v>
      </c>
      <c r="Y162" s="24">
        <v>7.28</v>
      </c>
      <c r="Z162" s="24">
        <v>7.28</v>
      </c>
      <c r="AA162" s="9" t="s">
        <v>3154</v>
      </c>
      <c r="AB162" s="9">
        <v>0</v>
      </c>
      <c r="AC162" s="9">
        <v>0</v>
      </c>
      <c r="AD162" s="8"/>
      <c r="AE162" s="8"/>
      <c r="AF162" s="8"/>
      <c r="AG162" s="8"/>
      <c r="AH162" s="9"/>
      <c r="AI162" s="8">
        <v>46216</v>
      </c>
      <c r="AJ162" s="231">
        <v>46229</v>
      </c>
    </row>
    <row r="163" spans="1:36" hidden="1">
      <c r="A163" s="19" t="s">
        <v>3233</v>
      </c>
      <c r="B163" s="10" t="s">
        <v>3143</v>
      </c>
      <c r="C163" s="10" t="s">
        <v>3144</v>
      </c>
      <c r="D163" s="10" t="s">
        <v>3234</v>
      </c>
      <c r="E163" s="10" t="s">
        <v>3146</v>
      </c>
      <c r="F163" s="10" t="s">
        <v>2923</v>
      </c>
      <c r="G163" s="10" t="s">
        <v>2719</v>
      </c>
      <c r="H163" s="10" t="s">
        <v>706</v>
      </c>
      <c r="I163" s="10" t="s">
        <v>3373</v>
      </c>
      <c r="J163" s="10" t="s">
        <v>3374</v>
      </c>
      <c r="K163" s="10" t="s">
        <v>151</v>
      </c>
      <c r="L163" s="9" t="s">
        <v>3378</v>
      </c>
      <c r="M163" s="10" t="s">
        <v>15</v>
      </c>
      <c r="N163" s="10" t="s">
        <v>3150</v>
      </c>
      <c r="O163" s="10" t="s">
        <v>3151</v>
      </c>
      <c r="P163" s="8">
        <v>46223</v>
      </c>
      <c r="Q163" s="9" t="s">
        <v>3376</v>
      </c>
      <c r="R163" s="9">
        <v>7</v>
      </c>
      <c r="S163" s="10" t="s">
        <v>3153</v>
      </c>
      <c r="T163" s="10" t="s">
        <v>2255</v>
      </c>
      <c r="U163" s="10" t="s">
        <v>3150</v>
      </c>
      <c r="V163" s="24">
        <v>1.04</v>
      </c>
      <c r="W163" s="24">
        <v>7.28</v>
      </c>
      <c r="X163" s="24">
        <v>31.2</v>
      </c>
      <c r="Y163" s="24">
        <v>7.28</v>
      </c>
      <c r="Z163" s="24">
        <v>7.28</v>
      </c>
      <c r="AA163" s="9" t="s">
        <v>3154</v>
      </c>
      <c r="AB163" s="9">
        <v>0</v>
      </c>
      <c r="AC163" s="9">
        <v>0</v>
      </c>
      <c r="AD163" s="8"/>
      <c r="AE163" s="8"/>
      <c r="AF163" s="8"/>
      <c r="AG163" s="8"/>
      <c r="AH163" s="9"/>
      <c r="AI163" s="8">
        <v>46216</v>
      </c>
      <c r="AJ163" s="231">
        <v>46229</v>
      </c>
    </row>
    <row r="164" spans="1:36" hidden="1">
      <c r="A164" s="19" t="s">
        <v>3233</v>
      </c>
      <c r="B164" s="10" t="s">
        <v>3143</v>
      </c>
      <c r="C164" s="10" t="s">
        <v>3144</v>
      </c>
      <c r="D164" s="10" t="s">
        <v>3234</v>
      </c>
      <c r="E164" s="10" t="s">
        <v>3146</v>
      </c>
      <c r="F164" s="10" t="s">
        <v>2923</v>
      </c>
      <c r="G164" s="10" t="s">
        <v>2719</v>
      </c>
      <c r="H164" s="10" t="s">
        <v>706</v>
      </c>
      <c r="I164" s="10" t="s">
        <v>3373</v>
      </c>
      <c r="J164" s="10" t="s">
        <v>3374</v>
      </c>
      <c r="K164" s="10" t="s">
        <v>151</v>
      </c>
      <c r="L164" s="9" t="s">
        <v>3379</v>
      </c>
      <c r="M164" s="10" t="s">
        <v>15</v>
      </c>
      <c r="N164" s="10" t="s">
        <v>3150</v>
      </c>
      <c r="O164" s="10" t="s">
        <v>3151</v>
      </c>
      <c r="P164" s="8">
        <v>46223</v>
      </c>
      <c r="Q164" s="9" t="s">
        <v>3376</v>
      </c>
      <c r="R164" s="9">
        <v>7</v>
      </c>
      <c r="S164" s="10" t="s">
        <v>3153</v>
      </c>
      <c r="T164" s="10" t="s">
        <v>2255</v>
      </c>
      <c r="U164" s="10" t="s">
        <v>3150</v>
      </c>
      <c r="V164" s="24">
        <v>1.04</v>
      </c>
      <c r="W164" s="24">
        <v>7.28</v>
      </c>
      <c r="X164" s="24">
        <v>31.2</v>
      </c>
      <c r="Y164" s="24">
        <v>7.28</v>
      </c>
      <c r="Z164" s="24">
        <v>7.28</v>
      </c>
      <c r="AA164" s="9" t="s">
        <v>3154</v>
      </c>
      <c r="AB164" s="9">
        <v>0</v>
      </c>
      <c r="AC164" s="9">
        <v>0</v>
      </c>
      <c r="AD164" s="8"/>
      <c r="AE164" s="8"/>
      <c r="AF164" s="8"/>
      <c r="AG164" s="8"/>
      <c r="AH164" s="9"/>
      <c r="AI164" s="8">
        <v>46216</v>
      </c>
      <c r="AJ164" s="231">
        <v>46229</v>
      </c>
    </row>
    <row r="165" spans="1:36" hidden="1">
      <c r="A165" s="19" t="s">
        <v>3233</v>
      </c>
      <c r="B165" s="10" t="s">
        <v>3143</v>
      </c>
      <c r="C165" s="10" t="s">
        <v>3144</v>
      </c>
      <c r="D165" s="10" t="s">
        <v>3234</v>
      </c>
      <c r="E165" s="10" t="s">
        <v>3146</v>
      </c>
      <c r="F165" s="10" t="s">
        <v>2923</v>
      </c>
      <c r="G165" s="10" t="s">
        <v>2719</v>
      </c>
      <c r="H165" s="10" t="s">
        <v>706</v>
      </c>
      <c r="I165" s="10" t="s">
        <v>3373</v>
      </c>
      <c r="J165" s="10" t="s">
        <v>3374</v>
      </c>
      <c r="K165" s="10" t="s">
        <v>151</v>
      </c>
      <c r="L165" s="9" t="s">
        <v>3380</v>
      </c>
      <c r="M165" s="10" t="s">
        <v>15</v>
      </c>
      <c r="N165" s="10" t="s">
        <v>3150</v>
      </c>
      <c r="O165" s="10" t="s">
        <v>3151</v>
      </c>
      <c r="P165" s="8">
        <v>46223</v>
      </c>
      <c r="Q165" s="9" t="s">
        <v>3376</v>
      </c>
      <c r="R165" s="9">
        <v>7</v>
      </c>
      <c r="S165" s="10" t="s">
        <v>3153</v>
      </c>
      <c r="T165" s="10" t="s">
        <v>2255</v>
      </c>
      <c r="U165" s="10" t="s">
        <v>3150</v>
      </c>
      <c r="V165" s="24">
        <v>1.04</v>
      </c>
      <c r="W165" s="24">
        <v>7.28</v>
      </c>
      <c r="X165" s="24">
        <v>31.2</v>
      </c>
      <c r="Y165" s="24">
        <v>7.28</v>
      </c>
      <c r="Z165" s="24">
        <v>7.28</v>
      </c>
      <c r="AA165" s="9" t="s">
        <v>3154</v>
      </c>
      <c r="AB165" s="9">
        <v>0</v>
      </c>
      <c r="AC165" s="9">
        <v>0</v>
      </c>
      <c r="AD165" s="8"/>
      <c r="AE165" s="8"/>
      <c r="AF165" s="8"/>
      <c r="AG165" s="8"/>
      <c r="AH165" s="9"/>
      <c r="AI165" s="8">
        <v>46216</v>
      </c>
      <c r="AJ165" s="231">
        <v>46229</v>
      </c>
    </row>
    <row r="166" spans="1:36" hidden="1">
      <c r="A166" s="19" t="s">
        <v>3233</v>
      </c>
      <c r="B166" s="10" t="s">
        <v>3143</v>
      </c>
      <c r="C166" s="10" t="s">
        <v>3144</v>
      </c>
      <c r="D166" s="10" t="s">
        <v>3234</v>
      </c>
      <c r="E166" s="10" t="s">
        <v>3146</v>
      </c>
      <c r="F166" s="10" t="s">
        <v>2923</v>
      </c>
      <c r="G166" s="10" t="s">
        <v>2719</v>
      </c>
      <c r="H166" s="10" t="s">
        <v>706</v>
      </c>
      <c r="I166" s="10" t="s">
        <v>3373</v>
      </c>
      <c r="J166" s="10" t="s">
        <v>3374</v>
      </c>
      <c r="K166" s="10" t="s">
        <v>151</v>
      </c>
      <c r="L166" s="9" t="s">
        <v>3381</v>
      </c>
      <c r="M166" s="10" t="s">
        <v>15</v>
      </c>
      <c r="N166" s="10" t="s">
        <v>3150</v>
      </c>
      <c r="O166" s="10" t="s">
        <v>3151</v>
      </c>
      <c r="P166" s="8">
        <v>46223</v>
      </c>
      <c r="Q166" s="9" t="s">
        <v>3376</v>
      </c>
      <c r="R166" s="9">
        <v>7</v>
      </c>
      <c r="S166" s="10" t="s">
        <v>3153</v>
      </c>
      <c r="T166" s="10" t="s">
        <v>2255</v>
      </c>
      <c r="U166" s="10" t="s">
        <v>3150</v>
      </c>
      <c r="V166" s="24">
        <v>1.04</v>
      </c>
      <c r="W166" s="24">
        <v>7.28</v>
      </c>
      <c r="X166" s="24">
        <v>31.2</v>
      </c>
      <c r="Y166" s="24">
        <v>7.28</v>
      </c>
      <c r="Z166" s="24">
        <v>7.28</v>
      </c>
      <c r="AA166" s="9" t="s">
        <v>3154</v>
      </c>
      <c r="AB166" s="9">
        <v>0</v>
      </c>
      <c r="AC166" s="9">
        <v>0</v>
      </c>
      <c r="AD166" s="8"/>
      <c r="AE166" s="8"/>
      <c r="AF166" s="8"/>
      <c r="AG166" s="8"/>
      <c r="AH166" s="9"/>
      <c r="AI166" s="8">
        <v>46216</v>
      </c>
      <c r="AJ166" s="231">
        <v>46229</v>
      </c>
    </row>
    <row r="167" spans="1:36" hidden="1">
      <c r="A167" s="19" t="s">
        <v>3233</v>
      </c>
      <c r="B167" s="10" t="s">
        <v>3143</v>
      </c>
      <c r="C167" s="10" t="s">
        <v>3144</v>
      </c>
      <c r="D167" s="10" t="s">
        <v>3234</v>
      </c>
      <c r="E167" s="10" t="s">
        <v>3146</v>
      </c>
      <c r="F167" s="10" t="s">
        <v>2923</v>
      </c>
      <c r="G167" s="10" t="s">
        <v>2719</v>
      </c>
      <c r="H167" s="10" t="s">
        <v>706</v>
      </c>
      <c r="I167" s="10" t="s">
        <v>3373</v>
      </c>
      <c r="J167" s="10" t="s">
        <v>3374</v>
      </c>
      <c r="K167" s="10" t="s">
        <v>151</v>
      </c>
      <c r="L167" s="9" t="s">
        <v>3382</v>
      </c>
      <c r="M167" s="10" t="s">
        <v>15</v>
      </c>
      <c r="N167" s="10" t="s">
        <v>3150</v>
      </c>
      <c r="O167" s="10" t="s">
        <v>3151</v>
      </c>
      <c r="P167" s="8">
        <v>46223</v>
      </c>
      <c r="Q167" s="9" t="s">
        <v>3376</v>
      </c>
      <c r="R167" s="9">
        <v>7</v>
      </c>
      <c r="S167" s="10" t="s">
        <v>3153</v>
      </c>
      <c r="T167" s="10" t="s">
        <v>2255</v>
      </c>
      <c r="U167" s="10" t="s">
        <v>3150</v>
      </c>
      <c r="V167" s="24">
        <v>1.04</v>
      </c>
      <c r="W167" s="24">
        <v>7.28</v>
      </c>
      <c r="X167" s="24">
        <v>31.2</v>
      </c>
      <c r="Y167" s="24">
        <v>7.28</v>
      </c>
      <c r="Z167" s="24">
        <v>7.28</v>
      </c>
      <c r="AA167" s="9" t="s">
        <v>3154</v>
      </c>
      <c r="AB167" s="9">
        <v>0</v>
      </c>
      <c r="AC167" s="9">
        <v>0</v>
      </c>
      <c r="AD167" s="8"/>
      <c r="AE167" s="8"/>
      <c r="AF167" s="8"/>
      <c r="AG167" s="8"/>
      <c r="AH167" s="9"/>
      <c r="AI167" s="8">
        <v>46216</v>
      </c>
      <c r="AJ167" s="231">
        <v>46229</v>
      </c>
    </row>
    <row r="168" spans="1:36" hidden="1">
      <c r="A168" s="19" t="s">
        <v>3233</v>
      </c>
      <c r="B168" s="10" t="s">
        <v>3143</v>
      </c>
      <c r="C168" s="10" t="s">
        <v>3144</v>
      </c>
      <c r="D168" s="10" t="s">
        <v>3234</v>
      </c>
      <c r="E168" s="10" t="s">
        <v>3146</v>
      </c>
      <c r="F168" s="10" t="s">
        <v>2923</v>
      </c>
      <c r="G168" s="10" t="s">
        <v>2719</v>
      </c>
      <c r="H168" s="10" t="s">
        <v>706</v>
      </c>
      <c r="I168" s="10" t="s">
        <v>3373</v>
      </c>
      <c r="J168" s="10" t="s">
        <v>3374</v>
      </c>
      <c r="K168" s="10" t="s">
        <v>151</v>
      </c>
      <c r="L168" s="9" t="s">
        <v>3383</v>
      </c>
      <c r="M168" s="10" t="s">
        <v>15</v>
      </c>
      <c r="N168" s="10" t="s">
        <v>3150</v>
      </c>
      <c r="O168" s="10" t="s">
        <v>3151</v>
      </c>
      <c r="P168" s="8">
        <v>46223</v>
      </c>
      <c r="Q168" s="9" t="s">
        <v>3376</v>
      </c>
      <c r="R168" s="9">
        <v>7</v>
      </c>
      <c r="S168" s="10" t="s">
        <v>3153</v>
      </c>
      <c r="T168" s="10" t="s">
        <v>2255</v>
      </c>
      <c r="U168" s="10" t="s">
        <v>3150</v>
      </c>
      <c r="V168" s="24">
        <v>1.04</v>
      </c>
      <c r="W168" s="24">
        <v>7.28</v>
      </c>
      <c r="X168" s="24">
        <v>31.2</v>
      </c>
      <c r="Y168" s="24">
        <v>7.28</v>
      </c>
      <c r="Z168" s="24">
        <v>7.28</v>
      </c>
      <c r="AA168" s="9" t="s">
        <v>3154</v>
      </c>
      <c r="AB168" s="9">
        <v>0</v>
      </c>
      <c r="AC168" s="9">
        <v>0</v>
      </c>
      <c r="AD168" s="8"/>
      <c r="AE168" s="8"/>
      <c r="AF168" s="8"/>
      <c r="AG168" s="8"/>
      <c r="AH168" s="9"/>
      <c r="AI168" s="8">
        <v>46216</v>
      </c>
      <c r="AJ168" s="231">
        <v>46229</v>
      </c>
    </row>
    <row r="169" spans="1:36" hidden="1">
      <c r="A169" s="19" t="s">
        <v>3233</v>
      </c>
      <c r="B169" s="10" t="s">
        <v>3143</v>
      </c>
      <c r="C169" s="10" t="s">
        <v>3144</v>
      </c>
      <c r="D169" s="10" t="s">
        <v>3234</v>
      </c>
      <c r="E169" s="10" t="s">
        <v>3146</v>
      </c>
      <c r="F169" s="10" t="s">
        <v>2923</v>
      </c>
      <c r="G169" s="10" t="s">
        <v>2719</v>
      </c>
      <c r="H169" s="10" t="s">
        <v>706</v>
      </c>
      <c r="I169" s="10" t="s">
        <v>3373</v>
      </c>
      <c r="J169" s="10" t="s">
        <v>3374</v>
      </c>
      <c r="K169" s="10" t="s">
        <v>151</v>
      </c>
      <c r="L169" s="9" t="s">
        <v>3433</v>
      </c>
      <c r="M169" s="10" t="s">
        <v>15</v>
      </c>
      <c r="N169" s="10" t="s">
        <v>3150</v>
      </c>
      <c r="O169" s="10" t="s">
        <v>3151</v>
      </c>
      <c r="P169" s="8">
        <v>46223</v>
      </c>
      <c r="Q169" s="9" t="s">
        <v>3376</v>
      </c>
      <c r="R169" s="9">
        <v>7</v>
      </c>
      <c r="S169" s="10" t="s">
        <v>3153</v>
      </c>
      <c r="T169" s="10" t="s">
        <v>2255</v>
      </c>
      <c r="U169" s="10" t="s">
        <v>3150</v>
      </c>
      <c r="V169" s="24">
        <v>1.04</v>
      </c>
      <c r="W169" s="24">
        <v>7.28</v>
      </c>
      <c r="X169" s="24">
        <v>31.2</v>
      </c>
      <c r="Y169" s="24">
        <v>7.28</v>
      </c>
      <c r="Z169" s="24">
        <v>7.28</v>
      </c>
      <c r="AA169" s="9" t="s">
        <v>3154</v>
      </c>
      <c r="AB169" s="9">
        <v>0</v>
      </c>
      <c r="AC169" s="9">
        <v>0</v>
      </c>
      <c r="AD169" s="8"/>
      <c r="AE169" s="8"/>
      <c r="AF169" s="8"/>
      <c r="AG169" s="8"/>
      <c r="AH169" s="9"/>
      <c r="AI169" s="8">
        <v>46216</v>
      </c>
      <c r="AJ169" s="231">
        <v>46229</v>
      </c>
    </row>
    <row r="170" spans="1:36" hidden="1">
      <c r="A170" s="19" t="s">
        <v>3233</v>
      </c>
      <c r="B170" s="10" t="s">
        <v>3143</v>
      </c>
      <c r="C170" s="10" t="s">
        <v>3144</v>
      </c>
      <c r="D170" s="10" t="s">
        <v>3234</v>
      </c>
      <c r="E170" s="10" t="s">
        <v>3146</v>
      </c>
      <c r="F170" s="10" t="s">
        <v>2923</v>
      </c>
      <c r="G170" s="10" t="s">
        <v>2719</v>
      </c>
      <c r="H170" s="10" t="s">
        <v>706</v>
      </c>
      <c r="I170" s="10" t="s">
        <v>3373</v>
      </c>
      <c r="J170" s="10" t="s">
        <v>3374</v>
      </c>
      <c r="K170" s="10" t="s">
        <v>151</v>
      </c>
      <c r="L170" s="9" t="s">
        <v>3423</v>
      </c>
      <c r="M170" s="10" t="s">
        <v>15</v>
      </c>
      <c r="N170" s="10" t="s">
        <v>3150</v>
      </c>
      <c r="O170" s="10" t="s">
        <v>3151</v>
      </c>
      <c r="P170" s="8">
        <v>46223</v>
      </c>
      <c r="Q170" s="9" t="s">
        <v>3376</v>
      </c>
      <c r="R170" s="9">
        <v>7</v>
      </c>
      <c r="S170" s="10" t="s">
        <v>3153</v>
      </c>
      <c r="T170" s="10" t="s">
        <v>2255</v>
      </c>
      <c r="U170" s="10" t="s">
        <v>3150</v>
      </c>
      <c r="V170" s="24">
        <v>1.04</v>
      </c>
      <c r="W170" s="24">
        <v>7.28</v>
      </c>
      <c r="X170" s="24">
        <v>31.2</v>
      </c>
      <c r="Y170" s="24">
        <v>7.28</v>
      </c>
      <c r="Z170" s="24">
        <v>7.28</v>
      </c>
      <c r="AA170" s="9" t="s">
        <v>3154</v>
      </c>
      <c r="AB170" s="9">
        <v>0</v>
      </c>
      <c r="AC170" s="9">
        <v>0</v>
      </c>
      <c r="AD170" s="8"/>
      <c r="AE170" s="8"/>
      <c r="AF170" s="8"/>
      <c r="AG170" s="8"/>
      <c r="AH170" s="9"/>
      <c r="AI170" s="8">
        <v>46216</v>
      </c>
      <c r="AJ170" s="231">
        <v>46229</v>
      </c>
    </row>
    <row r="171" spans="1:36" hidden="1">
      <c r="A171" s="19" t="s">
        <v>3233</v>
      </c>
      <c r="B171" s="10" t="s">
        <v>3143</v>
      </c>
      <c r="C171" s="10" t="s">
        <v>3144</v>
      </c>
      <c r="D171" s="10" t="s">
        <v>3234</v>
      </c>
      <c r="E171" s="10" t="s">
        <v>3146</v>
      </c>
      <c r="F171" s="10" t="s">
        <v>2923</v>
      </c>
      <c r="G171" s="10" t="s">
        <v>2719</v>
      </c>
      <c r="H171" s="10" t="s">
        <v>706</v>
      </c>
      <c r="I171" s="10" t="s">
        <v>3373</v>
      </c>
      <c r="J171" s="10" t="s">
        <v>3374</v>
      </c>
      <c r="K171" s="10" t="s">
        <v>151</v>
      </c>
      <c r="L171" s="9" t="s">
        <v>3422</v>
      </c>
      <c r="M171" s="10" t="s">
        <v>15</v>
      </c>
      <c r="N171" s="10" t="s">
        <v>3150</v>
      </c>
      <c r="O171" s="10" t="s">
        <v>3151</v>
      </c>
      <c r="P171" s="8">
        <v>46223</v>
      </c>
      <c r="Q171" s="9" t="s">
        <v>3376</v>
      </c>
      <c r="R171" s="9">
        <v>7</v>
      </c>
      <c r="S171" s="10" t="s">
        <v>3153</v>
      </c>
      <c r="T171" s="10" t="s">
        <v>2255</v>
      </c>
      <c r="U171" s="10" t="s">
        <v>3150</v>
      </c>
      <c r="V171" s="24">
        <v>1.04</v>
      </c>
      <c r="W171" s="24">
        <v>7.28</v>
      </c>
      <c r="X171" s="24">
        <v>31.2</v>
      </c>
      <c r="Y171" s="24">
        <v>7.28</v>
      </c>
      <c r="Z171" s="24">
        <v>7.28</v>
      </c>
      <c r="AA171" s="9" t="s">
        <v>3154</v>
      </c>
      <c r="AB171" s="9">
        <v>0</v>
      </c>
      <c r="AC171" s="9">
        <v>0</v>
      </c>
      <c r="AD171" s="8"/>
      <c r="AE171" s="8"/>
      <c r="AF171" s="8"/>
      <c r="AG171" s="8"/>
      <c r="AH171" s="9"/>
      <c r="AI171" s="8">
        <v>46216</v>
      </c>
      <c r="AJ171" s="231">
        <v>46229</v>
      </c>
    </row>
    <row r="172" spans="1:36" hidden="1">
      <c r="A172" s="19" t="s">
        <v>3233</v>
      </c>
      <c r="B172" s="10" t="s">
        <v>3143</v>
      </c>
      <c r="C172" s="10" t="s">
        <v>3144</v>
      </c>
      <c r="D172" s="10" t="s">
        <v>3234</v>
      </c>
      <c r="E172" s="10" t="s">
        <v>3146</v>
      </c>
      <c r="F172" s="10" t="s">
        <v>2923</v>
      </c>
      <c r="G172" s="10" t="s">
        <v>2719</v>
      </c>
      <c r="H172" s="10" t="s">
        <v>706</v>
      </c>
      <c r="I172" s="10" t="s">
        <v>3373</v>
      </c>
      <c r="J172" s="10" t="s">
        <v>3374</v>
      </c>
      <c r="K172" s="10" t="s">
        <v>151</v>
      </c>
      <c r="L172" s="9" t="s">
        <v>3421</v>
      </c>
      <c r="M172" s="10" t="s">
        <v>15</v>
      </c>
      <c r="N172" s="10" t="s">
        <v>3150</v>
      </c>
      <c r="O172" s="10" t="s">
        <v>3151</v>
      </c>
      <c r="P172" s="8">
        <v>46223</v>
      </c>
      <c r="Q172" s="9" t="s">
        <v>3376</v>
      </c>
      <c r="R172" s="9">
        <v>7</v>
      </c>
      <c r="S172" s="10" t="s">
        <v>3153</v>
      </c>
      <c r="T172" s="10" t="s">
        <v>2255</v>
      </c>
      <c r="U172" s="10" t="s">
        <v>3150</v>
      </c>
      <c r="V172" s="24">
        <v>1.04</v>
      </c>
      <c r="W172" s="24">
        <v>7.28</v>
      </c>
      <c r="X172" s="24">
        <v>31.2</v>
      </c>
      <c r="Y172" s="24">
        <v>7.28</v>
      </c>
      <c r="Z172" s="24">
        <v>7.28</v>
      </c>
      <c r="AA172" s="9" t="s">
        <v>3154</v>
      </c>
      <c r="AB172" s="9">
        <v>0</v>
      </c>
      <c r="AC172" s="9">
        <v>0</v>
      </c>
      <c r="AD172" s="8"/>
      <c r="AE172" s="8"/>
      <c r="AF172" s="8"/>
      <c r="AG172" s="8"/>
      <c r="AH172" s="9"/>
      <c r="AI172" s="8">
        <v>46216</v>
      </c>
      <c r="AJ172" s="231">
        <v>46229</v>
      </c>
    </row>
    <row r="173" spans="1:36" hidden="1">
      <c r="A173" s="19" t="s">
        <v>3233</v>
      </c>
      <c r="B173" s="10" t="s">
        <v>3143</v>
      </c>
      <c r="C173" s="10" t="s">
        <v>3144</v>
      </c>
      <c r="D173" s="10" t="s">
        <v>3234</v>
      </c>
      <c r="E173" s="10" t="s">
        <v>3146</v>
      </c>
      <c r="F173" s="10" t="s">
        <v>2923</v>
      </c>
      <c r="G173" s="10" t="s">
        <v>2719</v>
      </c>
      <c r="H173" s="10" t="s">
        <v>706</v>
      </c>
      <c r="I173" s="10" t="s">
        <v>3373</v>
      </c>
      <c r="J173" s="10" t="s">
        <v>3374</v>
      </c>
      <c r="K173" s="10" t="s">
        <v>151</v>
      </c>
      <c r="L173" s="9" t="s">
        <v>3407</v>
      </c>
      <c r="M173" s="10" t="s">
        <v>15</v>
      </c>
      <c r="N173" s="10" t="s">
        <v>3150</v>
      </c>
      <c r="O173" s="10" t="s">
        <v>3151</v>
      </c>
      <c r="P173" s="8">
        <v>46223</v>
      </c>
      <c r="Q173" s="9" t="s">
        <v>3376</v>
      </c>
      <c r="R173" s="9">
        <v>7</v>
      </c>
      <c r="S173" s="10" t="s">
        <v>3153</v>
      </c>
      <c r="T173" s="10" t="s">
        <v>2255</v>
      </c>
      <c r="U173" s="10" t="s">
        <v>3150</v>
      </c>
      <c r="V173" s="24">
        <v>1.04</v>
      </c>
      <c r="W173" s="24">
        <v>7.28</v>
      </c>
      <c r="X173" s="24">
        <v>31.2</v>
      </c>
      <c r="Y173" s="24">
        <v>7.28</v>
      </c>
      <c r="Z173" s="24">
        <v>7.28</v>
      </c>
      <c r="AA173" s="9" t="s">
        <v>3154</v>
      </c>
      <c r="AB173" s="9">
        <v>0</v>
      </c>
      <c r="AC173" s="9">
        <v>0</v>
      </c>
      <c r="AD173" s="8"/>
      <c r="AE173" s="8"/>
      <c r="AF173" s="8"/>
      <c r="AG173" s="8"/>
      <c r="AH173" s="9"/>
      <c r="AI173" s="8">
        <v>46216</v>
      </c>
      <c r="AJ173" s="231">
        <v>46229</v>
      </c>
    </row>
    <row r="174" spans="1:36" hidden="1">
      <c r="A174" s="19" t="s">
        <v>3233</v>
      </c>
      <c r="B174" s="10" t="s">
        <v>3143</v>
      </c>
      <c r="C174" s="10" t="s">
        <v>3144</v>
      </c>
      <c r="D174" s="10" t="s">
        <v>3234</v>
      </c>
      <c r="E174" s="10" t="s">
        <v>3146</v>
      </c>
      <c r="F174" s="10" t="s">
        <v>2923</v>
      </c>
      <c r="G174" s="10" t="s">
        <v>2719</v>
      </c>
      <c r="H174" s="10" t="s">
        <v>706</v>
      </c>
      <c r="I174" s="10" t="s">
        <v>3373</v>
      </c>
      <c r="J174" s="10" t="s">
        <v>3374</v>
      </c>
      <c r="K174" s="10" t="s">
        <v>151</v>
      </c>
      <c r="L174" s="9" t="s">
        <v>3408</v>
      </c>
      <c r="M174" s="10" t="s">
        <v>15</v>
      </c>
      <c r="N174" s="10" t="s">
        <v>3150</v>
      </c>
      <c r="O174" s="10" t="s">
        <v>3151</v>
      </c>
      <c r="P174" s="8">
        <v>46223</v>
      </c>
      <c r="Q174" s="9" t="s">
        <v>3376</v>
      </c>
      <c r="R174" s="9">
        <v>7</v>
      </c>
      <c r="S174" s="10" t="s">
        <v>3153</v>
      </c>
      <c r="T174" s="10" t="s">
        <v>2255</v>
      </c>
      <c r="U174" s="10" t="s">
        <v>3150</v>
      </c>
      <c r="V174" s="24">
        <v>1.04</v>
      </c>
      <c r="W174" s="24">
        <v>7.28</v>
      </c>
      <c r="X174" s="24">
        <v>31.2</v>
      </c>
      <c r="Y174" s="24">
        <v>7.28</v>
      </c>
      <c r="Z174" s="24">
        <v>7.28</v>
      </c>
      <c r="AA174" s="9" t="s">
        <v>3154</v>
      </c>
      <c r="AB174" s="9">
        <v>0</v>
      </c>
      <c r="AC174" s="9">
        <v>0</v>
      </c>
      <c r="AD174" s="8"/>
      <c r="AE174" s="8"/>
      <c r="AF174" s="8"/>
      <c r="AG174" s="8"/>
      <c r="AH174" s="9"/>
      <c r="AI174" s="8">
        <v>46216</v>
      </c>
      <c r="AJ174" s="231">
        <v>46229</v>
      </c>
    </row>
    <row r="175" spans="1:36" hidden="1">
      <c r="A175" s="19" t="s">
        <v>3233</v>
      </c>
      <c r="B175" s="10" t="s">
        <v>3143</v>
      </c>
      <c r="C175" s="10" t="s">
        <v>3144</v>
      </c>
      <c r="D175" s="10" t="s">
        <v>3234</v>
      </c>
      <c r="E175" s="10" t="s">
        <v>3146</v>
      </c>
      <c r="F175" s="10" t="s">
        <v>2923</v>
      </c>
      <c r="G175" s="10" t="s">
        <v>2719</v>
      </c>
      <c r="H175" s="10" t="s">
        <v>706</v>
      </c>
      <c r="I175" s="10" t="s">
        <v>3373</v>
      </c>
      <c r="J175" s="10" t="s">
        <v>3374</v>
      </c>
      <c r="K175" s="10" t="s">
        <v>151</v>
      </c>
      <c r="L175" s="9" t="s">
        <v>3394</v>
      </c>
      <c r="M175" s="10" t="s">
        <v>15</v>
      </c>
      <c r="N175" s="10" t="s">
        <v>3150</v>
      </c>
      <c r="O175" s="10" t="s">
        <v>3151</v>
      </c>
      <c r="P175" s="8">
        <v>46223</v>
      </c>
      <c r="Q175" s="9" t="s">
        <v>3376</v>
      </c>
      <c r="R175" s="9">
        <v>7</v>
      </c>
      <c r="S175" s="10" t="s">
        <v>3153</v>
      </c>
      <c r="T175" s="10" t="s">
        <v>2255</v>
      </c>
      <c r="U175" s="10" t="s">
        <v>3150</v>
      </c>
      <c r="V175" s="24">
        <v>1.04</v>
      </c>
      <c r="W175" s="24">
        <v>7.28</v>
      </c>
      <c r="X175" s="24">
        <v>31.2</v>
      </c>
      <c r="Y175" s="24">
        <v>7.28</v>
      </c>
      <c r="Z175" s="24">
        <v>7.28</v>
      </c>
      <c r="AA175" s="9" t="s">
        <v>3154</v>
      </c>
      <c r="AB175" s="9">
        <v>0</v>
      </c>
      <c r="AC175" s="9">
        <v>0</v>
      </c>
      <c r="AD175" s="8"/>
      <c r="AE175" s="8"/>
      <c r="AF175" s="8"/>
      <c r="AG175" s="8"/>
      <c r="AH175" s="9"/>
      <c r="AI175" s="8">
        <v>46216</v>
      </c>
      <c r="AJ175" s="231">
        <v>46229</v>
      </c>
    </row>
    <row r="176" spans="1:36" hidden="1">
      <c r="A176" s="19" t="s">
        <v>3233</v>
      </c>
      <c r="B176" s="10" t="s">
        <v>3143</v>
      </c>
      <c r="C176" s="10" t="s">
        <v>3144</v>
      </c>
      <c r="D176" s="10" t="s">
        <v>3234</v>
      </c>
      <c r="E176" s="10" t="s">
        <v>3146</v>
      </c>
      <c r="F176" s="10" t="s">
        <v>2923</v>
      </c>
      <c r="G176" s="10" t="s">
        <v>2719</v>
      </c>
      <c r="H176" s="10" t="s">
        <v>706</v>
      </c>
      <c r="I176" s="10" t="s">
        <v>3373</v>
      </c>
      <c r="J176" s="10" t="s">
        <v>3374</v>
      </c>
      <c r="K176" s="10" t="s">
        <v>151</v>
      </c>
      <c r="L176" s="9" t="s">
        <v>3403</v>
      </c>
      <c r="M176" s="10" t="s">
        <v>15</v>
      </c>
      <c r="N176" s="10" t="s">
        <v>3150</v>
      </c>
      <c r="O176" s="10" t="s">
        <v>3151</v>
      </c>
      <c r="P176" s="8">
        <v>46223</v>
      </c>
      <c r="Q176" s="9" t="s">
        <v>3376</v>
      </c>
      <c r="R176" s="9">
        <v>7</v>
      </c>
      <c r="S176" s="10" t="s">
        <v>3153</v>
      </c>
      <c r="T176" s="10" t="s">
        <v>2255</v>
      </c>
      <c r="U176" s="10" t="s">
        <v>3150</v>
      </c>
      <c r="V176" s="24">
        <v>1.04</v>
      </c>
      <c r="W176" s="24">
        <v>7.28</v>
      </c>
      <c r="X176" s="24">
        <v>31.2</v>
      </c>
      <c r="Y176" s="24">
        <v>7.28</v>
      </c>
      <c r="Z176" s="24">
        <v>7.28</v>
      </c>
      <c r="AA176" s="9" t="s">
        <v>3154</v>
      </c>
      <c r="AB176" s="9">
        <v>0</v>
      </c>
      <c r="AC176" s="9">
        <v>0</v>
      </c>
      <c r="AD176" s="8"/>
      <c r="AE176" s="8"/>
      <c r="AF176" s="8"/>
      <c r="AG176" s="8"/>
      <c r="AH176" s="9"/>
      <c r="AI176" s="8">
        <v>46216</v>
      </c>
      <c r="AJ176" s="231">
        <v>46229</v>
      </c>
    </row>
    <row r="177" spans="1:36" hidden="1">
      <c r="A177" s="19" t="s">
        <v>3233</v>
      </c>
      <c r="B177" s="10" t="s">
        <v>3143</v>
      </c>
      <c r="C177" s="10" t="s">
        <v>3144</v>
      </c>
      <c r="D177" s="10" t="s">
        <v>3234</v>
      </c>
      <c r="E177" s="10" t="s">
        <v>3146</v>
      </c>
      <c r="F177" s="10" t="s">
        <v>2923</v>
      </c>
      <c r="G177" s="10" t="s">
        <v>2719</v>
      </c>
      <c r="H177" s="10" t="s">
        <v>706</v>
      </c>
      <c r="I177" s="10" t="s">
        <v>3373</v>
      </c>
      <c r="J177" s="10" t="s">
        <v>3374</v>
      </c>
      <c r="K177" s="10" t="s">
        <v>151</v>
      </c>
      <c r="L177" s="9" t="s">
        <v>3393</v>
      </c>
      <c r="M177" s="10" t="s">
        <v>15</v>
      </c>
      <c r="N177" s="10" t="s">
        <v>3150</v>
      </c>
      <c r="O177" s="10" t="s">
        <v>3151</v>
      </c>
      <c r="P177" s="8">
        <v>46223</v>
      </c>
      <c r="Q177" s="9" t="s">
        <v>3376</v>
      </c>
      <c r="R177" s="9">
        <v>7</v>
      </c>
      <c r="S177" s="10" t="s">
        <v>3153</v>
      </c>
      <c r="T177" s="10" t="s">
        <v>2255</v>
      </c>
      <c r="U177" s="10" t="s">
        <v>3150</v>
      </c>
      <c r="V177" s="24">
        <v>1.04</v>
      </c>
      <c r="W177" s="24">
        <v>7.28</v>
      </c>
      <c r="X177" s="24">
        <v>31.2</v>
      </c>
      <c r="Y177" s="24">
        <v>7.28</v>
      </c>
      <c r="Z177" s="24">
        <v>7.28</v>
      </c>
      <c r="AA177" s="9" t="s">
        <v>3154</v>
      </c>
      <c r="AB177" s="9">
        <v>0</v>
      </c>
      <c r="AC177" s="9">
        <v>0</v>
      </c>
      <c r="AD177" s="8"/>
      <c r="AE177" s="8"/>
      <c r="AF177" s="8"/>
      <c r="AG177" s="8"/>
      <c r="AH177" s="9"/>
      <c r="AI177" s="8">
        <v>46216</v>
      </c>
      <c r="AJ177" s="231">
        <v>46229</v>
      </c>
    </row>
    <row r="178" spans="1:36" hidden="1">
      <c r="A178" s="19" t="s">
        <v>3233</v>
      </c>
      <c r="B178" s="10" t="s">
        <v>3143</v>
      </c>
      <c r="C178" s="10" t="s">
        <v>3144</v>
      </c>
      <c r="D178" s="10" t="s">
        <v>3234</v>
      </c>
      <c r="E178" s="10" t="s">
        <v>3146</v>
      </c>
      <c r="F178" s="10" t="s">
        <v>2923</v>
      </c>
      <c r="G178" s="10" t="s">
        <v>2719</v>
      </c>
      <c r="H178" s="10" t="s">
        <v>706</v>
      </c>
      <c r="I178" s="10" t="s">
        <v>3373</v>
      </c>
      <c r="J178" s="10" t="s">
        <v>3374</v>
      </c>
      <c r="K178" s="10" t="s">
        <v>151</v>
      </c>
      <c r="L178" s="9" t="s">
        <v>3445</v>
      </c>
      <c r="M178" s="10" t="s">
        <v>15</v>
      </c>
      <c r="N178" s="10" t="s">
        <v>3150</v>
      </c>
      <c r="O178" s="10" t="s">
        <v>3151</v>
      </c>
      <c r="P178" s="8">
        <v>46223</v>
      </c>
      <c r="Q178" s="9" t="s">
        <v>3376</v>
      </c>
      <c r="R178" s="9">
        <v>7</v>
      </c>
      <c r="S178" s="10" t="s">
        <v>3153</v>
      </c>
      <c r="T178" s="10" t="s">
        <v>2255</v>
      </c>
      <c r="U178" s="10" t="s">
        <v>3150</v>
      </c>
      <c r="V178" s="24">
        <v>1.04</v>
      </c>
      <c r="W178" s="24">
        <v>7.28</v>
      </c>
      <c r="X178" s="24">
        <v>31.2</v>
      </c>
      <c r="Y178" s="24">
        <v>7.28</v>
      </c>
      <c r="Z178" s="24">
        <v>7.28</v>
      </c>
      <c r="AA178" s="9" t="s">
        <v>3154</v>
      </c>
      <c r="AB178" s="9">
        <v>0</v>
      </c>
      <c r="AC178" s="9">
        <v>0</v>
      </c>
      <c r="AD178" s="8"/>
      <c r="AE178" s="8"/>
      <c r="AF178" s="8"/>
      <c r="AG178" s="8"/>
      <c r="AH178" s="9"/>
      <c r="AI178" s="8">
        <v>46216</v>
      </c>
      <c r="AJ178" s="231">
        <v>46229</v>
      </c>
    </row>
    <row r="179" spans="1:36" hidden="1">
      <c r="A179" s="19" t="s">
        <v>3233</v>
      </c>
      <c r="B179" s="10" t="s">
        <v>3143</v>
      </c>
      <c r="C179" s="10" t="s">
        <v>3144</v>
      </c>
      <c r="D179" s="10" t="s">
        <v>3234</v>
      </c>
      <c r="E179" s="10" t="s">
        <v>3146</v>
      </c>
      <c r="F179" s="10" t="s">
        <v>2923</v>
      </c>
      <c r="G179" s="10" t="s">
        <v>2719</v>
      </c>
      <c r="H179" s="10" t="s">
        <v>706</v>
      </c>
      <c r="I179" s="10" t="s">
        <v>3373</v>
      </c>
      <c r="J179" s="10" t="s">
        <v>3374</v>
      </c>
      <c r="K179" s="10" t="s">
        <v>151</v>
      </c>
      <c r="L179" s="9" t="s">
        <v>3392</v>
      </c>
      <c r="M179" s="10" t="s">
        <v>15</v>
      </c>
      <c r="N179" s="10" t="s">
        <v>3150</v>
      </c>
      <c r="O179" s="10" t="s">
        <v>3151</v>
      </c>
      <c r="P179" s="8">
        <v>46223</v>
      </c>
      <c r="Q179" s="9" t="s">
        <v>3376</v>
      </c>
      <c r="R179" s="9">
        <v>7</v>
      </c>
      <c r="S179" s="10" t="s">
        <v>3153</v>
      </c>
      <c r="T179" s="10" t="s">
        <v>2255</v>
      </c>
      <c r="U179" s="10" t="s">
        <v>3150</v>
      </c>
      <c r="V179" s="24">
        <v>1.04</v>
      </c>
      <c r="W179" s="24">
        <v>7.28</v>
      </c>
      <c r="X179" s="24">
        <v>31.2</v>
      </c>
      <c r="Y179" s="24">
        <v>7.28</v>
      </c>
      <c r="Z179" s="24">
        <v>7.28</v>
      </c>
      <c r="AA179" s="9" t="s">
        <v>3154</v>
      </c>
      <c r="AB179" s="9">
        <v>0</v>
      </c>
      <c r="AC179" s="9">
        <v>0</v>
      </c>
      <c r="AD179" s="8"/>
      <c r="AE179" s="8"/>
      <c r="AF179" s="8"/>
      <c r="AG179" s="8"/>
      <c r="AH179" s="9"/>
      <c r="AI179" s="8">
        <v>46216</v>
      </c>
      <c r="AJ179" s="231">
        <v>46229</v>
      </c>
    </row>
    <row r="180" spans="1:36" hidden="1">
      <c r="A180" s="19" t="s">
        <v>3233</v>
      </c>
      <c r="B180" s="10" t="s">
        <v>3143</v>
      </c>
      <c r="C180" s="10" t="s">
        <v>3144</v>
      </c>
      <c r="D180" s="10" t="s">
        <v>3234</v>
      </c>
      <c r="E180" s="10" t="s">
        <v>3146</v>
      </c>
      <c r="F180" s="10" t="s">
        <v>2923</v>
      </c>
      <c r="G180" s="10" t="s">
        <v>2719</v>
      </c>
      <c r="H180" s="10" t="s">
        <v>706</v>
      </c>
      <c r="I180" s="10" t="s">
        <v>3373</v>
      </c>
      <c r="J180" s="10" t="s">
        <v>3374</v>
      </c>
      <c r="K180" s="10" t="s">
        <v>151</v>
      </c>
      <c r="L180" s="9" t="s">
        <v>3391</v>
      </c>
      <c r="M180" s="10" t="s">
        <v>15</v>
      </c>
      <c r="N180" s="10" t="s">
        <v>3150</v>
      </c>
      <c r="O180" s="10" t="s">
        <v>3151</v>
      </c>
      <c r="P180" s="8">
        <v>46223</v>
      </c>
      <c r="Q180" s="9" t="s">
        <v>3376</v>
      </c>
      <c r="R180" s="9">
        <v>7</v>
      </c>
      <c r="S180" s="10" t="s">
        <v>3153</v>
      </c>
      <c r="T180" s="10" t="s">
        <v>2255</v>
      </c>
      <c r="U180" s="10" t="s">
        <v>3150</v>
      </c>
      <c r="V180" s="24">
        <v>1.04</v>
      </c>
      <c r="W180" s="24">
        <v>7.28</v>
      </c>
      <c r="X180" s="24">
        <v>31.2</v>
      </c>
      <c r="Y180" s="24">
        <v>7.28</v>
      </c>
      <c r="Z180" s="24">
        <v>7.28</v>
      </c>
      <c r="AA180" s="9" t="s">
        <v>3154</v>
      </c>
      <c r="AB180" s="9">
        <v>0</v>
      </c>
      <c r="AC180" s="9">
        <v>0</v>
      </c>
      <c r="AD180" s="8"/>
      <c r="AE180" s="8"/>
      <c r="AF180" s="8"/>
      <c r="AG180" s="8"/>
      <c r="AH180" s="9"/>
      <c r="AI180" s="8">
        <v>46216</v>
      </c>
      <c r="AJ180" s="231">
        <v>46229</v>
      </c>
    </row>
    <row r="181" spans="1:36" hidden="1">
      <c r="A181" s="19" t="s">
        <v>3233</v>
      </c>
      <c r="B181" s="10" t="s">
        <v>3143</v>
      </c>
      <c r="C181" s="10" t="s">
        <v>3144</v>
      </c>
      <c r="D181" s="10" t="s">
        <v>3234</v>
      </c>
      <c r="E181" s="10" t="s">
        <v>3146</v>
      </c>
      <c r="F181" s="10" t="s">
        <v>2923</v>
      </c>
      <c r="G181" s="10" t="s">
        <v>2719</v>
      </c>
      <c r="H181" s="10" t="s">
        <v>706</v>
      </c>
      <c r="I181" s="10" t="s">
        <v>3373</v>
      </c>
      <c r="J181" s="10" t="s">
        <v>3374</v>
      </c>
      <c r="K181" s="10" t="s">
        <v>151</v>
      </c>
      <c r="L181" s="9" t="s">
        <v>3390</v>
      </c>
      <c r="M181" s="10" t="s">
        <v>15</v>
      </c>
      <c r="N181" s="10" t="s">
        <v>3150</v>
      </c>
      <c r="O181" s="10" t="s">
        <v>3151</v>
      </c>
      <c r="P181" s="8">
        <v>46223</v>
      </c>
      <c r="Q181" s="9" t="s">
        <v>3376</v>
      </c>
      <c r="R181" s="9">
        <v>7</v>
      </c>
      <c r="S181" s="10" t="s">
        <v>3153</v>
      </c>
      <c r="T181" s="10" t="s">
        <v>2255</v>
      </c>
      <c r="U181" s="10" t="s">
        <v>3150</v>
      </c>
      <c r="V181" s="24">
        <v>1.04</v>
      </c>
      <c r="W181" s="24">
        <v>7.28</v>
      </c>
      <c r="X181" s="24">
        <v>31.2</v>
      </c>
      <c r="Y181" s="24">
        <v>7.28</v>
      </c>
      <c r="Z181" s="24">
        <v>7.28</v>
      </c>
      <c r="AA181" s="9" t="s">
        <v>3154</v>
      </c>
      <c r="AB181" s="9">
        <v>0</v>
      </c>
      <c r="AC181" s="9">
        <v>0</v>
      </c>
      <c r="AD181" s="8"/>
      <c r="AE181" s="8"/>
      <c r="AF181" s="8"/>
      <c r="AG181" s="8"/>
      <c r="AH181" s="9"/>
      <c r="AI181" s="8">
        <v>46216</v>
      </c>
      <c r="AJ181" s="231">
        <v>46229</v>
      </c>
    </row>
    <row r="182" spans="1:36" hidden="1">
      <c r="A182" s="19" t="s">
        <v>3233</v>
      </c>
      <c r="B182" s="10" t="s">
        <v>3143</v>
      </c>
      <c r="C182" s="10" t="s">
        <v>3144</v>
      </c>
      <c r="D182" s="10" t="s">
        <v>3234</v>
      </c>
      <c r="E182" s="10" t="s">
        <v>3146</v>
      </c>
      <c r="F182" s="10" t="s">
        <v>2923</v>
      </c>
      <c r="G182" s="10" t="s">
        <v>2719</v>
      </c>
      <c r="H182" s="10" t="s">
        <v>706</v>
      </c>
      <c r="I182" s="10" t="s">
        <v>3373</v>
      </c>
      <c r="J182" s="10" t="s">
        <v>3374</v>
      </c>
      <c r="K182" s="10" t="s">
        <v>151</v>
      </c>
      <c r="L182" s="9" t="s">
        <v>3389</v>
      </c>
      <c r="M182" s="10" t="s">
        <v>15</v>
      </c>
      <c r="N182" s="10" t="s">
        <v>3150</v>
      </c>
      <c r="O182" s="10" t="s">
        <v>3151</v>
      </c>
      <c r="P182" s="8">
        <v>46223</v>
      </c>
      <c r="Q182" s="9" t="s">
        <v>3376</v>
      </c>
      <c r="R182" s="9">
        <v>7</v>
      </c>
      <c r="S182" s="10" t="s">
        <v>3153</v>
      </c>
      <c r="T182" s="10" t="s">
        <v>2255</v>
      </c>
      <c r="U182" s="10" t="s">
        <v>3150</v>
      </c>
      <c r="V182" s="24">
        <v>1.04</v>
      </c>
      <c r="W182" s="24">
        <v>7.28</v>
      </c>
      <c r="X182" s="24">
        <v>31.2</v>
      </c>
      <c r="Y182" s="24">
        <v>7.28</v>
      </c>
      <c r="Z182" s="24">
        <v>7.28</v>
      </c>
      <c r="AA182" s="9" t="s">
        <v>3154</v>
      </c>
      <c r="AB182" s="9">
        <v>0</v>
      </c>
      <c r="AC182" s="9">
        <v>0</v>
      </c>
      <c r="AD182" s="8"/>
      <c r="AE182" s="8"/>
      <c r="AF182" s="8"/>
      <c r="AG182" s="8"/>
      <c r="AH182" s="9"/>
      <c r="AI182" s="8">
        <v>46216</v>
      </c>
      <c r="AJ182" s="231">
        <v>46229</v>
      </c>
    </row>
    <row r="183" spans="1:36" hidden="1">
      <c r="A183" s="19" t="s">
        <v>3233</v>
      </c>
      <c r="B183" s="10" t="s">
        <v>3143</v>
      </c>
      <c r="C183" s="10" t="s">
        <v>3144</v>
      </c>
      <c r="D183" s="10" t="s">
        <v>3234</v>
      </c>
      <c r="E183" s="10" t="s">
        <v>3146</v>
      </c>
      <c r="F183" s="10" t="s">
        <v>2923</v>
      </c>
      <c r="G183" s="10" t="s">
        <v>2719</v>
      </c>
      <c r="H183" s="10" t="s">
        <v>706</v>
      </c>
      <c r="I183" s="10" t="s">
        <v>3373</v>
      </c>
      <c r="J183" s="10" t="s">
        <v>3374</v>
      </c>
      <c r="K183" s="10" t="s">
        <v>151</v>
      </c>
      <c r="L183" s="9" t="s">
        <v>3388</v>
      </c>
      <c r="M183" s="10" t="s">
        <v>15</v>
      </c>
      <c r="N183" s="10" t="s">
        <v>3150</v>
      </c>
      <c r="O183" s="10" t="s">
        <v>3151</v>
      </c>
      <c r="P183" s="8">
        <v>46223</v>
      </c>
      <c r="Q183" s="9" t="s">
        <v>3376</v>
      </c>
      <c r="R183" s="9">
        <v>7</v>
      </c>
      <c r="S183" s="10" t="s">
        <v>3153</v>
      </c>
      <c r="T183" s="10" t="s">
        <v>2255</v>
      </c>
      <c r="U183" s="10" t="s">
        <v>3150</v>
      </c>
      <c r="V183" s="24">
        <v>1.04</v>
      </c>
      <c r="W183" s="24">
        <v>7.28</v>
      </c>
      <c r="X183" s="24">
        <v>31.2</v>
      </c>
      <c r="Y183" s="24">
        <v>7.28</v>
      </c>
      <c r="Z183" s="24">
        <v>7.28</v>
      </c>
      <c r="AA183" s="9" t="s">
        <v>3154</v>
      </c>
      <c r="AB183" s="9">
        <v>0</v>
      </c>
      <c r="AC183" s="9">
        <v>0</v>
      </c>
      <c r="AD183" s="8"/>
      <c r="AE183" s="8"/>
      <c r="AF183" s="8"/>
      <c r="AG183" s="8"/>
      <c r="AH183" s="9"/>
      <c r="AI183" s="8">
        <v>46216</v>
      </c>
      <c r="AJ183" s="231">
        <v>46229</v>
      </c>
    </row>
    <row r="184" spans="1:36" hidden="1">
      <c r="A184" s="19" t="s">
        <v>3233</v>
      </c>
      <c r="B184" s="10" t="s">
        <v>3143</v>
      </c>
      <c r="C184" s="10" t="s">
        <v>3144</v>
      </c>
      <c r="D184" s="10" t="s">
        <v>3234</v>
      </c>
      <c r="E184" s="10" t="s">
        <v>3146</v>
      </c>
      <c r="F184" s="10" t="s">
        <v>2923</v>
      </c>
      <c r="G184" s="10" t="s">
        <v>2719</v>
      </c>
      <c r="H184" s="10" t="s">
        <v>706</v>
      </c>
      <c r="I184" s="10" t="s">
        <v>3373</v>
      </c>
      <c r="J184" s="10" t="s">
        <v>3374</v>
      </c>
      <c r="K184" s="10" t="s">
        <v>151</v>
      </c>
      <c r="L184" s="9" t="s">
        <v>3395</v>
      </c>
      <c r="M184" s="10" t="s">
        <v>15</v>
      </c>
      <c r="N184" s="10" t="s">
        <v>3150</v>
      </c>
      <c r="O184" s="10" t="s">
        <v>3151</v>
      </c>
      <c r="P184" s="8">
        <v>46223</v>
      </c>
      <c r="Q184" s="9" t="s">
        <v>3376</v>
      </c>
      <c r="R184" s="9">
        <v>7</v>
      </c>
      <c r="S184" s="10" t="s">
        <v>3153</v>
      </c>
      <c r="T184" s="10" t="s">
        <v>2255</v>
      </c>
      <c r="U184" s="10" t="s">
        <v>3150</v>
      </c>
      <c r="V184" s="24">
        <v>1.04</v>
      </c>
      <c r="W184" s="24">
        <v>7.28</v>
      </c>
      <c r="X184" s="24">
        <v>31.2</v>
      </c>
      <c r="Y184" s="24">
        <v>7.28</v>
      </c>
      <c r="Z184" s="24">
        <v>7.28</v>
      </c>
      <c r="AA184" s="9" t="s">
        <v>3154</v>
      </c>
      <c r="AB184" s="9">
        <v>0</v>
      </c>
      <c r="AC184" s="9">
        <v>0</v>
      </c>
      <c r="AD184" s="8"/>
      <c r="AE184" s="8"/>
      <c r="AF184" s="8"/>
      <c r="AG184" s="8"/>
      <c r="AH184" s="9"/>
      <c r="AI184" s="8">
        <v>46216</v>
      </c>
      <c r="AJ184" s="231">
        <v>46229</v>
      </c>
    </row>
    <row r="185" spans="1:36" hidden="1">
      <c r="A185" s="19" t="s">
        <v>3233</v>
      </c>
      <c r="B185" s="10" t="s">
        <v>3143</v>
      </c>
      <c r="C185" s="10" t="s">
        <v>3144</v>
      </c>
      <c r="D185" s="10" t="s">
        <v>3234</v>
      </c>
      <c r="E185" s="10" t="s">
        <v>3146</v>
      </c>
      <c r="F185" s="10" t="s">
        <v>2923</v>
      </c>
      <c r="G185" s="10" t="s">
        <v>2719</v>
      </c>
      <c r="H185" s="10" t="s">
        <v>706</v>
      </c>
      <c r="I185" s="10" t="s">
        <v>3373</v>
      </c>
      <c r="J185" s="10" t="s">
        <v>3374</v>
      </c>
      <c r="K185" s="10" t="s">
        <v>151</v>
      </c>
      <c r="L185" s="9" t="s">
        <v>3396</v>
      </c>
      <c r="M185" s="10" t="s">
        <v>15</v>
      </c>
      <c r="N185" s="10" t="s">
        <v>3150</v>
      </c>
      <c r="O185" s="10" t="s">
        <v>3151</v>
      </c>
      <c r="P185" s="8">
        <v>46223</v>
      </c>
      <c r="Q185" s="9" t="s">
        <v>3376</v>
      </c>
      <c r="R185" s="9">
        <v>7</v>
      </c>
      <c r="S185" s="10" t="s">
        <v>3153</v>
      </c>
      <c r="T185" s="10" t="s">
        <v>2255</v>
      </c>
      <c r="U185" s="10" t="s">
        <v>3150</v>
      </c>
      <c r="V185" s="24">
        <v>1.04</v>
      </c>
      <c r="W185" s="24">
        <v>7.28</v>
      </c>
      <c r="X185" s="24">
        <v>31.2</v>
      </c>
      <c r="Y185" s="24">
        <v>7.28</v>
      </c>
      <c r="Z185" s="24">
        <v>7.28</v>
      </c>
      <c r="AA185" s="9" t="s">
        <v>3154</v>
      </c>
      <c r="AB185" s="9">
        <v>0</v>
      </c>
      <c r="AC185" s="9">
        <v>0</v>
      </c>
      <c r="AD185" s="8"/>
      <c r="AE185" s="8"/>
      <c r="AF185" s="8"/>
      <c r="AG185" s="8"/>
      <c r="AH185" s="9"/>
      <c r="AI185" s="8">
        <v>46216</v>
      </c>
      <c r="AJ185" s="231">
        <v>46229</v>
      </c>
    </row>
    <row r="186" spans="1:36" hidden="1">
      <c r="A186" s="19" t="s">
        <v>3233</v>
      </c>
      <c r="B186" s="10" t="s">
        <v>3143</v>
      </c>
      <c r="C186" s="10" t="s">
        <v>3144</v>
      </c>
      <c r="D186" s="10" t="s">
        <v>3234</v>
      </c>
      <c r="E186" s="10" t="s">
        <v>3146</v>
      </c>
      <c r="F186" s="10" t="s">
        <v>2923</v>
      </c>
      <c r="G186" s="10" t="s">
        <v>2719</v>
      </c>
      <c r="H186" s="10" t="s">
        <v>706</v>
      </c>
      <c r="I186" s="10" t="s">
        <v>3373</v>
      </c>
      <c r="J186" s="10" t="s">
        <v>3374</v>
      </c>
      <c r="K186" s="10" t="s">
        <v>151</v>
      </c>
      <c r="L186" s="9" t="s">
        <v>3397</v>
      </c>
      <c r="M186" s="10" t="s">
        <v>15</v>
      </c>
      <c r="N186" s="10" t="s">
        <v>3150</v>
      </c>
      <c r="O186" s="10" t="s">
        <v>3151</v>
      </c>
      <c r="P186" s="8">
        <v>46223</v>
      </c>
      <c r="Q186" s="9" t="s">
        <v>3376</v>
      </c>
      <c r="R186" s="9">
        <v>7</v>
      </c>
      <c r="S186" s="10" t="s">
        <v>3153</v>
      </c>
      <c r="T186" s="10" t="s">
        <v>2255</v>
      </c>
      <c r="U186" s="10" t="s">
        <v>3150</v>
      </c>
      <c r="V186" s="24">
        <v>1.04</v>
      </c>
      <c r="W186" s="24">
        <v>7.28</v>
      </c>
      <c r="X186" s="24">
        <v>31.2</v>
      </c>
      <c r="Y186" s="24">
        <v>7.28</v>
      </c>
      <c r="Z186" s="24">
        <v>7.28</v>
      </c>
      <c r="AA186" s="9" t="s">
        <v>3154</v>
      </c>
      <c r="AB186" s="9">
        <v>0</v>
      </c>
      <c r="AC186" s="9">
        <v>0</v>
      </c>
      <c r="AD186" s="8"/>
      <c r="AE186" s="8"/>
      <c r="AF186" s="8"/>
      <c r="AG186" s="8"/>
      <c r="AH186" s="9"/>
      <c r="AI186" s="8">
        <v>46216</v>
      </c>
      <c r="AJ186" s="231">
        <v>46229</v>
      </c>
    </row>
    <row r="187" spans="1:36" hidden="1">
      <c r="A187" s="19" t="s">
        <v>3233</v>
      </c>
      <c r="B187" s="10" t="s">
        <v>3143</v>
      </c>
      <c r="C187" s="10" t="s">
        <v>3144</v>
      </c>
      <c r="D187" s="10" t="s">
        <v>3234</v>
      </c>
      <c r="E187" s="10" t="s">
        <v>3146</v>
      </c>
      <c r="F187" s="10" t="s">
        <v>2923</v>
      </c>
      <c r="G187" s="10" t="s">
        <v>2719</v>
      </c>
      <c r="H187" s="10" t="s">
        <v>706</v>
      </c>
      <c r="I187" s="10" t="s">
        <v>3373</v>
      </c>
      <c r="J187" s="10" t="s">
        <v>3374</v>
      </c>
      <c r="K187" s="10" t="s">
        <v>151</v>
      </c>
      <c r="L187" s="9" t="s">
        <v>3398</v>
      </c>
      <c r="M187" s="10" t="s">
        <v>15</v>
      </c>
      <c r="N187" s="10" t="s">
        <v>3150</v>
      </c>
      <c r="O187" s="10" t="s">
        <v>3151</v>
      </c>
      <c r="P187" s="8">
        <v>46223</v>
      </c>
      <c r="Q187" s="9" t="s">
        <v>3376</v>
      </c>
      <c r="R187" s="9">
        <v>7</v>
      </c>
      <c r="S187" s="10" t="s">
        <v>3153</v>
      </c>
      <c r="T187" s="10" t="s">
        <v>2255</v>
      </c>
      <c r="U187" s="10" t="s">
        <v>3150</v>
      </c>
      <c r="V187" s="24">
        <v>1.04</v>
      </c>
      <c r="W187" s="24">
        <v>7.28</v>
      </c>
      <c r="X187" s="24">
        <v>31.2</v>
      </c>
      <c r="Y187" s="24">
        <v>7.28</v>
      </c>
      <c r="Z187" s="24">
        <v>7.28</v>
      </c>
      <c r="AA187" s="9" t="s">
        <v>3154</v>
      </c>
      <c r="AB187" s="9">
        <v>0</v>
      </c>
      <c r="AC187" s="9">
        <v>0</v>
      </c>
      <c r="AD187" s="8"/>
      <c r="AE187" s="8"/>
      <c r="AF187" s="8"/>
      <c r="AG187" s="8"/>
      <c r="AH187" s="9"/>
      <c r="AI187" s="8">
        <v>46216</v>
      </c>
      <c r="AJ187" s="231">
        <v>46229</v>
      </c>
    </row>
    <row r="188" spans="1:36" hidden="1">
      <c r="A188" s="19" t="s">
        <v>3233</v>
      </c>
      <c r="B188" s="10" t="s">
        <v>3143</v>
      </c>
      <c r="C188" s="10" t="s">
        <v>3144</v>
      </c>
      <c r="D188" s="10" t="s">
        <v>3234</v>
      </c>
      <c r="E188" s="10" t="s">
        <v>3146</v>
      </c>
      <c r="F188" s="10" t="s">
        <v>2923</v>
      </c>
      <c r="G188" s="10" t="s">
        <v>2719</v>
      </c>
      <c r="H188" s="10" t="s">
        <v>706</v>
      </c>
      <c r="I188" s="10" t="s">
        <v>3373</v>
      </c>
      <c r="J188" s="10" t="s">
        <v>3374</v>
      </c>
      <c r="K188" s="10" t="s">
        <v>151</v>
      </c>
      <c r="L188" s="9" t="s">
        <v>3399</v>
      </c>
      <c r="M188" s="10" t="s">
        <v>15</v>
      </c>
      <c r="N188" s="10" t="s">
        <v>3150</v>
      </c>
      <c r="O188" s="10" t="s">
        <v>3151</v>
      </c>
      <c r="P188" s="8">
        <v>46223</v>
      </c>
      <c r="Q188" s="9" t="s">
        <v>3376</v>
      </c>
      <c r="R188" s="9">
        <v>7</v>
      </c>
      <c r="S188" s="10" t="s">
        <v>3153</v>
      </c>
      <c r="T188" s="10" t="s">
        <v>2255</v>
      </c>
      <c r="U188" s="10" t="s">
        <v>3150</v>
      </c>
      <c r="V188" s="24">
        <v>1.04</v>
      </c>
      <c r="W188" s="24">
        <v>7.28</v>
      </c>
      <c r="X188" s="24">
        <v>31.2</v>
      </c>
      <c r="Y188" s="24">
        <v>7.28</v>
      </c>
      <c r="Z188" s="24">
        <v>7.28</v>
      </c>
      <c r="AA188" s="9" t="s">
        <v>3154</v>
      </c>
      <c r="AB188" s="9">
        <v>0</v>
      </c>
      <c r="AC188" s="9">
        <v>0</v>
      </c>
      <c r="AD188" s="8"/>
      <c r="AE188" s="8"/>
      <c r="AF188" s="8"/>
      <c r="AG188" s="8"/>
      <c r="AH188" s="9"/>
      <c r="AI188" s="8">
        <v>46216</v>
      </c>
      <c r="AJ188" s="231">
        <v>46229</v>
      </c>
    </row>
    <row r="189" spans="1:36" hidden="1">
      <c r="A189" s="19" t="s">
        <v>3233</v>
      </c>
      <c r="B189" s="10" t="s">
        <v>3143</v>
      </c>
      <c r="C189" s="10" t="s">
        <v>3144</v>
      </c>
      <c r="D189" s="10" t="s">
        <v>3234</v>
      </c>
      <c r="E189" s="10" t="s">
        <v>3146</v>
      </c>
      <c r="F189" s="10" t="s">
        <v>2923</v>
      </c>
      <c r="G189" s="10" t="s">
        <v>2719</v>
      </c>
      <c r="H189" s="10" t="s">
        <v>706</v>
      </c>
      <c r="I189" s="10" t="s">
        <v>3373</v>
      </c>
      <c r="J189" s="10" t="s">
        <v>3374</v>
      </c>
      <c r="K189" s="10" t="s">
        <v>151</v>
      </c>
      <c r="L189" s="9" t="s">
        <v>3400</v>
      </c>
      <c r="M189" s="10" t="s">
        <v>15</v>
      </c>
      <c r="N189" s="10" t="s">
        <v>3150</v>
      </c>
      <c r="O189" s="10" t="s">
        <v>3151</v>
      </c>
      <c r="P189" s="8">
        <v>46223</v>
      </c>
      <c r="Q189" s="9" t="s">
        <v>3376</v>
      </c>
      <c r="R189" s="9">
        <v>7</v>
      </c>
      <c r="S189" s="10" t="s">
        <v>3153</v>
      </c>
      <c r="T189" s="10" t="s">
        <v>2255</v>
      </c>
      <c r="U189" s="10" t="s">
        <v>3150</v>
      </c>
      <c r="V189" s="24">
        <v>1.04</v>
      </c>
      <c r="W189" s="24">
        <v>7.28</v>
      </c>
      <c r="X189" s="24">
        <v>31.2</v>
      </c>
      <c r="Y189" s="24">
        <v>7.28</v>
      </c>
      <c r="Z189" s="24">
        <v>7.28</v>
      </c>
      <c r="AA189" s="9" t="s">
        <v>3154</v>
      </c>
      <c r="AB189" s="9">
        <v>0</v>
      </c>
      <c r="AC189" s="9">
        <v>0</v>
      </c>
      <c r="AD189" s="8"/>
      <c r="AE189" s="8"/>
      <c r="AF189" s="8"/>
      <c r="AG189" s="8"/>
      <c r="AH189" s="9"/>
      <c r="AI189" s="8">
        <v>46216</v>
      </c>
      <c r="AJ189" s="231">
        <v>46229</v>
      </c>
    </row>
    <row r="190" spans="1:36" hidden="1">
      <c r="A190" s="19" t="s">
        <v>3233</v>
      </c>
      <c r="B190" s="10" t="s">
        <v>3143</v>
      </c>
      <c r="C190" s="10" t="s">
        <v>3144</v>
      </c>
      <c r="D190" s="10" t="s">
        <v>3234</v>
      </c>
      <c r="E190" s="10" t="s">
        <v>3146</v>
      </c>
      <c r="F190" s="10" t="s">
        <v>2923</v>
      </c>
      <c r="G190" s="10" t="s">
        <v>2719</v>
      </c>
      <c r="H190" s="10" t="s">
        <v>706</v>
      </c>
      <c r="I190" s="10" t="s">
        <v>3373</v>
      </c>
      <c r="J190" s="10" t="s">
        <v>3374</v>
      </c>
      <c r="K190" s="10" t="s">
        <v>151</v>
      </c>
      <c r="L190" s="9" t="s">
        <v>3420</v>
      </c>
      <c r="M190" s="10" t="s">
        <v>15</v>
      </c>
      <c r="N190" s="10" t="s">
        <v>3150</v>
      </c>
      <c r="O190" s="10" t="s">
        <v>3151</v>
      </c>
      <c r="P190" s="8">
        <v>46223</v>
      </c>
      <c r="Q190" s="9" t="s">
        <v>3376</v>
      </c>
      <c r="R190" s="9">
        <v>7</v>
      </c>
      <c r="S190" s="10" t="s">
        <v>3153</v>
      </c>
      <c r="T190" s="10" t="s">
        <v>2255</v>
      </c>
      <c r="U190" s="10" t="s">
        <v>3150</v>
      </c>
      <c r="V190" s="24">
        <v>1.04</v>
      </c>
      <c r="W190" s="24">
        <v>7.28</v>
      </c>
      <c r="X190" s="24">
        <v>31.2</v>
      </c>
      <c r="Y190" s="24">
        <v>7.28</v>
      </c>
      <c r="Z190" s="24">
        <v>7.28</v>
      </c>
      <c r="AA190" s="9" t="s">
        <v>3154</v>
      </c>
      <c r="AB190" s="9">
        <v>0</v>
      </c>
      <c r="AC190" s="9">
        <v>0</v>
      </c>
      <c r="AD190" s="8"/>
      <c r="AE190" s="8"/>
      <c r="AF190" s="8"/>
      <c r="AG190" s="8"/>
      <c r="AH190" s="9"/>
      <c r="AI190" s="8">
        <v>46216</v>
      </c>
      <c r="AJ190" s="231">
        <v>46229</v>
      </c>
    </row>
    <row r="191" spans="1:36" hidden="1">
      <c r="A191" s="19" t="s">
        <v>3233</v>
      </c>
      <c r="B191" s="10" t="s">
        <v>3143</v>
      </c>
      <c r="C191" s="10" t="s">
        <v>3144</v>
      </c>
      <c r="D191" s="10" t="s">
        <v>3234</v>
      </c>
      <c r="E191" s="10" t="s">
        <v>3146</v>
      </c>
      <c r="F191" s="10" t="s">
        <v>2923</v>
      </c>
      <c r="G191" s="10" t="s">
        <v>2719</v>
      </c>
      <c r="H191" s="10" t="s">
        <v>706</v>
      </c>
      <c r="I191" s="10" t="s">
        <v>3373</v>
      </c>
      <c r="J191" s="10" t="s">
        <v>3374</v>
      </c>
      <c r="K191" s="10" t="s">
        <v>151</v>
      </c>
      <c r="L191" s="9" t="s">
        <v>3419</v>
      </c>
      <c r="M191" s="10" t="s">
        <v>15</v>
      </c>
      <c r="N191" s="10" t="s">
        <v>3150</v>
      </c>
      <c r="O191" s="10" t="s">
        <v>3151</v>
      </c>
      <c r="P191" s="8">
        <v>46223</v>
      </c>
      <c r="Q191" s="9" t="s">
        <v>3376</v>
      </c>
      <c r="R191" s="9">
        <v>7</v>
      </c>
      <c r="S191" s="10" t="s">
        <v>3153</v>
      </c>
      <c r="T191" s="10" t="s">
        <v>2255</v>
      </c>
      <c r="U191" s="10" t="s">
        <v>3150</v>
      </c>
      <c r="V191" s="24">
        <v>1.04</v>
      </c>
      <c r="W191" s="24">
        <v>7.28</v>
      </c>
      <c r="X191" s="24">
        <v>31.2</v>
      </c>
      <c r="Y191" s="24">
        <v>7.28</v>
      </c>
      <c r="Z191" s="24">
        <v>7.28</v>
      </c>
      <c r="AA191" s="9" t="s">
        <v>3154</v>
      </c>
      <c r="AB191" s="9">
        <v>0</v>
      </c>
      <c r="AC191" s="9">
        <v>0</v>
      </c>
      <c r="AD191" s="8"/>
      <c r="AE191" s="8"/>
      <c r="AF191" s="8"/>
      <c r="AG191" s="8"/>
      <c r="AH191" s="9"/>
      <c r="AI191" s="8">
        <v>46216</v>
      </c>
      <c r="AJ191" s="231">
        <v>46229</v>
      </c>
    </row>
    <row r="192" spans="1:36" hidden="1">
      <c r="A192" s="19" t="s">
        <v>3233</v>
      </c>
      <c r="B192" s="10" t="s">
        <v>3143</v>
      </c>
      <c r="C192" s="10" t="s">
        <v>3144</v>
      </c>
      <c r="D192" s="10" t="s">
        <v>3234</v>
      </c>
      <c r="E192" s="10" t="s">
        <v>3146</v>
      </c>
      <c r="F192" s="10" t="s">
        <v>2923</v>
      </c>
      <c r="G192" s="10" t="s">
        <v>2719</v>
      </c>
      <c r="H192" s="10" t="s">
        <v>706</v>
      </c>
      <c r="I192" s="10" t="s">
        <v>3373</v>
      </c>
      <c r="J192" s="10" t="s">
        <v>3374</v>
      </c>
      <c r="K192" s="10" t="s">
        <v>151</v>
      </c>
      <c r="L192" s="9" t="s">
        <v>3418</v>
      </c>
      <c r="M192" s="10" t="s">
        <v>15</v>
      </c>
      <c r="N192" s="10" t="s">
        <v>3150</v>
      </c>
      <c r="O192" s="10" t="s">
        <v>3151</v>
      </c>
      <c r="P192" s="8">
        <v>46223</v>
      </c>
      <c r="Q192" s="9" t="s">
        <v>3376</v>
      </c>
      <c r="R192" s="9">
        <v>7</v>
      </c>
      <c r="S192" s="10" t="s">
        <v>3153</v>
      </c>
      <c r="T192" s="10" t="s">
        <v>2255</v>
      </c>
      <c r="U192" s="10" t="s">
        <v>3150</v>
      </c>
      <c r="V192" s="24">
        <v>1.04</v>
      </c>
      <c r="W192" s="24">
        <v>7.28</v>
      </c>
      <c r="X192" s="24">
        <v>31.2</v>
      </c>
      <c r="Y192" s="24">
        <v>7.28</v>
      </c>
      <c r="Z192" s="24">
        <v>7.28</v>
      </c>
      <c r="AA192" s="9" t="s">
        <v>3154</v>
      </c>
      <c r="AB192" s="9">
        <v>0</v>
      </c>
      <c r="AC192" s="9">
        <v>0</v>
      </c>
      <c r="AD192" s="8"/>
      <c r="AE192" s="8"/>
      <c r="AF192" s="8"/>
      <c r="AG192" s="8"/>
      <c r="AH192" s="9"/>
      <c r="AI192" s="8">
        <v>46216</v>
      </c>
      <c r="AJ192" s="231">
        <v>46229</v>
      </c>
    </row>
    <row r="193" spans="1:36" hidden="1">
      <c r="A193" s="19" t="s">
        <v>3233</v>
      </c>
      <c r="B193" s="10" t="s">
        <v>3143</v>
      </c>
      <c r="C193" s="10" t="s">
        <v>3144</v>
      </c>
      <c r="D193" s="10" t="s">
        <v>3234</v>
      </c>
      <c r="E193" s="10" t="s">
        <v>3146</v>
      </c>
      <c r="F193" s="10" t="s">
        <v>2923</v>
      </c>
      <c r="G193" s="10" t="s">
        <v>2719</v>
      </c>
      <c r="H193" s="10" t="s">
        <v>706</v>
      </c>
      <c r="I193" s="10" t="s">
        <v>3373</v>
      </c>
      <c r="J193" s="10" t="s">
        <v>3374</v>
      </c>
      <c r="K193" s="10" t="s">
        <v>151</v>
      </c>
      <c r="L193" s="9" t="s">
        <v>3417</v>
      </c>
      <c r="M193" s="10" t="s">
        <v>15</v>
      </c>
      <c r="N193" s="10" t="s">
        <v>3150</v>
      </c>
      <c r="O193" s="10" t="s">
        <v>3151</v>
      </c>
      <c r="P193" s="8">
        <v>46223</v>
      </c>
      <c r="Q193" s="9" t="s">
        <v>3376</v>
      </c>
      <c r="R193" s="9">
        <v>7</v>
      </c>
      <c r="S193" s="10" t="s">
        <v>3153</v>
      </c>
      <c r="T193" s="10" t="s">
        <v>2255</v>
      </c>
      <c r="U193" s="10" t="s">
        <v>3150</v>
      </c>
      <c r="V193" s="24">
        <v>1.04</v>
      </c>
      <c r="W193" s="24">
        <v>7.28</v>
      </c>
      <c r="X193" s="24">
        <v>31.2</v>
      </c>
      <c r="Y193" s="24">
        <v>7.28</v>
      </c>
      <c r="Z193" s="24">
        <v>7.28</v>
      </c>
      <c r="AA193" s="9" t="s">
        <v>3154</v>
      </c>
      <c r="AB193" s="9">
        <v>0</v>
      </c>
      <c r="AC193" s="9">
        <v>0</v>
      </c>
      <c r="AD193" s="8"/>
      <c r="AE193" s="8"/>
      <c r="AF193" s="8"/>
      <c r="AG193" s="8"/>
      <c r="AH193" s="9"/>
      <c r="AI193" s="8">
        <v>46216</v>
      </c>
      <c r="AJ193" s="231">
        <v>46229</v>
      </c>
    </row>
    <row r="194" spans="1:36" hidden="1">
      <c r="A194" s="19" t="s">
        <v>3233</v>
      </c>
      <c r="B194" s="10" t="s">
        <v>3143</v>
      </c>
      <c r="C194" s="10" t="s">
        <v>3144</v>
      </c>
      <c r="D194" s="10" t="s">
        <v>3234</v>
      </c>
      <c r="E194" s="10" t="s">
        <v>3146</v>
      </c>
      <c r="F194" s="10" t="s">
        <v>2923</v>
      </c>
      <c r="G194" s="10" t="s">
        <v>2719</v>
      </c>
      <c r="H194" s="10" t="s">
        <v>706</v>
      </c>
      <c r="I194" s="10" t="s">
        <v>3373</v>
      </c>
      <c r="J194" s="10" t="s">
        <v>3374</v>
      </c>
      <c r="K194" s="10" t="s">
        <v>151</v>
      </c>
      <c r="L194" s="9" t="s">
        <v>3416</v>
      </c>
      <c r="M194" s="10" t="s">
        <v>15</v>
      </c>
      <c r="N194" s="10" t="s">
        <v>3150</v>
      </c>
      <c r="O194" s="10" t="s">
        <v>3151</v>
      </c>
      <c r="P194" s="8">
        <v>46223</v>
      </c>
      <c r="Q194" s="9" t="s">
        <v>3376</v>
      </c>
      <c r="R194" s="9">
        <v>7</v>
      </c>
      <c r="S194" s="10" t="s">
        <v>3153</v>
      </c>
      <c r="T194" s="10" t="s">
        <v>2255</v>
      </c>
      <c r="U194" s="10" t="s">
        <v>3150</v>
      </c>
      <c r="V194" s="24">
        <v>1.04</v>
      </c>
      <c r="W194" s="24">
        <v>7.28</v>
      </c>
      <c r="X194" s="24">
        <v>31.2</v>
      </c>
      <c r="Y194" s="24">
        <v>7.28</v>
      </c>
      <c r="Z194" s="24">
        <v>7.28</v>
      </c>
      <c r="AA194" s="9" t="s">
        <v>3154</v>
      </c>
      <c r="AB194" s="9">
        <v>0</v>
      </c>
      <c r="AC194" s="9">
        <v>0</v>
      </c>
      <c r="AD194" s="8"/>
      <c r="AE194" s="8"/>
      <c r="AF194" s="8"/>
      <c r="AG194" s="8"/>
      <c r="AH194" s="9"/>
      <c r="AI194" s="8">
        <v>46216</v>
      </c>
      <c r="AJ194" s="231">
        <v>46229</v>
      </c>
    </row>
    <row r="195" spans="1:36" hidden="1">
      <c r="A195" s="19" t="s">
        <v>3233</v>
      </c>
      <c r="B195" s="10" t="s">
        <v>3143</v>
      </c>
      <c r="C195" s="10" t="s">
        <v>3144</v>
      </c>
      <c r="D195" s="10" t="s">
        <v>3234</v>
      </c>
      <c r="E195" s="10" t="s">
        <v>3146</v>
      </c>
      <c r="F195" s="10" t="s">
        <v>2923</v>
      </c>
      <c r="G195" s="10" t="s">
        <v>2719</v>
      </c>
      <c r="H195" s="10" t="s">
        <v>706</v>
      </c>
      <c r="I195" s="10" t="s">
        <v>3373</v>
      </c>
      <c r="J195" s="10" t="s">
        <v>3374</v>
      </c>
      <c r="K195" s="10" t="s">
        <v>151</v>
      </c>
      <c r="L195" s="9" t="s">
        <v>3415</v>
      </c>
      <c r="M195" s="10" t="s">
        <v>15</v>
      </c>
      <c r="N195" s="10" t="s">
        <v>3150</v>
      </c>
      <c r="O195" s="10" t="s">
        <v>3151</v>
      </c>
      <c r="P195" s="8">
        <v>46223</v>
      </c>
      <c r="Q195" s="9" t="s">
        <v>3376</v>
      </c>
      <c r="R195" s="9">
        <v>7</v>
      </c>
      <c r="S195" s="10" t="s">
        <v>3153</v>
      </c>
      <c r="T195" s="10" t="s">
        <v>2255</v>
      </c>
      <c r="U195" s="10" t="s">
        <v>3150</v>
      </c>
      <c r="V195" s="24">
        <v>1.04</v>
      </c>
      <c r="W195" s="24">
        <v>7.28</v>
      </c>
      <c r="X195" s="24">
        <v>31.2</v>
      </c>
      <c r="Y195" s="24">
        <v>7.28</v>
      </c>
      <c r="Z195" s="24">
        <v>7.28</v>
      </c>
      <c r="AA195" s="9" t="s">
        <v>3154</v>
      </c>
      <c r="AB195" s="9">
        <v>0</v>
      </c>
      <c r="AC195" s="9">
        <v>0</v>
      </c>
      <c r="AD195" s="8"/>
      <c r="AE195" s="8"/>
      <c r="AF195" s="8"/>
      <c r="AG195" s="8"/>
      <c r="AH195" s="9"/>
      <c r="AI195" s="8">
        <v>46216</v>
      </c>
      <c r="AJ195" s="231">
        <v>46229</v>
      </c>
    </row>
    <row r="196" spans="1:36" hidden="1">
      <c r="A196" s="19" t="s">
        <v>3233</v>
      </c>
      <c r="B196" s="10" t="s">
        <v>3143</v>
      </c>
      <c r="C196" s="10" t="s">
        <v>3144</v>
      </c>
      <c r="D196" s="10" t="s">
        <v>3234</v>
      </c>
      <c r="E196" s="10" t="s">
        <v>3146</v>
      </c>
      <c r="F196" s="10" t="s">
        <v>2923</v>
      </c>
      <c r="G196" s="10" t="s">
        <v>2719</v>
      </c>
      <c r="H196" s="10" t="s">
        <v>706</v>
      </c>
      <c r="I196" s="10" t="s">
        <v>3373</v>
      </c>
      <c r="J196" s="10" t="s">
        <v>3374</v>
      </c>
      <c r="K196" s="10" t="s">
        <v>151</v>
      </c>
      <c r="L196" s="9" t="s">
        <v>3385</v>
      </c>
      <c r="M196" s="10" t="s">
        <v>15</v>
      </c>
      <c r="N196" s="10" t="s">
        <v>3150</v>
      </c>
      <c r="O196" s="10" t="s">
        <v>3151</v>
      </c>
      <c r="P196" s="8">
        <v>46223</v>
      </c>
      <c r="Q196" s="9" t="s">
        <v>3376</v>
      </c>
      <c r="R196" s="9">
        <v>7</v>
      </c>
      <c r="S196" s="10" t="s">
        <v>3153</v>
      </c>
      <c r="T196" s="10" t="s">
        <v>2255</v>
      </c>
      <c r="U196" s="10" t="s">
        <v>3150</v>
      </c>
      <c r="V196" s="24">
        <v>1.04</v>
      </c>
      <c r="W196" s="24">
        <v>7.28</v>
      </c>
      <c r="X196" s="24">
        <v>31.2</v>
      </c>
      <c r="Y196" s="24">
        <v>7.28</v>
      </c>
      <c r="Z196" s="24">
        <v>7.28</v>
      </c>
      <c r="AA196" s="9" t="s">
        <v>3154</v>
      </c>
      <c r="AB196" s="9">
        <v>0</v>
      </c>
      <c r="AC196" s="9">
        <v>0</v>
      </c>
      <c r="AD196" s="8"/>
      <c r="AE196" s="8"/>
      <c r="AF196" s="8"/>
      <c r="AG196" s="8"/>
      <c r="AH196" s="9"/>
      <c r="AI196" s="8">
        <v>46216</v>
      </c>
      <c r="AJ196" s="231">
        <v>46229</v>
      </c>
    </row>
    <row r="197" spans="1:36" hidden="1">
      <c r="A197" s="19" t="s">
        <v>3233</v>
      </c>
      <c r="B197" s="10" t="s">
        <v>3143</v>
      </c>
      <c r="C197" s="10" t="s">
        <v>3144</v>
      </c>
      <c r="D197" s="10" t="s">
        <v>3234</v>
      </c>
      <c r="E197" s="10" t="s">
        <v>3146</v>
      </c>
      <c r="F197" s="10" t="s">
        <v>2923</v>
      </c>
      <c r="G197" s="10" t="s">
        <v>2719</v>
      </c>
      <c r="H197" s="10" t="s">
        <v>706</v>
      </c>
      <c r="I197" s="10" t="s">
        <v>3373</v>
      </c>
      <c r="J197" s="10" t="s">
        <v>3374</v>
      </c>
      <c r="K197" s="10" t="s">
        <v>151</v>
      </c>
      <c r="L197" s="9" t="s">
        <v>3414</v>
      </c>
      <c r="M197" s="10" t="s">
        <v>15</v>
      </c>
      <c r="N197" s="10" t="s">
        <v>3150</v>
      </c>
      <c r="O197" s="10" t="s">
        <v>3151</v>
      </c>
      <c r="P197" s="8">
        <v>46223</v>
      </c>
      <c r="Q197" s="9" t="s">
        <v>3376</v>
      </c>
      <c r="R197" s="9">
        <v>7</v>
      </c>
      <c r="S197" s="10" t="s">
        <v>3153</v>
      </c>
      <c r="T197" s="10" t="s">
        <v>2255</v>
      </c>
      <c r="U197" s="10" t="s">
        <v>3150</v>
      </c>
      <c r="V197" s="24">
        <v>1.04</v>
      </c>
      <c r="W197" s="24">
        <v>7.28</v>
      </c>
      <c r="X197" s="24">
        <v>31.2</v>
      </c>
      <c r="Y197" s="24">
        <v>7.28</v>
      </c>
      <c r="Z197" s="24">
        <v>7.28</v>
      </c>
      <c r="AA197" s="9" t="s">
        <v>3154</v>
      </c>
      <c r="AB197" s="9">
        <v>0</v>
      </c>
      <c r="AC197" s="9">
        <v>0</v>
      </c>
      <c r="AD197" s="8"/>
      <c r="AE197" s="8"/>
      <c r="AF197" s="8"/>
      <c r="AG197" s="8"/>
      <c r="AH197" s="9"/>
      <c r="AI197" s="8">
        <v>46216</v>
      </c>
      <c r="AJ197" s="231">
        <v>46229</v>
      </c>
    </row>
    <row r="198" spans="1:36" hidden="1">
      <c r="A198" s="19" t="s">
        <v>3233</v>
      </c>
      <c r="B198" s="10" t="s">
        <v>3143</v>
      </c>
      <c r="C198" s="10" t="s">
        <v>3144</v>
      </c>
      <c r="D198" s="10" t="s">
        <v>3234</v>
      </c>
      <c r="E198" s="10" t="s">
        <v>3146</v>
      </c>
      <c r="F198" s="10" t="s">
        <v>2923</v>
      </c>
      <c r="G198" s="10" t="s">
        <v>2719</v>
      </c>
      <c r="H198" s="10" t="s">
        <v>706</v>
      </c>
      <c r="I198" s="10" t="s">
        <v>3373</v>
      </c>
      <c r="J198" s="10" t="s">
        <v>3374</v>
      </c>
      <c r="K198" s="10" t="s">
        <v>151</v>
      </c>
      <c r="L198" s="9" t="s">
        <v>3377</v>
      </c>
      <c r="M198" s="10" t="s">
        <v>15</v>
      </c>
      <c r="N198" s="10" t="s">
        <v>3150</v>
      </c>
      <c r="O198" s="10" t="s">
        <v>3151</v>
      </c>
      <c r="P198" s="8">
        <v>46223</v>
      </c>
      <c r="Q198" s="9" t="s">
        <v>3376</v>
      </c>
      <c r="R198" s="9">
        <v>7</v>
      </c>
      <c r="S198" s="10" t="s">
        <v>3153</v>
      </c>
      <c r="T198" s="10" t="s">
        <v>2255</v>
      </c>
      <c r="U198" s="10" t="s">
        <v>3150</v>
      </c>
      <c r="V198" s="24">
        <v>1.04</v>
      </c>
      <c r="W198" s="24">
        <v>7.28</v>
      </c>
      <c r="X198" s="24">
        <v>31.2</v>
      </c>
      <c r="Y198" s="24">
        <v>7.28</v>
      </c>
      <c r="Z198" s="24">
        <v>7.28</v>
      </c>
      <c r="AA198" s="9" t="s">
        <v>3154</v>
      </c>
      <c r="AB198" s="9">
        <v>0</v>
      </c>
      <c r="AC198" s="9">
        <v>0</v>
      </c>
      <c r="AD198" s="8"/>
      <c r="AE198" s="8"/>
      <c r="AF198" s="8"/>
      <c r="AG198" s="8"/>
      <c r="AH198" s="9"/>
      <c r="AI198" s="8">
        <v>46216</v>
      </c>
      <c r="AJ198" s="231">
        <v>46229</v>
      </c>
    </row>
    <row r="199" spans="1:36" hidden="1">
      <c r="A199" s="19" t="s">
        <v>3233</v>
      </c>
      <c r="B199" s="10" t="s">
        <v>3143</v>
      </c>
      <c r="C199" s="10" t="s">
        <v>3144</v>
      </c>
      <c r="D199" s="10" t="s">
        <v>3234</v>
      </c>
      <c r="E199" s="10" t="s">
        <v>3146</v>
      </c>
      <c r="F199" s="10" t="s">
        <v>2923</v>
      </c>
      <c r="G199" s="10" t="s">
        <v>2719</v>
      </c>
      <c r="H199" s="10" t="s">
        <v>706</v>
      </c>
      <c r="I199" s="10" t="s">
        <v>3373</v>
      </c>
      <c r="J199" s="10" t="s">
        <v>3374</v>
      </c>
      <c r="K199" s="10" t="s">
        <v>151</v>
      </c>
      <c r="L199" s="9" t="s">
        <v>3410</v>
      </c>
      <c r="M199" s="10" t="s">
        <v>15</v>
      </c>
      <c r="N199" s="10" t="s">
        <v>3150</v>
      </c>
      <c r="O199" s="10" t="s">
        <v>3151</v>
      </c>
      <c r="P199" s="8">
        <v>46223</v>
      </c>
      <c r="Q199" s="9" t="s">
        <v>3376</v>
      </c>
      <c r="R199" s="9">
        <v>7</v>
      </c>
      <c r="S199" s="10" t="s">
        <v>3153</v>
      </c>
      <c r="T199" s="10" t="s">
        <v>2255</v>
      </c>
      <c r="U199" s="10" t="s">
        <v>3150</v>
      </c>
      <c r="V199" s="24">
        <v>1.04</v>
      </c>
      <c r="W199" s="24">
        <v>7.28</v>
      </c>
      <c r="X199" s="24">
        <v>31.2</v>
      </c>
      <c r="Y199" s="24">
        <v>7.28</v>
      </c>
      <c r="Z199" s="24">
        <v>7.28</v>
      </c>
      <c r="AA199" s="9" t="s">
        <v>3154</v>
      </c>
      <c r="AB199" s="9">
        <v>0</v>
      </c>
      <c r="AC199" s="9">
        <v>0</v>
      </c>
      <c r="AD199" s="8"/>
      <c r="AE199" s="8"/>
      <c r="AF199" s="8"/>
      <c r="AG199" s="8"/>
      <c r="AH199" s="9"/>
      <c r="AI199" s="8">
        <v>46216</v>
      </c>
      <c r="AJ199" s="231">
        <v>46229</v>
      </c>
    </row>
    <row r="200" spans="1:36" hidden="1">
      <c r="A200" s="19" t="s">
        <v>3233</v>
      </c>
      <c r="B200" s="10" t="s">
        <v>3143</v>
      </c>
      <c r="C200" s="10" t="s">
        <v>3144</v>
      </c>
      <c r="D200" s="10" t="s">
        <v>3234</v>
      </c>
      <c r="E200" s="10" t="s">
        <v>3146</v>
      </c>
      <c r="F200" s="10" t="s">
        <v>2923</v>
      </c>
      <c r="G200" s="10" t="s">
        <v>2719</v>
      </c>
      <c r="H200" s="10" t="s">
        <v>706</v>
      </c>
      <c r="I200" s="10" t="s">
        <v>3373</v>
      </c>
      <c r="J200" s="10" t="s">
        <v>3374</v>
      </c>
      <c r="K200" s="10" t="s">
        <v>151</v>
      </c>
      <c r="L200" s="9" t="s">
        <v>3386</v>
      </c>
      <c r="M200" s="10" t="s">
        <v>15</v>
      </c>
      <c r="N200" s="10" t="s">
        <v>3150</v>
      </c>
      <c r="O200" s="10" t="s">
        <v>3151</v>
      </c>
      <c r="P200" s="8">
        <v>46223</v>
      </c>
      <c r="Q200" s="9" t="s">
        <v>3376</v>
      </c>
      <c r="R200" s="9">
        <v>7</v>
      </c>
      <c r="S200" s="10" t="s">
        <v>3153</v>
      </c>
      <c r="T200" s="10" t="s">
        <v>2255</v>
      </c>
      <c r="U200" s="10" t="s">
        <v>3150</v>
      </c>
      <c r="V200" s="24">
        <v>1.04</v>
      </c>
      <c r="W200" s="24">
        <v>7.28</v>
      </c>
      <c r="X200" s="24">
        <v>31.2</v>
      </c>
      <c r="Y200" s="24">
        <v>7.28</v>
      </c>
      <c r="Z200" s="24">
        <v>7.28</v>
      </c>
      <c r="AA200" s="9" t="s">
        <v>3154</v>
      </c>
      <c r="AB200" s="9">
        <v>0</v>
      </c>
      <c r="AC200" s="9">
        <v>0</v>
      </c>
      <c r="AD200" s="8"/>
      <c r="AE200" s="8"/>
      <c r="AF200" s="8"/>
      <c r="AG200" s="8"/>
      <c r="AH200" s="9"/>
      <c r="AI200" s="8">
        <v>46216</v>
      </c>
      <c r="AJ200" s="231">
        <v>46229</v>
      </c>
    </row>
    <row r="201" spans="1:36" hidden="1">
      <c r="A201" s="19" t="s">
        <v>3233</v>
      </c>
      <c r="B201" s="10" t="s">
        <v>3143</v>
      </c>
      <c r="C201" s="10" t="s">
        <v>3144</v>
      </c>
      <c r="D201" s="10" t="s">
        <v>3234</v>
      </c>
      <c r="E201" s="10" t="s">
        <v>3146</v>
      </c>
      <c r="F201" s="10" t="s">
        <v>2923</v>
      </c>
      <c r="G201" s="10" t="s">
        <v>2719</v>
      </c>
      <c r="H201" s="10" t="s">
        <v>706</v>
      </c>
      <c r="I201" s="10" t="s">
        <v>3373</v>
      </c>
      <c r="J201" s="10" t="s">
        <v>3374</v>
      </c>
      <c r="K201" s="10" t="s">
        <v>151</v>
      </c>
      <c r="L201" s="9" t="s">
        <v>3409</v>
      </c>
      <c r="M201" s="10" t="s">
        <v>15</v>
      </c>
      <c r="N201" s="10" t="s">
        <v>3150</v>
      </c>
      <c r="O201" s="10" t="s">
        <v>3151</v>
      </c>
      <c r="P201" s="8">
        <v>46223</v>
      </c>
      <c r="Q201" s="9" t="s">
        <v>3376</v>
      </c>
      <c r="R201" s="9">
        <v>7</v>
      </c>
      <c r="S201" s="10" t="s">
        <v>3153</v>
      </c>
      <c r="T201" s="10" t="s">
        <v>2255</v>
      </c>
      <c r="U201" s="10" t="s">
        <v>3150</v>
      </c>
      <c r="V201" s="24">
        <v>1.04</v>
      </c>
      <c r="W201" s="24">
        <v>7.28</v>
      </c>
      <c r="X201" s="24">
        <v>31.2</v>
      </c>
      <c r="Y201" s="24">
        <v>7.28</v>
      </c>
      <c r="Z201" s="24">
        <v>7.28</v>
      </c>
      <c r="AA201" s="9" t="s">
        <v>3154</v>
      </c>
      <c r="AB201" s="9">
        <v>0</v>
      </c>
      <c r="AC201" s="9">
        <v>0</v>
      </c>
      <c r="AD201" s="8"/>
      <c r="AE201" s="8"/>
      <c r="AF201" s="8"/>
      <c r="AG201" s="8"/>
      <c r="AH201" s="9"/>
      <c r="AI201" s="8">
        <v>46216</v>
      </c>
      <c r="AJ201" s="231">
        <v>46229</v>
      </c>
    </row>
    <row r="202" spans="1:36" hidden="1">
      <c r="A202" s="19" t="s">
        <v>3233</v>
      </c>
      <c r="B202" s="10" t="s">
        <v>3143</v>
      </c>
      <c r="C202" s="10" t="s">
        <v>3144</v>
      </c>
      <c r="D202" s="10" t="s">
        <v>3234</v>
      </c>
      <c r="E202" s="10" t="s">
        <v>3146</v>
      </c>
      <c r="F202" s="10" t="s">
        <v>2923</v>
      </c>
      <c r="G202" s="10" t="s">
        <v>2719</v>
      </c>
      <c r="H202" s="10" t="s">
        <v>706</v>
      </c>
      <c r="I202" s="10" t="s">
        <v>3373</v>
      </c>
      <c r="J202" s="10" t="s">
        <v>3374</v>
      </c>
      <c r="K202" s="10" t="s">
        <v>151</v>
      </c>
      <c r="L202" s="9" t="s">
        <v>3402</v>
      </c>
      <c r="M202" s="10" t="s">
        <v>15</v>
      </c>
      <c r="N202" s="10" t="s">
        <v>3150</v>
      </c>
      <c r="O202" s="10" t="s">
        <v>3151</v>
      </c>
      <c r="P202" s="8">
        <v>46223</v>
      </c>
      <c r="Q202" s="9" t="s">
        <v>3376</v>
      </c>
      <c r="R202" s="9">
        <v>7</v>
      </c>
      <c r="S202" s="10" t="s">
        <v>3153</v>
      </c>
      <c r="T202" s="10" t="s">
        <v>2255</v>
      </c>
      <c r="U202" s="10" t="s">
        <v>3150</v>
      </c>
      <c r="V202" s="24">
        <v>1.04</v>
      </c>
      <c r="W202" s="24">
        <v>7.28</v>
      </c>
      <c r="X202" s="24">
        <v>31.2</v>
      </c>
      <c r="Y202" s="24">
        <v>7.28</v>
      </c>
      <c r="Z202" s="24">
        <v>7.28</v>
      </c>
      <c r="AA202" s="9" t="s">
        <v>3154</v>
      </c>
      <c r="AB202" s="9">
        <v>0</v>
      </c>
      <c r="AC202" s="9">
        <v>0</v>
      </c>
      <c r="AD202" s="8"/>
      <c r="AE202" s="8"/>
      <c r="AF202" s="8"/>
      <c r="AG202" s="8"/>
      <c r="AH202" s="9"/>
      <c r="AI202" s="8">
        <v>46216</v>
      </c>
      <c r="AJ202" s="231">
        <v>46229</v>
      </c>
    </row>
    <row r="203" spans="1:36" hidden="1">
      <c r="A203" s="19" t="s">
        <v>3233</v>
      </c>
      <c r="B203" s="10" t="s">
        <v>3143</v>
      </c>
      <c r="C203" s="10" t="s">
        <v>3144</v>
      </c>
      <c r="D203" s="10" t="s">
        <v>3234</v>
      </c>
      <c r="E203" s="10" t="s">
        <v>3146</v>
      </c>
      <c r="F203" s="10" t="s">
        <v>2923</v>
      </c>
      <c r="G203" s="10" t="s">
        <v>2719</v>
      </c>
      <c r="H203" s="10" t="s">
        <v>706</v>
      </c>
      <c r="I203" s="10" t="s">
        <v>3373</v>
      </c>
      <c r="J203" s="10" t="s">
        <v>3374</v>
      </c>
      <c r="K203" s="10" t="s">
        <v>151</v>
      </c>
      <c r="L203" s="9" t="s">
        <v>3387</v>
      </c>
      <c r="M203" s="10" t="s">
        <v>15</v>
      </c>
      <c r="N203" s="10" t="s">
        <v>3150</v>
      </c>
      <c r="O203" s="10" t="s">
        <v>3151</v>
      </c>
      <c r="P203" s="8">
        <v>46223</v>
      </c>
      <c r="Q203" s="9" t="s">
        <v>3376</v>
      </c>
      <c r="R203" s="9">
        <v>7</v>
      </c>
      <c r="S203" s="10" t="s">
        <v>3153</v>
      </c>
      <c r="T203" s="10" t="s">
        <v>2255</v>
      </c>
      <c r="U203" s="10" t="s">
        <v>3150</v>
      </c>
      <c r="V203" s="24">
        <v>1.04</v>
      </c>
      <c r="W203" s="24">
        <v>7.28</v>
      </c>
      <c r="X203" s="24">
        <v>31.2</v>
      </c>
      <c r="Y203" s="24">
        <v>7.28</v>
      </c>
      <c r="Z203" s="24">
        <v>7.28</v>
      </c>
      <c r="AA203" s="9" t="s">
        <v>3154</v>
      </c>
      <c r="AB203" s="9">
        <v>0</v>
      </c>
      <c r="AC203" s="9">
        <v>0</v>
      </c>
      <c r="AD203" s="8"/>
      <c r="AE203" s="8"/>
      <c r="AF203" s="8"/>
      <c r="AG203" s="8"/>
      <c r="AH203" s="9"/>
      <c r="AI203" s="8">
        <v>46216</v>
      </c>
      <c r="AJ203" s="231">
        <v>46229</v>
      </c>
    </row>
    <row r="204" spans="1:36" hidden="1">
      <c r="A204" s="19" t="s">
        <v>3233</v>
      </c>
      <c r="B204" s="10" t="s">
        <v>3143</v>
      </c>
      <c r="C204" s="10" t="s">
        <v>3144</v>
      </c>
      <c r="D204" s="10" t="s">
        <v>3234</v>
      </c>
      <c r="E204" s="10" t="s">
        <v>3146</v>
      </c>
      <c r="F204" s="10" t="s">
        <v>2923</v>
      </c>
      <c r="G204" s="10" t="s">
        <v>2719</v>
      </c>
      <c r="H204" s="10" t="s">
        <v>706</v>
      </c>
      <c r="I204" s="10" t="s">
        <v>3373</v>
      </c>
      <c r="J204" s="10" t="s">
        <v>3374</v>
      </c>
      <c r="K204" s="10" t="s">
        <v>151</v>
      </c>
      <c r="L204" s="9" t="s">
        <v>3413</v>
      </c>
      <c r="M204" s="10" t="s">
        <v>15</v>
      </c>
      <c r="N204" s="10" t="s">
        <v>3150</v>
      </c>
      <c r="O204" s="10" t="s">
        <v>3151</v>
      </c>
      <c r="P204" s="8">
        <v>46223</v>
      </c>
      <c r="Q204" s="9" t="s">
        <v>3376</v>
      </c>
      <c r="R204" s="9">
        <v>7</v>
      </c>
      <c r="S204" s="10" t="s">
        <v>3153</v>
      </c>
      <c r="T204" s="10" t="s">
        <v>2255</v>
      </c>
      <c r="U204" s="10" t="s">
        <v>3150</v>
      </c>
      <c r="V204" s="24">
        <v>1.04</v>
      </c>
      <c r="W204" s="24">
        <v>7.28</v>
      </c>
      <c r="X204" s="24">
        <v>31.2</v>
      </c>
      <c r="Y204" s="24">
        <v>7.28</v>
      </c>
      <c r="Z204" s="24">
        <v>7.28</v>
      </c>
      <c r="AA204" s="9" t="s">
        <v>3154</v>
      </c>
      <c r="AB204" s="9">
        <v>0</v>
      </c>
      <c r="AC204" s="9">
        <v>0</v>
      </c>
      <c r="AD204" s="8"/>
      <c r="AE204" s="8"/>
      <c r="AF204" s="8"/>
      <c r="AG204" s="8"/>
      <c r="AH204" s="9"/>
      <c r="AI204" s="8">
        <v>46216</v>
      </c>
      <c r="AJ204" s="231">
        <v>46229</v>
      </c>
    </row>
    <row r="205" spans="1:36" hidden="1">
      <c r="A205" s="19" t="s">
        <v>3233</v>
      </c>
      <c r="B205" s="10" t="s">
        <v>3143</v>
      </c>
      <c r="C205" s="10" t="s">
        <v>3144</v>
      </c>
      <c r="D205" s="10" t="s">
        <v>3234</v>
      </c>
      <c r="E205" s="10" t="s">
        <v>3146</v>
      </c>
      <c r="F205" s="10" t="s">
        <v>2923</v>
      </c>
      <c r="G205" s="10" t="s">
        <v>2719</v>
      </c>
      <c r="H205" s="10" t="s">
        <v>706</v>
      </c>
      <c r="I205" s="10" t="s">
        <v>3373</v>
      </c>
      <c r="J205" s="10" t="s">
        <v>3374</v>
      </c>
      <c r="K205" s="10" t="s">
        <v>151</v>
      </c>
      <c r="L205" s="9" t="s">
        <v>3404</v>
      </c>
      <c r="M205" s="10" t="s">
        <v>15</v>
      </c>
      <c r="N205" s="10" t="s">
        <v>3150</v>
      </c>
      <c r="O205" s="10" t="s">
        <v>3151</v>
      </c>
      <c r="P205" s="8">
        <v>46223</v>
      </c>
      <c r="Q205" s="9" t="s">
        <v>3376</v>
      </c>
      <c r="R205" s="9">
        <v>7</v>
      </c>
      <c r="S205" s="10" t="s">
        <v>3153</v>
      </c>
      <c r="T205" s="10" t="s">
        <v>2255</v>
      </c>
      <c r="U205" s="10" t="s">
        <v>3150</v>
      </c>
      <c r="V205" s="24">
        <v>1.04</v>
      </c>
      <c r="W205" s="24">
        <v>7.28</v>
      </c>
      <c r="X205" s="24">
        <v>31.2</v>
      </c>
      <c r="Y205" s="24">
        <v>7.28</v>
      </c>
      <c r="Z205" s="24">
        <v>7.28</v>
      </c>
      <c r="AA205" s="9" t="s">
        <v>3154</v>
      </c>
      <c r="AB205" s="9">
        <v>0</v>
      </c>
      <c r="AC205" s="9">
        <v>0</v>
      </c>
      <c r="AD205" s="8"/>
      <c r="AE205" s="8"/>
      <c r="AF205" s="8"/>
      <c r="AG205" s="8"/>
      <c r="AH205" s="9"/>
      <c r="AI205" s="8">
        <v>46216</v>
      </c>
      <c r="AJ205" s="231">
        <v>46229</v>
      </c>
    </row>
    <row r="206" spans="1:36">
      <c r="A206" s="19" t="s">
        <v>3142</v>
      </c>
      <c r="B206" s="10" t="s">
        <v>3143</v>
      </c>
      <c r="C206" s="10" t="s">
        <v>3144</v>
      </c>
      <c r="D206" s="10" t="s">
        <v>3145</v>
      </c>
      <c r="E206" s="10" t="s">
        <v>3146</v>
      </c>
      <c r="F206" s="10" t="s">
        <v>3214</v>
      </c>
      <c r="G206" s="10"/>
      <c r="H206" s="10" t="s">
        <v>679</v>
      </c>
      <c r="I206" s="10" t="s">
        <v>3214</v>
      </c>
      <c r="J206" s="10" t="s">
        <v>3148</v>
      </c>
      <c r="K206" s="10" t="s">
        <v>2238</v>
      </c>
      <c r="L206" s="9" t="s">
        <v>3231</v>
      </c>
      <c r="M206" s="10" t="s">
        <v>15</v>
      </c>
      <c r="N206" s="10" t="s">
        <v>3150</v>
      </c>
      <c r="O206" s="10" t="s">
        <v>3151</v>
      </c>
      <c r="P206" s="8">
        <v>46223</v>
      </c>
      <c r="Q206" s="9" t="s">
        <v>3169</v>
      </c>
      <c r="R206" s="9">
        <v>7</v>
      </c>
      <c r="S206" s="10" t="s">
        <v>3153</v>
      </c>
      <c r="T206" s="10" t="s">
        <v>2352</v>
      </c>
      <c r="U206" s="10" t="s">
        <v>3150</v>
      </c>
      <c r="V206" s="24">
        <v>34.22</v>
      </c>
      <c r="W206" s="24">
        <v>239.54</v>
      </c>
      <c r="X206" s="24">
        <v>1026.5999999999999</v>
      </c>
      <c r="Y206" s="24">
        <v>239.54</v>
      </c>
      <c r="Z206" s="24">
        <v>239.54</v>
      </c>
      <c r="AA206" s="9" t="s">
        <v>3154</v>
      </c>
      <c r="AB206" s="9">
        <v>0</v>
      </c>
      <c r="AC206" s="9">
        <v>0</v>
      </c>
      <c r="AD206" s="8"/>
      <c r="AE206" s="8"/>
      <c r="AF206" s="8"/>
      <c r="AG206" s="8"/>
      <c r="AH206" s="9"/>
      <c r="AI206" s="8">
        <v>46216</v>
      </c>
      <c r="AJ206" s="231">
        <v>46229</v>
      </c>
    </row>
    <row r="207" spans="1:36">
      <c r="A207" s="19" t="s">
        <v>3142</v>
      </c>
      <c r="B207" s="10" t="s">
        <v>3143</v>
      </c>
      <c r="C207" s="10" t="s">
        <v>3144</v>
      </c>
      <c r="D207" s="10" t="s">
        <v>3145</v>
      </c>
      <c r="E207" s="10" t="s">
        <v>3146</v>
      </c>
      <c r="F207" s="10" t="s">
        <v>3214</v>
      </c>
      <c r="G207" s="10"/>
      <c r="H207" s="10" t="s">
        <v>2239</v>
      </c>
      <c r="I207" s="10" t="s">
        <v>3214</v>
      </c>
      <c r="J207" s="10" t="s">
        <v>3148</v>
      </c>
      <c r="K207" s="10" t="s">
        <v>2240</v>
      </c>
      <c r="L207" s="9" t="s">
        <v>3215</v>
      </c>
      <c r="M207" s="10" t="s">
        <v>15</v>
      </c>
      <c r="N207" s="10" t="s">
        <v>3150</v>
      </c>
      <c r="O207" s="10" t="s">
        <v>3151</v>
      </c>
      <c r="P207" s="8">
        <v>46223</v>
      </c>
      <c r="Q207" s="9" t="s">
        <v>3169</v>
      </c>
      <c r="R207" s="9">
        <v>7</v>
      </c>
      <c r="S207" s="10" t="s">
        <v>3153</v>
      </c>
      <c r="T207" s="10" t="s">
        <v>2352</v>
      </c>
      <c r="U207" s="10" t="s">
        <v>3150</v>
      </c>
      <c r="V207" s="24">
        <v>57.03</v>
      </c>
      <c r="W207" s="24">
        <v>399.21</v>
      </c>
      <c r="X207" s="24">
        <v>1710.9</v>
      </c>
      <c r="Y207" s="24">
        <v>399.21</v>
      </c>
      <c r="Z207" s="24">
        <v>399.21</v>
      </c>
      <c r="AA207" s="9" t="s">
        <v>3154</v>
      </c>
      <c r="AB207" s="9">
        <v>0</v>
      </c>
      <c r="AC207" s="9">
        <v>0</v>
      </c>
      <c r="AD207" s="8"/>
      <c r="AE207" s="8"/>
      <c r="AF207" s="8"/>
      <c r="AG207" s="8"/>
      <c r="AH207" s="9"/>
      <c r="AI207" s="8">
        <v>46216</v>
      </c>
      <c r="AJ207" s="231">
        <v>46229</v>
      </c>
    </row>
    <row r="208" spans="1:36">
      <c r="A208" s="19" t="s">
        <v>3142</v>
      </c>
      <c r="B208" s="10" t="s">
        <v>3143</v>
      </c>
      <c r="C208" s="10" t="s">
        <v>3144</v>
      </c>
      <c r="D208" s="10" t="s">
        <v>3145</v>
      </c>
      <c r="E208" s="10" t="s">
        <v>3146</v>
      </c>
      <c r="F208" s="10" t="s">
        <v>3159</v>
      </c>
      <c r="G208" s="10"/>
      <c r="H208" s="10" t="s">
        <v>698</v>
      </c>
      <c r="I208" s="10" t="s">
        <v>3159</v>
      </c>
      <c r="J208" s="10" t="s">
        <v>3148</v>
      </c>
      <c r="K208" s="10" t="s">
        <v>694</v>
      </c>
      <c r="L208" s="9" t="s">
        <v>3161</v>
      </c>
      <c r="M208" s="10" t="s">
        <v>15</v>
      </c>
      <c r="N208" s="10" t="s">
        <v>3150</v>
      </c>
      <c r="O208" s="10" t="s">
        <v>3151</v>
      </c>
      <c r="P208" s="8">
        <v>46223</v>
      </c>
      <c r="Q208" s="9" t="s">
        <v>3152</v>
      </c>
      <c r="R208" s="9">
        <v>7</v>
      </c>
      <c r="S208" s="10" t="s">
        <v>3153</v>
      </c>
      <c r="T208" s="10" t="s">
        <v>2352</v>
      </c>
      <c r="U208" s="10" t="s">
        <v>3150</v>
      </c>
      <c r="V208" s="24">
        <v>263.72000000000003</v>
      </c>
      <c r="W208" s="24">
        <v>1846.04</v>
      </c>
      <c r="X208" s="24">
        <v>7911.6</v>
      </c>
      <c r="Y208" s="24">
        <v>1846.04</v>
      </c>
      <c r="Z208" s="24">
        <v>1846.04</v>
      </c>
      <c r="AA208" s="9" t="s">
        <v>3154</v>
      </c>
      <c r="AB208" s="9">
        <v>0</v>
      </c>
      <c r="AC208" s="9">
        <v>0</v>
      </c>
      <c r="AD208" s="8"/>
      <c r="AE208" s="8"/>
      <c r="AF208" s="8"/>
      <c r="AG208" s="8"/>
      <c r="AH208" s="9"/>
      <c r="AI208" s="8">
        <v>46216</v>
      </c>
      <c r="AJ208" s="231">
        <v>46229</v>
      </c>
    </row>
    <row r="209" spans="1:36">
      <c r="A209" s="19" t="s">
        <v>3142</v>
      </c>
      <c r="B209" s="10" t="s">
        <v>3143</v>
      </c>
      <c r="C209" s="10" t="s">
        <v>3144</v>
      </c>
      <c r="D209" s="10" t="s">
        <v>3145</v>
      </c>
      <c r="E209" s="10" t="s">
        <v>3146</v>
      </c>
      <c r="F209" s="10" t="s">
        <v>3159</v>
      </c>
      <c r="G209" s="10"/>
      <c r="H209" s="10" t="s">
        <v>698</v>
      </c>
      <c r="I209" s="10" t="s">
        <v>3159</v>
      </c>
      <c r="J209" s="10" t="s">
        <v>3148</v>
      </c>
      <c r="K209" s="10" t="s">
        <v>694</v>
      </c>
      <c r="L209" s="9" t="s">
        <v>3160</v>
      </c>
      <c r="M209" s="10" t="s">
        <v>15</v>
      </c>
      <c r="N209" s="10" t="s">
        <v>3150</v>
      </c>
      <c r="O209" s="10" t="s">
        <v>3151</v>
      </c>
      <c r="P209" s="8">
        <v>46223</v>
      </c>
      <c r="Q209" s="9" t="s">
        <v>3152</v>
      </c>
      <c r="R209" s="9">
        <v>7</v>
      </c>
      <c r="S209" s="10" t="s">
        <v>3153</v>
      </c>
      <c r="T209" s="10" t="s">
        <v>2352</v>
      </c>
      <c r="U209" s="10" t="s">
        <v>3150</v>
      </c>
      <c r="V209" s="24">
        <v>263.72000000000003</v>
      </c>
      <c r="W209" s="24">
        <v>1846.04</v>
      </c>
      <c r="X209" s="24">
        <v>7911.6</v>
      </c>
      <c r="Y209" s="24">
        <v>1846.04</v>
      </c>
      <c r="Z209" s="24">
        <v>1846.04</v>
      </c>
      <c r="AA209" s="9" t="s">
        <v>3154</v>
      </c>
      <c r="AB209" s="9">
        <v>0</v>
      </c>
      <c r="AC209" s="9">
        <v>0</v>
      </c>
      <c r="AD209" s="8"/>
      <c r="AE209" s="8"/>
      <c r="AF209" s="8"/>
      <c r="AG209" s="8"/>
      <c r="AH209" s="9"/>
      <c r="AI209" s="8">
        <v>46216</v>
      </c>
      <c r="AJ209" s="231">
        <v>46229</v>
      </c>
    </row>
    <row r="210" spans="1:36">
      <c r="A210" s="19" t="s">
        <v>3142</v>
      </c>
      <c r="B210" s="10" t="s">
        <v>3143</v>
      </c>
      <c r="C210" s="10" t="s">
        <v>3144</v>
      </c>
      <c r="D210" s="10" t="s">
        <v>3145</v>
      </c>
      <c r="E210" s="10" t="s">
        <v>3146</v>
      </c>
      <c r="F210" s="10" t="s">
        <v>3163</v>
      </c>
      <c r="G210" s="10"/>
      <c r="H210" s="10" t="s">
        <v>2233</v>
      </c>
      <c r="I210" s="10" t="s">
        <v>3163</v>
      </c>
      <c r="J210" s="10" t="s">
        <v>3164</v>
      </c>
      <c r="K210" s="10" t="s">
        <v>2234</v>
      </c>
      <c r="L210" s="9" t="s">
        <v>3165</v>
      </c>
      <c r="M210" s="10" t="s">
        <v>15</v>
      </c>
      <c r="N210" s="10" t="s">
        <v>3150</v>
      </c>
      <c r="O210" s="10" t="s">
        <v>3151</v>
      </c>
      <c r="P210" s="8">
        <v>46223</v>
      </c>
      <c r="Q210" s="9" t="s">
        <v>3156</v>
      </c>
      <c r="R210" s="9">
        <v>7</v>
      </c>
      <c r="S210" s="10" t="s">
        <v>3153</v>
      </c>
      <c r="T210" s="10" t="s">
        <v>2352</v>
      </c>
      <c r="U210" s="10" t="s">
        <v>3150</v>
      </c>
      <c r="V210" s="24">
        <v>176.29</v>
      </c>
      <c r="W210" s="24">
        <v>1234.03</v>
      </c>
      <c r="X210" s="24">
        <v>5288.7</v>
      </c>
      <c r="Y210" s="24">
        <v>1234.03</v>
      </c>
      <c r="Z210" s="24">
        <v>1234.03</v>
      </c>
      <c r="AA210" s="9" t="s">
        <v>3154</v>
      </c>
      <c r="AB210" s="9">
        <v>0</v>
      </c>
      <c r="AC210" s="9">
        <v>0</v>
      </c>
      <c r="AD210" s="8"/>
      <c r="AE210" s="8"/>
      <c r="AF210" s="8"/>
      <c r="AG210" s="8"/>
      <c r="AH210" s="9"/>
      <c r="AI210" s="8">
        <v>46216</v>
      </c>
      <c r="AJ210" s="231">
        <v>46229</v>
      </c>
    </row>
    <row r="211" spans="1:36">
      <c r="A211" s="19" t="s">
        <v>3142</v>
      </c>
      <c r="B211" s="10" t="s">
        <v>3143</v>
      </c>
      <c r="C211" s="10" t="s">
        <v>3144</v>
      </c>
      <c r="D211" s="10" t="s">
        <v>3145</v>
      </c>
      <c r="E211" s="10" t="s">
        <v>3146</v>
      </c>
      <c r="F211" s="10" t="s">
        <v>3200</v>
      </c>
      <c r="G211" s="10"/>
      <c r="H211" s="10" t="s">
        <v>682</v>
      </c>
      <c r="I211" s="10" t="s">
        <v>3200</v>
      </c>
      <c r="J211" s="10" t="s">
        <v>3201</v>
      </c>
      <c r="K211" s="10" t="s">
        <v>2235</v>
      </c>
      <c r="L211" s="9" t="s">
        <v>3202</v>
      </c>
      <c r="M211" s="10" t="s">
        <v>15</v>
      </c>
      <c r="N211" s="10" t="s">
        <v>3150</v>
      </c>
      <c r="O211" s="10" t="s">
        <v>3151</v>
      </c>
      <c r="P211" s="8">
        <v>46223</v>
      </c>
      <c r="Q211" s="9" t="s">
        <v>3169</v>
      </c>
      <c r="R211" s="9">
        <v>7</v>
      </c>
      <c r="S211" s="10" t="s">
        <v>3153</v>
      </c>
      <c r="T211" s="10" t="s">
        <v>2352</v>
      </c>
      <c r="U211" s="10" t="s">
        <v>3150</v>
      </c>
      <c r="V211" s="24">
        <v>70.52</v>
      </c>
      <c r="W211" s="24">
        <v>493.64</v>
      </c>
      <c r="X211" s="24">
        <v>2115.6</v>
      </c>
      <c r="Y211" s="24">
        <v>493.64</v>
      </c>
      <c r="Z211" s="24">
        <v>493.64</v>
      </c>
      <c r="AA211" s="9" t="s">
        <v>3154</v>
      </c>
      <c r="AB211" s="9">
        <v>0</v>
      </c>
      <c r="AC211" s="9">
        <v>0</v>
      </c>
      <c r="AD211" s="8"/>
      <c r="AE211" s="8"/>
      <c r="AF211" s="8"/>
      <c r="AG211" s="8"/>
      <c r="AH211" s="9"/>
      <c r="AI211" s="8">
        <v>46216</v>
      </c>
      <c r="AJ211" s="231">
        <v>46229</v>
      </c>
    </row>
    <row r="212" spans="1:36">
      <c r="A212" s="19" t="s">
        <v>3142</v>
      </c>
      <c r="B212" s="10" t="s">
        <v>3143</v>
      </c>
      <c r="C212" s="10" t="s">
        <v>3144</v>
      </c>
      <c r="D212" s="10" t="s">
        <v>3145</v>
      </c>
      <c r="E212" s="10" t="s">
        <v>3146</v>
      </c>
      <c r="F212" s="10" t="s">
        <v>3186</v>
      </c>
      <c r="G212" s="10"/>
      <c r="H212" s="10" t="s">
        <v>660</v>
      </c>
      <c r="I212" s="10" t="s">
        <v>3186</v>
      </c>
      <c r="J212" s="10" t="s">
        <v>3148</v>
      </c>
      <c r="K212" s="10" t="s">
        <v>695</v>
      </c>
      <c r="L212" s="9" t="s">
        <v>3187</v>
      </c>
      <c r="M212" s="10" t="s">
        <v>15</v>
      </c>
      <c r="N212" s="10" t="s">
        <v>3150</v>
      </c>
      <c r="O212" s="10" t="s">
        <v>3151</v>
      </c>
      <c r="P212" s="8">
        <v>46223</v>
      </c>
      <c r="Q212" s="9" t="s">
        <v>3152</v>
      </c>
      <c r="R212" s="9">
        <v>7</v>
      </c>
      <c r="S212" s="10" t="s">
        <v>3153</v>
      </c>
      <c r="T212" s="10" t="s">
        <v>2352</v>
      </c>
      <c r="U212" s="10" t="s">
        <v>3150</v>
      </c>
      <c r="V212" s="24">
        <v>98.52</v>
      </c>
      <c r="W212" s="24">
        <v>689.64</v>
      </c>
      <c r="X212" s="24">
        <v>2955.6</v>
      </c>
      <c r="Y212" s="24">
        <v>689.64</v>
      </c>
      <c r="Z212" s="24">
        <v>689.64</v>
      </c>
      <c r="AA212" s="9" t="s">
        <v>3154</v>
      </c>
      <c r="AB212" s="9">
        <v>0</v>
      </c>
      <c r="AC212" s="9">
        <v>0</v>
      </c>
      <c r="AD212" s="8"/>
      <c r="AE212" s="8"/>
      <c r="AF212" s="8"/>
      <c r="AG212" s="8"/>
      <c r="AH212" s="9"/>
      <c r="AI212" s="8">
        <v>46216</v>
      </c>
      <c r="AJ212" s="231">
        <v>46229</v>
      </c>
    </row>
    <row r="213" spans="1:36">
      <c r="A213" s="19" t="s">
        <v>3142</v>
      </c>
      <c r="B213" s="10" t="s">
        <v>3143</v>
      </c>
      <c r="C213" s="10" t="s">
        <v>3144</v>
      </c>
      <c r="D213" s="10" t="s">
        <v>3145</v>
      </c>
      <c r="E213" s="10" t="s">
        <v>3146</v>
      </c>
      <c r="F213" s="10" t="s">
        <v>3186</v>
      </c>
      <c r="G213" s="10"/>
      <c r="H213" s="10" t="s">
        <v>660</v>
      </c>
      <c r="I213" s="10" t="s">
        <v>3186</v>
      </c>
      <c r="J213" s="10" t="s">
        <v>3148</v>
      </c>
      <c r="K213" s="10" t="s">
        <v>695</v>
      </c>
      <c r="L213" s="9" t="s">
        <v>3188</v>
      </c>
      <c r="M213" s="10" t="s">
        <v>15</v>
      </c>
      <c r="N213" s="10" t="s">
        <v>3150</v>
      </c>
      <c r="O213" s="10" t="s">
        <v>3151</v>
      </c>
      <c r="P213" s="8">
        <v>46223</v>
      </c>
      <c r="Q213" s="9" t="s">
        <v>3152</v>
      </c>
      <c r="R213" s="9">
        <v>7</v>
      </c>
      <c r="S213" s="10" t="s">
        <v>3153</v>
      </c>
      <c r="T213" s="10" t="s">
        <v>2352</v>
      </c>
      <c r="U213" s="10" t="s">
        <v>3150</v>
      </c>
      <c r="V213" s="24">
        <v>98.52</v>
      </c>
      <c r="W213" s="24">
        <v>689.64</v>
      </c>
      <c r="X213" s="24">
        <v>2955.6</v>
      </c>
      <c r="Y213" s="24">
        <v>689.64</v>
      </c>
      <c r="Z213" s="24">
        <v>689.64</v>
      </c>
      <c r="AA213" s="9" t="s">
        <v>3154</v>
      </c>
      <c r="AB213" s="9">
        <v>0</v>
      </c>
      <c r="AC213" s="9">
        <v>0</v>
      </c>
      <c r="AD213" s="8"/>
      <c r="AE213" s="8"/>
      <c r="AF213" s="8"/>
      <c r="AG213" s="8"/>
      <c r="AH213" s="9"/>
      <c r="AI213" s="8">
        <v>46216</v>
      </c>
      <c r="AJ213" s="231">
        <v>46229</v>
      </c>
    </row>
    <row r="214" spans="1:36">
      <c r="A214" s="19" t="s">
        <v>3142</v>
      </c>
      <c r="B214" s="10" t="s">
        <v>3143</v>
      </c>
      <c r="C214" s="10" t="s">
        <v>3144</v>
      </c>
      <c r="D214" s="10" t="s">
        <v>3145</v>
      </c>
      <c r="E214" s="10" t="s">
        <v>3146</v>
      </c>
      <c r="F214" s="10" t="s">
        <v>3192</v>
      </c>
      <c r="G214" s="10"/>
      <c r="H214" s="10" t="s">
        <v>2212</v>
      </c>
      <c r="I214" s="10" t="s">
        <v>3192</v>
      </c>
      <c r="J214" s="10" t="s">
        <v>3193</v>
      </c>
      <c r="K214" s="10" t="s">
        <v>2213</v>
      </c>
      <c r="L214" s="9" t="s">
        <v>3211</v>
      </c>
      <c r="M214" s="10" t="s">
        <v>15</v>
      </c>
      <c r="N214" s="10" t="s">
        <v>3150</v>
      </c>
      <c r="O214" s="10" t="s">
        <v>3151</v>
      </c>
      <c r="P214" s="8">
        <v>46223</v>
      </c>
      <c r="Q214" s="9" t="s">
        <v>3156</v>
      </c>
      <c r="R214" s="9">
        <v>7</v>
      </c>
      <c r="S214" s="10" t="s">
        <v>3153</v>
      </c>
      <c r="T214" s="10" t="s">
        <v>2352</v>
      </c>
      <c r="U214" s="10" t="s">
        <v>3150</v>
      </c>
      <c r="V214" s="24">
        <v>62</v>
      </c>
      <c r="W214" s="24">
        <v>434</v>
      </c>
      <c r="X214" s="24">
        <v>1860</v>
      </c>
      <c r="Y214" s="24">
        <v>434</v>
      </c>
      <c r="Z214" s="24">
        <v>434</v>
      </c>
      <c r="AA214" s="9" t="s">
        <v>3154</v>
      </c>
      <c r="AB214" s="9">
        <v>0</v>
      </c>
      <c r="AC214" s="9">
        <v>0</v>
      </c>
      <c r="AD214" s="8"/>
      <c r="AE214" s="8"/>
      <c r="AF214" s="8"/>
      <c r="AG214" s="8"/>
      <c r="AH214" s="9"/>
      <c r="AI214" s="8">
        <v>46216</v>
      </c>
      <c r="AJ214" s="231">
        <v>46229</v>
      </c>
    </row>
  </sheetData>
  <pageMargins left="0.7" right="0.7" top="0.75" bottom="0.75" header="0.3" footer="0.3"/>
  <pageSetup paperSize="176"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52BBE-B4B4-4D3B-A4E5-F3E407795FCC}">
  <dimension ref="A1:Y219"/>
  <sheetViews>
    <sheetView showGridLines="0" workbookViewId="0">
      <pane ySplit="1" topLeftCell="A2" activePane="bottomLeft" state="frozen"/>
      <selection activeCell="G1" sqref="G1"/>
      <selection pane="bottomLeft" activeCell="E27" sqref="E27"/>
    </sheetView>
  </sheetViews>
  <sheetFormatPr defaultColWidth="8.69921875" defaultRowHeight="12"/>
  <cols>
    <col min="1" max="1" width="21.8984375" style="6" bestFit="1" customWidth="1"/>
    <col min="2" max="2" width="20.796875" style="6" bestFit="1" customWidth="1"/>
    <col min="3" max="3" width="13.3984375" style="176" hidden="1" customWidth="1"/>
    <col min="4" max="4" width="46.8984375" style="6" bestFit="1" customWidth="1"/>
    <col min="5" max="5" width="9" style="6" bestFit="1" customWidth="1"/>
    <col min="6" max="6" width="11.69921875" style="6" bestFit="1" customWidth="1"/>
    <col min="7" max="7" width="12.59765625" style="6" bestFit="1" customWidth="1"/>
    <col min="8" max="8" width="12.796875" style="6" bestFit="1" customWidth="1"/>
    <col min="9" max="9" width="12.59765625" style="6" bestFit="1" customWidth="1"/>
    <col min="10" max="10" width="14.796875" style="25" bestFit="1" customWidth="1"/>
    <col min="11" max="11" width="16.5" style="25" bestFit="1" customWidth="1"/>
    <col min="12" max="12" width="24.19921875" style="25" bestFit="1" customWidth="1"/>
    <col min="13" max="13" width="63.69921875" style="6" bestFit="1" customWidth="1"/>
    <col min="14" max="14" width="24.69921875" style="6" bestFit="1" customWidth="1"/>
    <col min="15" max="15" width="12.69921875" style="16" bestFit="1" customWidth="1"/>
    <col min="16" max="16" width="14" style="16" bestFit="1" customWidth="1"/>
    <col min="17" max="18" width="14.3984375" style="16" bestFit="1" customWidth="1"/>
    <col min="19" max="19" width="28.19921875" style="6" bestFit="1" customWidth="1"/>
    <col min="20" max="20" width="22.19921875" style="6" bestFit="1" customWidth="1"/>
    <col min="21" max="21" width="8.69921875" style="6" bestFit="1" customWidth="1"/>
    <col min="22" max="22" width="17.5" style="16" bestFit="1" customWidth="1"/>
    <col min="23" max="23" width="19.69921875" style="16" bestFit="1" customWidth="1"/>
    <col min="24" max="24" width="20.3984375" style="16" bestFit="1" customWidth="1"/>
    <col min="25" max="25" width="30.69921875" style="16" bestFit="1" customWidth="1"/>
    <col min="26" max="16384" width="8.69921875" style="6"/>
  </cols>
  <sheetData>
    <row r="1" spans="1:25">
      <c r="A1" s="27" t="s">
        <v>0</v>
      </c>
      <c r="B1" s="27" t="s">
        <v>1</v>
      </c>
      <c r="C1" s="227" t="s">
        <v>2919</v>
      </c>
      <c r="D1" s="27" t="s">
        <v>16</v>
      </c>
      <c r="E1" s="27" t="s">
        <v>3</v>
      </c>
      <c r="F1" s="26" t="s">
        <v>12</v>
      </c>
      <c r="G1" s="26" t="s">
        <v>5</v>
      </c>
      <c r="H1" s="26" t="s">
        <v>6</v>
      </c>
      <c r="I1" s="26" t="s">
        <v>7</v>
      </c>
      <c r="J1" s="230" t="s">
        <v>17</v>
      </c>
      <c r="K1" s="230" t="s">
        <v>18</v>
      </c>
      <c r="L1" s="230" t="s">
        <v>143</v>
      </c>
      <c r="O1" s="6"/>
      <c r="P1" s="6"/>
      <c r="Q1" s="6"/>
      <c r="R1" s="6"/>
      <c r="V1" s="6"/>
      <c r="W1" s="6"/>
      <c r="X1" s="6"/>
      <c r="Y1" s="6"/>
    </row>
    <row r="2" spans="1:25">
      <c r="A2" s="213" t="s">
        <v>14</v>
      </c>
      <c r="B2" s="213" t="s">
        <v>1869</v>
      </c>
      <c r="C2" s="398"/>
      <c r="D2" s="213" t="s">
        <v>154</v>
      </c>
      <c r="E2" s="213" t="s">
        <v>1870</v>
      </c>
      <c r="F2" s="102" t="s">
        <v>15</v>
      </c>
      <c r="G2" s="101">
        <v>46219</v>
      </c>
      <c r="H2" s="102" t="s">
        <v>1871</v>
      </c>
      <c r="I2" s="102">
        <v>11</v>
      </c>
      <c r="J2" s="215">
        <v>57.03</v>
      </c>
      <c r="K2" s="215">
        <v>399.21</v>
      </c>
      <c r="L2" s="215">
        <v>627.33000000000004</v>
      </c>
      <c r="O2" s="6"/>
      <c r="P2" s="6"/>
      <c r="Q2" s="6"/>
      <c r="R2" s="6"/>
      <c r="V2" s="6"/>
      <c r="W2" s="6"/>
      <c r="X2" s="6"/>
      <c r="Y2" s="6"/>
    </row>
    <row r="3" spans="1:25">
      <c r="A3" s="10" t="s">
        <v>14</v>
      </c>
      <c r="B3" s="10" t="s">
        <v>3658</v>
      </c>
      <c r="C3" s="228"/>
      <c r="D3" s="10" t="s">
        <v>2216</v>
      </c>
      <c r="E3" s="10" t="s">
        <v>3178</v>
      </c>
      <c r="F3" s="9" t="s">
        <v>15</v>
      </c>
      <c r="G3" s="8">
        <v>46224</v>
      </c>
      <c r="H3" s="9" t="s">
        <v>3118</v>
      </c>
      <c r="I3" s="9">
        <v>6</v>
      </c>
      <c r="J3" s="24">
        <v>103.7</v>
      </c>
      <c r="K3" s="24">
        <v>725.9</v>
      </c>
      <c r="L3" s="24">
        <v>622.20000000000005</v>
      </c>
      <c r="O3" s="6"/>
      <c r="P3" s="6"/>
      <c r="Q3" s="6"/>
      <c r="R3" s="6"/>
      <c r="V3" s="6"/>
      <c r="W3" s="6"/>
      <c r="X3" s="6"/>
      <c r="Y3" s="6"/>
    </row>
    <row r="4" spans="1:25">
      <c r="A4" s="10" t="s">
        <v>14</v>
      </c>
      <c r="B4" s="10" t="s">
        <v>3659</v>
      </c>
      <c r="C4" s="228"/>
      <c r="D4" s="10" t="s">
        <v>2210</v>
      </c>
      <c r="E4" s="10" t="s">
        <v>3212</v>
      </c>
      <c r="F4" s="9" t="s">
        <v>15</v>
      </c>
      <c r="G4" s="8">
        <v>46224</v>
      </c>
      <c r="H4" s="9" t="s">
        <v>3660</v>
      </c>
      <c r="I4" s="9">
        <v>6</v>
      </c>
      <c r="J4" s="24">
        <v>61.18</v>
      </c>
      <c r="K4" s="24">
        <v>428.26</v>
      </c>
      <c r="L4" s="24">
        <v>367.08</v>
      </c>
      <c r="O4" s="6"/>
      <c r="P4" s="6"/>
      <c r="Q4" s="6"/>
      <c r="R4" s="6"/>
      <c r="V4" s="6"/>
      <c r="W4" s="6"/>
      <c r="X4" s="6"/>
      <c r="Y4" s="6"/>
    </row>
    <row r="5" spans="1:25">
      <c r="A5" s="10" t="s">
        <v>14</v>
      </c>
      <c r="B5" s="10" t="s">
        <v>1869</v>
      </c>
      <c r="C5" s="228"/>
      <c r="D5" s="10" t="s">
        <v>155</v>
      </c>
      <c r="E5" s="10" t="s">
        <v>3218</v>
      </c>
      <c r="F5" s="9" t="s">
        <v>15</v>
      </c>
      <c r="G5" s="8">
        <v>46224</v>
      </c>
      <c r="H5" s="9" t="s">
        <v>3662</v>
      </c>
      <c r="I5" s="9">
        <v>6</v>
      </c>
      <c r="J5" s="24">
        <v>57.03</v>
      </c>
      <c r="K5" s="24">
        <v>399.21</v>
      </c>
      <c r="L5" s="24">
        <v>342.18</v>
      </c>
      <c r="O5" s="6"/>
      <c r="P5" s="6"/>
      <c r="Q5" s="6"/>
      <c r="R5" s="6"/>
      <c r="V5" s="6"/>
      <c r="W5" s="6"/>
      <c r="X5" s="6"/>
      <c r="Y5" s="6"/>
    </row>
    <row r="6" spans="1:25">
      <c r="A6" s="10" t="s">
        <v>14</v>
      </c>
      <c r="B6" s="10" t="s">
        <v>1869</v>
      </c>
      <c r="C6" s="228"/>
      <c r="D6" s="10" t="s">
        <v>154</v>
      </c>
      <c r="E6" s="10" t="s">
        <v>3219</v>
      </c>
      <c r="F6" s="9" t="s">
        <v>15</v>
      </c>
      <c r="G6" s="8">
        <v>46224</v>
      </c>
      <c r="H6" s="9" t="s">
        <v>3693</v>
      </c>
      <c r="I6" s="9">
        <v>6</v>
      </c>
      <c r="J6" s="24">
        <v>57.03</v>
      </c>
      <c r="K6" s="24">
        <v>399.21</v>
      </c>
      <c r="L6" s="24">
        <v>342.18</v>
      </c>
      <c r="O6" s="6"/>
      <c r="P6" s="6"/>
      <c r="Q6" s="6"/>
      <c r="R6" s="6"/>
      <c r="V6" s="6"/>
      <c r="W6" s="6"/>
      <c r="X6" s="6"/>
      <c r="Y6" s="6"/>
    </row>
    <row r="7" spans="1:25">
      <c r="A7" s="10" t="s">
        <v>14</v>
      </c>
      <c r="B7" s="10" t="s">
        <v>3658</v>
      </c>
      <c r="C7" s="228"/>
      <c r="D7" s="10" t="s">
        <v>622</v>
      </c>
      <c r="E7" s="10" t="s">
        <v>3225</v>
      </c>
      <c r="F7" s="9" t="s">
        <v>15</v>
      </c>
      <c r="G7" s="8">
        <v>46224</v>
      </c>
      <c r="H7" s="9" t="s">
        <v>3118</v>
      </c>
      <c r="I7" s="9">
        <v>6</v>
      </c>
      <c r="J7" s="24">
        <v>53.92</v>
      </c>
      <c r="K7" s="24">
        <v>377.44</v>
      </c>
      <c r="L7" s="24">
        <v>323.52</v>
      </c>
      <c r="O7" s="6"/>
      <c r="P7" s="6"/>
      <c r="Q7" s="6"/>
      <c r="R7" s="6"/>
      <c r="V7" s="6"/>
      <c r="W7" s="6"/>
      <c r="X7" s="6"/>
      <c r="Y7" s="6"/>
    </row>
    <row r="8" spans="1:25">
      <c r="A8" s="10" t="s">
        <v>14</v>
      </c>
      <c r="B8" s="10" t="s">
        <v>3711</v>
      </c>
      <c r="C8" s="228"/>
      <c r="D8" s="10" t="s">
        <v>2191</v>
      </c>
      <c r="E8" s="10" t="s">
        <v>3158</v>
      </c>
      <c r="F8" s="9" t="s">
        <v>15</v>
      </c>
      <c r="G8" s="8">
        <v>46225</v>
      </c>
      <c r="H8" s="9" t="s">
        <v>3723</v>
      </c>
      <c r="I8" s="9">
        <v>5</v>
      </c>
      <c r="J8" s="24">
        <v>311.10000000000002</v>
      </c>
      <c r="K8" s="24">
        <v>2177.6999999999998</v>
      </c>
      <c r="L8" s="24">
        <v>1555.5</v>
      </c>
      <c r="O8" s="6"/>
      <c r="P8" s="6"/>
      <c r="Q8" s="6"/>
      <c r="R8" s="6"/>
      <c r="V8" s="6"/>
      <c r="W8" s="6"/>
      <c r="X8" s="6"/>
      <c r="Y8" s="6"/>
    </row>
    <row r="9" spans="1:25">
      <c r="A9" s="10" t="s">
        <v>14</v>
      </c>
      <c r="B9" s="10" t="s">
        <v>3730</v>
      </c>
      <c r="C9" s="228"/>
      <c r="D9" s="10" t="s">
        <v>159</v>
      </c>
      <c r="E9" s="10" t="s">
        <v>3195</v>
      </c>
      <c r="F9" s="9" t="s">
        <v>15</v>
      </c>
      <c r="G9" s="8">
        <v>46226</v>
      </c>
      <c r="H9" s="9" t="s">
        <v>3731</v>
      </c>
      <c r="I9" s="9">
        <v>4</v>
      </c>
      <c r="J9" s="24">
        <v>72.59</v>
      </c>
      <c r="K9" s="24">
        <v>508.13</v>
      </c>
      <c r="L9" s="24">
        <v>290.36</v>
      </c>
      <c r="O9" s="6"/>
      <c r="P9" s="6"/>
      <c r="Q9" s="6"/>
      <c r="R9" s="6"/>
      <c r="V9" s="6"/>
      <c r="W9" s="6"/>
      <c r="X9" s="6"/>
      <c r="Y9" s="6"/>
    </row>
    <row r="10" spans="1:25">
      <c r="A10" s="10" t="s">
        <v>14</v>
      </c>
      <c r="B10" s="10" t="s">
        <v>3730</v>
      </c>
      <c r="C10" s="228"/>
      <c r="D10" s="10" t="s">
        <v>146</v>
      </c>
      <c r="E10" s="10" t="s">
        <v>3197</v>
      </c>
      <c r="F10" s="9" t="s">
        <v>15</v>
      </c>
      <c r="G10" s="8">
        <v>46226</v>
      </c>
      <c r="H10" s="9" t="s">
        <v>3732</v>
      </c>
      <c r="I10" s="9">
        <v>4</v>
      </c>
      <c r="J10" s="24">
        <v>72.59</v>
      </c>
      <c r="K10" s="24">
        <v>508.13</v>
      </c>
      <c r="L10" s="24">
        <v>290.36</v>
      </c>
      <c r="O10" s="6"/>
      <c r="P10" s="6"/>
      <c r="Q10" s="6"/>
      <c r="R10" s="6"/>
      <c r="V10" s="6"/>
      <c r="W10" s="6"/>
      <c r="X10" s="6"/>
      <c r="Y10" s="6"/>
    </row>
    <row r="11" spans="1:25">
      <c r="A11" s="10" t="s">
        <v>14</v>
      </c>
      <c r="B11" s="10" t="s">
        <v>3665</v>
      </c>
      <c r="C11" s="228"/>
      <c r="D11" s="10" t="s">
        <v>2211</v>
      </c>
      <c r="E11" s="10" t="s">
        <v>3735</v>
      </c>
      <c r="F11" s="9" t="s">
        <v>15</v>
      </c>
      <c r="G11" s="8">
        <v>46226</v>
      </c>
      <c r="H11" s="9" t="s">
        <v>3731</v>
      </c>
      <c r="I11" s="9">
        <v>4</v>
      </c>
      <c r="J11" s="24">
        <v>62</v>
      </c>
      <c r="K11" s="24">
        <v>434</v>
      </c>
      <c r="L11" s="24">
        <v>248</v>
      </c>
      <c r="O11" s="6"/>
      <c r="P11" s="6"/>
      <c r="Q11" s="6"/>
      <c r="R11" s="6"/>
      <c r="V11" s="6"/>
      <c r="W11" s="6"/>
      <c r="X11" s="6"/>
      <c r="Y11" s="6"/>
    </row>
    <row r="12" spans="1:25">
      <c r="A12" s="10" t="s">
        <v>14</v>
      </c>
      <c r="B12" s="10" t="s">
        <v>3730</v>
      </c>
      <c r="C12" s="228"/>
      <c r="D12" s="10" t="s">
        <v>148</v>
      </c>
      <c r="E12" s="10" t="s">
        <v>3242</v>
      </c>
      <c r="F12" s="9" t="s">
        <v>15</v>
      </c>
      <c r="G12" s="8">
        <v>46226</v>
      </c>
      <c r="H12" s="9" t="s">
        <v>3740</v>
      </c>
      <c r="I12" s="9">
        <v>4</v>
      </c>
      <c r="J12" s="24">
        <v>25.21</v>
      </c>
      <c r="K12" s="24">
        <v>176.47</v>
      </c>
      <c r="L12" s="24">
        <v>100.84</v>
      </c>
      <c r="O12" s="6"/>
      <c r="P12" s="6"/>
      <c r="Q12" s="6"/>
      <c r="R12" s="6"/>
      <c r="V12" s="6"/>
      <c r="W12" s="6"/>
      <c r="X12" s="6"/>
      <c r="Y12" s="6"/>
    </row>
    <row r="13" spans="1:25">
      <c r="A13" s="10" t="s">
        <v>14</v>
      </c>
      <c r="B13" s="10" t="s">
        <v>3730</v>
      </c>
      <c r="C13" s="228"/>
      <c r="D13" s="10" t="s">
        <v>149</v>
      </c>
      <c r="E13" s="10" t="s">
        <v>3267</v>
      </c>
      <c r="F13" s="9" t="s">
        <v>15</v>
      </c>
      <c r="G13" s="8">
        <v>46226</v>
      </c>
      <c r="H13" s="9" t="s">
        <v>3741</v>
      </c>
      <c r="I13" s="9">
        <v>4</v>
      </c>
      <c r="J13" s="24">
        <v>18.670000000000002</v>
      </c>
      <c r="K13" s="24">
        <v>130.69</v>
      </c>
      <c r="L13" s="24">
        <v>74.680000000000007</v>
      </c>
      <c r="O13" s="6"/>
      <c r="P13" s="6"/>
      <c r="Q13" s="6"/>
      <c r="R13" s="6"/>
      <c r="V13" s="6"/>
      <c r="W13" s="6"/>
      <c r="X13" s="6"/>
      <c r="Y13" s="6"/>
    </row>
    <row r="14" spans="1:25">
      <c r="A14" s="10" t="s">
        <v>14</v>
      </c>
      <c r="B14" s="10" t="s">
        <v>3730</v>
      </c>
      <c r="C14" s="228"/>
      <c r="D14" s="10" t="s">
        <v>4037</v>
      </c>
      <c r="E14" s="10" t="s">
        <v>3272</v>
      </c>
      <c r="F14" s="9" t="s">
        <v>15</v>
      </c>
      <c r="G14" s="8">
        <v>46226</v>
      </c>
      <c r="H14" s="9" t="s">
        <v>3740</v>
      </c>
      <c r="I14" s="9">
        <v>4</v>
      </c>
      <c r="J14" s="24">
        <v>17.64</v>
      </c>
      <c r="K14" s="24">
        <v>123.48</v>
      </c>
      <c r="L14" s="24">
        <v>70.56</v>
      </c>
      <c r="O14" s="6"/>
      <c r="P14" s="6"/>
      <c r="Q14" s="6"/>
      <c r="R14" s="6"/>
      <c r="V14" s="6"/>
      <c r="W14" s="6"/>
      <c r="X14" s="6"/>
      <c r="Y14" s="6"/>
    </row>
    <row r="15" spans="1:25">
      <c r="A15" s="10" t="s">
        <v>14</v>
      </c>
      <c r="B15" s="10" t="s">
        <v>3730</v>
      </c>
      <c r="C15" s="228"/>
      <c r="D15" s="10" t="s">
        <v>144</v>
      </c>
      <c r="E15" s="10" t="s">
        <v>3288</v>
      </c>
      <c r="F15" s="9" t="s">
        <v>15</v>
      </c>
      <c r="G15" s="8">
        <v>46226</v>
      </c>
      <c r="H15" s="9" t="s">
        <v>3741</v>
      </c>
      <c r="I15" s="9">
        <v>4</v>
      </c>
      <c r="J15" s="24">
        <v>9.33</v>
      </c>
      <c r="K15" s="24">
        <v>65.31</v>
      </c>
      <c r="L15" s="24">
        <v>37.32</v>
      </c>
      <c r="O15" s="6"/>
      <c r="P15" s="6"/>
      <c r="Q15" s="6"/>
      <c r="R15" s="6"/>
      <c r="V15" s="6"/>
      <c r="W15" s="6"/>
      <c r="X15" s="6"/>
      <c r="Y15" s="6"/>
    </row>
    <row r="16" spans="1:25">
      <c r="A16" s="10" t="s">
        <v>14</v>
      </c>
      <c r="B16" s="10" t="s">
        <v>3658</v>
      </c>
      <c r="C16" s="228"/>
      <c r="D16" s="10" t="s">
        <v>146</v>
      </c>
      <c r="E16" s="10" t="s">
        <v>3199</v>
      </c>
      <c r="F16" s="9" t="s">
        <v>15</v>
      </c>
      <c r="G16" s="8">
        <v>46227</v>
      </c>
      <c r="H16" s="9" t="s">
        <v>3848</v>
      </c>
      <c r="I16" s="9">
        <v>3</v>
      </c>
      <c r="J16" s="24">
        <v>72.59</v>
      </c>
      <c r="K16" s="24">
        <v>508.13</v>
      </c>
      <c r="L16" s="24">
        <v>217.77</v>
      </c>
      <c r="O16" s="6"/>
      <c r="P16" s="6"/>
      <c r="Q16" s="6"/>
      <c r="R16" s="6"/>
      <c r="V16" s="6"/>
      <c r="W16" s="6"/>
      <c r="X16" s="6"/>
      <c r="Y16" s="6"/>
    </row>
    <row r="17" spans="1:25">
      <c r="A17" s="10" t="s">
        <v>14</v>
      </c>
      <c r="B17" s="10" t="s">
        <v>3849</v>
      </c>
      <c r="C17" s="228"/>
      <c r="D17" s="10" t="s">
        <v>3850</v>
      </c>
      <c r="E17" s="10" t="s">
        <v>3851</v>
      </c>
      <c r="F17" s="9" t="s">
        <v>15</v>
      </c>
      <c r="G17" s="8">
        <v>46227</v>
      </c>
      <c r="H17" s="9" t="s">
        <v>3852</v>
      </c>
      <c r="I17" s="9">
        <v>3</v>
      </c>
      <c r="J17" s="24">
        <v>34.22</v>
      </c>
      <c r="K17" s="24">
        <v>239.54</v>
      </c>
      <c r="L17" s="24">
        <v>102.66</v>
      </c>
      <c r="O17" s="6"/>
      <c r="P17" s="6"/>
      <c r="Q17" s="6"/>
      <c r="R17" s="6"/>
      <c r="V17" s="6"/>
      <c r="W17" s="6"/>
      <c r="X17" s="6"/>
      <c r="Y17" s="6"/>
    </row>
    <row r="18" spans="1:25">
      <c r="A18" s="10" t="s">
        <v>3906</v>
      </c>
      <c r="B18" s="10" t="s">
        <v>3907</v>
      </c>
      <c r="C18" s="228"/>
      <c r="D18" s="10" t="s">
        <v>2214</v>
      </c>
      <c r="E18" s="10" t="s">
        <v>3181</v>
      </c>
      <c r="F18" s="9" t="s">
        <v>15</v>
      </c>
      <c r="G18" s="8">
        <v>46228</v>
      </c>
      <c r="H18" s="9" t="s">
        <v>3908</v>
      </c>
      <c r="I18" s="9">
        <v>2</v>
      </c>
      <c r="J18" s="24">
        <v>103.7</v>
      </c>
      <c r="K18" s="24">
        <v>725.9</v>
      </c>
      <c r="L18" s="24">
        <v>207.4</v>
      </c>
      <c r="O18" s="6"/>
      <c r="P18" s="6"/>
      <c r="Q18" s="6"/>
      <c r="R18" s="6"/>
      <c r="V18" s="6"/>
      <c r="W18" s="6"/>
      <c r="X18" s="6"/>
      <c r="Y18" s="6"/>
    </row>
    <row r="19" spans="1:25">
      <c r="A19" s="10" t="s">
        <v>3446</v>
      </c>
      <c r="B19" s="10" t="s">
        <v>3116</v>
      </c>
      <c r="C19" s="228"/>
      <c r="D19" s="10" t="s">
        <v>2217</v>
      </c>
      <c r="E19" s="10" t="s">
        <v>3120</v>
      </c>
      <c r="F19" s="9" t="s">
        <v>15</v>
      </c>
      <c r="G19" s="8">
        <v>46223</v>
      </c>
      <c r="H19" s="9" t="s">
        <v>3118</v>
      </c>
      <c r="I19" s="9">
        <v>7</v>
      </c>
      <c r="J19" s="24">
        <v>57.22</v>
      </c>
      <c r="K19" s="24">
        <v>400.54</v>
      </c>
      <c r="L19" s="24">
        <v>400.54</v>
      </c>
      <c r="O19" s="6"/>
      <c r="P19" s="6"/>
      <c r="Q19" s="6"/>
      <c r="R19" s="6"/>
      <c r="V19" s="6"/>
      <c r="W19" s="6"/>
      <c r="X19" s="6"/>
      <c r="Y19" s="6"/>
    </row>
    <row r="20" spans="1:25">
      <c r="A20" s="10" t="s">
        <v>3446</v>
      </c>
      <c r="B20" s="10" t="s">
        <v>3116</v>
      </c>
      <c r="C20" s="228"/>
      <c r="D20" s="10" t="s">
        <v>154</v>
      </c>
      <c r="E20" s="10" t="s">
        <v>3121</v>
      </c>
      <c r="F20" s="9" t="s">
        <v>15</v>
      </c>
      <c r="G20" s="8">
        <v>46223</v>
      </c>
      <c r="H20" s="9" t="s">
        <v>3118</v>
      </c>
      <c r="I20" s="9">
        <v>7</v>
      </c>
      <c r="J20" s="24">
        <v>57.03</v>
      </c>
      <c r="K20" s="24">
        <v>399.21</v>
      </c>
      <c r="L20" s="24">
        <v>399.21</v>
      </c>
      <c r="O20" s="6"/>
      <c r="P20" s="6"/>
      <c r="Q20" s="6"/>
      <c r="R20" s="6"/>
      <c r="V20" s="6"/>
      <c r="W20" s="6"/>
      <c r="X20" s="6"/>
      <c r="Y20" s="6"/>
    </row>
    <row r="21" spans="1:25">
      <c r="A21" s="10" t="s">
        <v>3446</v>
      </c>
      <c r="B21" s="10" t="s">
        <v>3116</v>
      </c>
      <c r="C21" s="228"/>
      <c r="D21" s="10" t="s">
        <v>4037</v>
      </c>
      <c r="E21" s="10" t="s">
        <v>3122</v>
      </c>
      <c r="F21" s="9" t="s">
        <v>15</v>
      </c>
      <c r="G21" s="8">
        <v>46223</v>
      </c>
      <c r="H21" s="9" t="s">
        <v>3118</v>
      </c>
      <c r="I21" s="9">
        <v>7</v>
      </c>
      <c r="J21" s="24">
        <v>17.64</v>
      </c>
      <c r="K21" s="24">
        <v>123.48</v>
      </c>
      <c r="L21" s="24">
        <v>123.48</v>
      </c>
      <c r="O21" s="6"/>
      <c r="P21" s="6"/>
      <c r="Q21" s="6"/>
      <c r="R21" s="6"/>
      <c r="V21" s="6"/>
      <c r="W21" s="6"/>
      <c r="X21" s="6"/>
      <c r="Y21" s="6"/>
    </row>
    <row r="22" spans="1:25">
      <c r="A22" s="10" t="s">
        <v>3446</v>
      </c>
      <c r="B22" s="10" t="s">
        <v>3116</v>
      </c>
      <c r="C22" s="228"/>
      <c r="D22" s="10" t="s">
        <v>4037</v>
      </c>
      <c r="E22" s="10" t="s">
        <v>3123</v>
      </c>
      <c r="F22" s="9" t="s">
        <v>15</v>
      </c>
      <c r="G22" s="8">
        <v>46223</v>
      </c>
      <c r="H22" s="9" t="s">
        <v>3118</v>
      </c>
      <c r="I22" s="9">
        <v>7</v>
      </c>
      <c r="J22" s="24">
        <v>17.64</v>
      </c>
      <c r="K22" s="24">
        <v>123.48</v>
      </c>
      <c r="L22" s="24">
        <v>123.48</v>
      </c>
      <c r="O22" s="6"/>
      <c r="P22" s="6"/>
      <c r="Q22" s="6"/>
      <c r="R22" s="6"/>
      <c r="V22" s="6"/>
      <c r="W22" s="6"/>
      <c r="X22" s="6"/>
      <c r="Y22" s="6"/>
    </row>
    <row r="23" spans="1:25">
      <c r="A23" s="10" t="s">
        <v>3446</v>
      </c>
      <c r="B23" s="10" t="s">
        <v>3116</v>
      </c>
      <c r="C23" s="228"/>
      <c r="D23" s="10" t="s">
        <v>144</v>
      </c>
      <c r="E23" s="10" t="s">
        <v>3124</v>
      </c>
      <c r="F23" s="9" t="s">
        <v>15</v>
      </c>
      <c r="G23" s="8">
        <v>46223</v>
      </c>
      <c r="H23" s="9" t="s">
        <v>3118</v>
      </c>
      <c r="I23" s="9">
        <v>7</v>
      </c>
      <c r="J23" s="24">
        <v>9.33</v>
      </c>
      <c r="K23" s="24">
        <v>65.31</v>
      </c>
      <c r="L23" s="24">
        <v>65.31</v>
      </c>
      <c r="O23" s="6"/>
      <c r="P23" s="6"/>
      <c r="Q23" s="6"/>
      <c r="R23" s="6"/>
      <c r="V23" s="6"/>
      <c r="W23" s="6"/>
      <c r="X23" s="6"/>
      <c r="Y23" s="6"/>
    </row>
    <row r="24" spans="1:25">
      <c r="A24" s="10" t="s">
        <v>3446</v>
      </c>
      <c r="B24" s="10" t="s">
        <v>3116</v>
      </c>
      <c r="C24" s="228"/>
      <c r="D24" s="10" t="s">
        <v>1945</v>
      </c>
      <c r="E24" s="10" t="s">
        <v>3125</v>
      </c>
      <c r="F24" s="9" t="s">
        <v>15</v>
      </c>
      <c r="G24" s="8">
        <v>46223</v>
      </c>
      <c r="H24" s="9" t="s">
        <v>3118</v>
      </c>
      <c r="I24" s="9">
        <v>7</v>
      </c>
      <c r="J24" s="24">
        <v>9.33</v>
      </c>
      <c r="K24" s="24">
        <v>65.31</v>
      </c>
      <c r="L24" s="24">
        <v>65.31</v>
      </c>
      <c r="O24" s="6"/>
      <c r="P24" s="6"/>
      <c r="Q24" s="6"/>
      <c r="R24" s="6"/>
      <c r="V24" s="6"/>
      <c r="W24" s="6"/>
      <c r="X24" s="6"/>
      <c r="Y24" s="6"/>
    </row>
    <row r="25" spans="1:25">
      <c r="A25" s="10" t="s">
        <v>3446</v>
      </c>
      <c r="B25" s="10" t="s">
        <v>3116</v>
      </c>
      <c r="C25" s="228"/>
      <c r="D25" s="10" t="s">
        <v>2210</v>
      </c>
      <c r="E25" s="10" t="s">
        <v>3119</v>
      </c>
      <c r="F25" s="9" t="s">
        <v>15</v>
      </c>
      <c r="G25" s="8">
        <v>46224</v>
      </c>
      <c r="H25" s="9" t="s">
        <v>3661</v>
      </c>
      <c r="I25" s="9">
        <v>6</v>
      </c>
      <c r="J25" s="24">
        <v>61.18</v>
      </c>
      <c r="K25" s="24">
        <v>428.26</v>
      </c>
      <c r="L25" s="24">
        <v>367.08</v>
      </c>
      <c r="O25" s="6"/>
      <c r="P25" s="6"/>
      <c r="Q25" s="6"/>
      <c r="R25" s="6"/>
      <c r="V25" s="6"/>
      <c r="W25" s="6"/>
      <c r="X25" s="6"/>
      <c r="Y25" s="6"/>
    </row>
    <row r="26" spans="1:25">
      <c r="A26" s="10" t="s">
        <v>3446</v>
      </c>
      <c r="B26" s="10" t="s">
        <v>3663</v>
      </c>
      <c r="C26" s="228"/>
      <c r="D26" s="10" t="s">
        <v>153</v>
      </c>
      <c r="E26" s="10" t="s">
        <v>3222</v>
      </c>
      <c r="F26" s="9" t="s">
        <v>15</v>
      </c>
      <c r="G26" s="8">
        <v>46224</v>
      </c>
      <c r="H26" s="9" t="s">
        <v>3664</v>
      </c>
      <c r="I26" s="9">
        <v>6</v>
      </c>
      <c r="J26" s="24">
        <v>57.03</v>
      </c>
      <c r="K26" s="24">
        <v>399.21</v>
      </c>
      <c r="L26" s="24">
        <v>342.18</v>
      </c>
      <c r="O26" s="6"/>
      <c r="P26" s="6"/>
      <c r="Q26" s="6"/>
      <c r="R26" s="6"/>
      <c r="V26" s="6"/>
      <c r="W26" s="6"/>
      <c r="X26" s="6"/>
      <c r="Y26" s="6"/>
    </row>
    <row r="27" spans="1:25">
      <c r="A27" s="10" t="s">
        <v>3446</v>
      </c>
      <c r="B27" s="10" t="s">
        <v>3663</v>
      </c>
      <c r="C27" s="228"/>
      <c r="D27" s="10" t="s">
        <v>154</v>
      </c>
      <c r="E27" s="10" t="s">
        <v>3220</v>
      </c>
      <c r="F27" s="9" t="s">
        <v>15</v>
      </c>
      <c r="G27" s="8">
        <v>46224</v>
      </c>
      <c r="H27" s="9" t="s">
        <v>3664</v>
      </c>
      <c r="I27" s="9">
        <v>6</v>
      </c>
      <c r="J27" s="24">
        <v>57.03</v>
      </c>
      <c r="K27" s="24">
        <v>399.21</v>
      </c>
      <c r="L27" s="24">
        <v>342.18</v>
      </c>
      <c r="O27" s="6"/>
      <c r="P27" s="6"/>
      <c r="Q27" s="6"/>
      <c r="R27" s="6"/>
      <c r="V27" s="6"/>
      <c r="W27" s="6"/>
      <c r="X27" s="6"/>
      <c r="Y27" s="6"/>
    </row>
    <row r="28" spans="1:25">
      <c r="A28" s="10" t="s">
        <v>3446</v>
      </c>
      <c r="B28" s="10" t="s">
        <v>3663</v>
      </c>
      <c r="C28" s="228"/>
      <c r="D28" s="10" t="s">
        <v>4037</v>
      </c>
      <c r="E28" s="10" t="s">
        <v>3275</v>
      </c>
      <c r="F28" s="9" t="s">
        <v>15</v>
      </c>
      <c r="G28" s="8">
        <v>46224</v>
      </c>
      <c r="H28" s="9" t="s">
        <v>3666</v>
      </c>
      <c r="I28" s="9">
        <v>6</v>
      </c>
      <c r="J28" s="24">
        <v>17.64</v>
      </c>
      <c r="K28" s="24">
        <v>123.48</v>
      </c>
      <c r="L28" s="24">
        <v>105.84</v>
      </c>
      <c r="O28" s="6"/>
      <c r="P28" s="6"/>
      <c r="Q28" s="6"/>
      <c r="R28" s="6"/>
      <c r="V28" s="6"/>
      <c r="W28" s="6"/>
      <c r="X28" s="6"/>
      <c r="Y28" s="6"/>
    </row>
    <row r="29" spans="1:25">
      <c r="A29" s="10" t="s">
        <v>3446</v>
      </c>
      <c r="B29" s="10" t="s">
        <v>3663</v>
      </c>
      <c r="C29" s="228"/>
      <c r="D29" s="10" t="s">
        <v>4037</v>
      </c>
      <c r="E29" s="10" t="s">
        <v>3270</v>
      </c>
      <c r="F29" s="9" t="s">
        <v>15</v>
      </c>
      <c r="G29" s="8">
        <v>46224</v>
      </c>
      <c r="H29" s="9" t="s">
        <v>3666</v>
      </c>
      <c r="I29" s="9">
        <v>6</v>
      </c>
      <c r="J29" s="24">
        <v>17.64</v>
      </c>
      <c r="K29" s="24">
        <v>123.48</v>
      </c>
      <c r="L29" s="24">
        <v>105.84</v>
      </c>
      <c r="O29" s="6"/>
      <c r="P29" s="6"/>
      <c r="Q29" s="6"/>
      <c r="R29" s="6"/>
      <c r="V29" s="6"/>
      <c r="W29" s="6"/>
      <c r="X29" s="6"/>
      <c r="Y29" s="6"/>
    </row>
    <row r="30" spans="1:25">
      <c r="A30" s="10" t="s">
        <v>3446</v>
      </c>
      <c r="B30" s="10" t="s">
        <v>3116</v>
      </c>
      <c r="C30" s="228"/>
      <c r="D30" s="10" t="s">
        <v>623</v>
      </c>
      <c r="E30" s="10" t="s">
        <v>3228</v>
      </c>
      <c r="F30" s="9" t="s">
        <v>15</v>
      </c>
      <c r="G30" s="8">
        <v>46225</v>
      </c>
      <c r="H30" s="9" t="s">
        <v>3727</v>
      </c>
      <c r="I30" s="9">
        <v>5</v>
      </c>
      <c r="J30" s="24">
        <v>46.67</v>
      </c>
      <c r="K30" s="24">
        <v>326.69</v>
      </c>
      <c r="L30" s="24">
        <v>233.35</v>
      </c>
      <c r="O30" s="6"/>
      <c r="P30" s="6"/>
      <c r="Q30" s="6"/>
      <c r="R30" s="6"/>
      <c r="V30" s="6"/>
      <c r="W30" s="6"/>
      <c r="X30" s="6"/>
      <c r="Y30" s="6"/>
    </row>
    <row r="31" spans="1:25">
      <c r="A31" s="10" t="s">
        <v>3446</v>
      </c>
      <c r="B31" s="10" t="s">
        <v>3116</v>
      </c>
      <c r="C31" s="228"/>
      <c r="D31" s="10" t="s">
        <v>693</v>
      </c>
      <c r="E31" s="10" t="s">
        <v>3162</v>
      </c>
      <c r="F31" s="9" t="s">
        <v>15</v>
      </c>
      <c r="G31" s="8">
        <v>46226</v>
      </c>
      <c r="H31" s="9" t="s">
        <v>3722</v>
      </c>
      <c r="I31" s="9">
        <v>4</v>
      </c>
      <c r="J31" s="24">
        <v>192.04</v>
      </c>
      <c r="K31" s="24">
        <v>1344.28</v>
      </c>
      <c r="L31" s="24">
        <v>768.16</v>
      </c>
      <c r="O31" s="6"/>
      <c r="P31" s="6"/>
      <c r="Q31" s="6"/>
      <c r="R31" s="6"/>
      <c r="V31" s="6"/>
      <c r="W31" s="6"/>
      <c r="X31" s="6"/>
      <c r="Y31" s="6"/>
    </row>
    <row r="32" spans="1:25">
      <c r="A32" s="10" t="s">
        <v>3446</v>
      </c>
      <c r="B32" s="10" t="s">
        <v>4001</v>
      </c>
      <c r="C32" s="228"/>
      <c r="D32" s="10" t="s">
        <v>146</v>
      </c>
      <c r="E32" s="10" t="s">
        <v>3196</v>
      </c>
      <c r="F32" s="9" t="s">
        <v>15</v>
      </c>
      <c r="G32" s="8">
        <v>46229</v>
      </c>
      <c r="H32" s="9" t="s">
        <v>4002</v>
      </c>
      <c r="I32" s="9">
        <v>1</v>
      </c>
      <c r="J32" s="24">
        <v>72.59</v>
      </c>
      <c r="K32" s="24">
        <v>508.13</v>
      </c>
      <c r="L32" s="24">
        <v>72.59</v>
      </c>
      <c r="O32" s="6"/>
      <c r="P32" s="6"/>
      <c r="Q32" s="6"/>
      <c r="R32" s="6"/>
      <c r="V32" s="6"/>
      <c r="W32" s="6"/>
      <c r="X32" s="6"/>
      <c r="Y32" s="6"/>
    </row>
    <row r="33" spans="1:25">
      <c r="A33" s="10" t="s">
        <v>3446</v>
      </c>
      <c r="B33" s="10" t="s">
        <v>3116</v>
      </c>
      <c r="C33" s="228"/>
      <c r="D33" s="10" t="s">
        <v>225</v>
      </c>
      <c r="E33" s="10" t="s">
        <v>3279</v>
      </c>
      <c r="F33" s="9" t="s">
        <v>15</v>
      </c>
      <c r="G33" s="8">
        <v>46229</v>
      </c>
      <c r="H33" s="9" t="s">
        <v>4007</v>
      </c>
      <c r="I33" s="9">
        <v>1</v>
      </c>
      <c r="J33" s="24">
        <v>16.62</v>
      </c>
      <c r="K33" s="24">
        <v>116.34</v>
      </c>
      <c r="L33" s="24">
        <v>16.62</v>
      </c>
      <c r="O33" s="6"/>
      <c r="P33" s="6"/>
      <c r="Q33" s="6"/>
      <c r="R33" s="6"/>
      <c r="V33" s="6"/>
      <c r="W33" s="6"/>
      <c r="X33" s="6"/>
      <c r="Y33" s="6"/>
    </row>
    <row r="34" spans="1:25">
      <c r="A34" s="10" t="s">
        <v>4005</v>
      </c>
      <c r="B34" s="10" t="s">
        <v>4006</v>
      </c>
      <c r="C34" s="228"/>
      <c r="D34" s="10" t="s">
        <v>2205</v>
      </c>
      <c r="E34" s="10" t="s">
        <v>3901</v>
      </c>
      <c r="F34" s="9" t="s">
        <v>15</v>
      </c>
      <c r="G34" s="8">
        <v>46229</v>
      </c>
      <c r="H34" s="9" t="s">
        <v>3679</v>
      </c>
      <c r="I34" s="9">
        <v>1</v>
      </c>
      <c r="J34" s="24">
        <v>53.92</v>
      </c>
      <c r="K34" s="24">
        <v>377.44</v>
      </c>
      <c r="L34" s="24">
        <v>53.92</v>
      </c>
      <c r="O34" s="6"/>
      <c r="P34" s="6"/>
      <c r="Q34" s="6"/>
      <c r="R34" s="6"/>
      <c r="V34" s="6"/>
      <c r="W34" s="6"/>
      <c r="X34" s="6"/>
      <c r="Y34" s="6"/>
    </row>
    <row r="35" spans="1:25">
      <c r="A35" s="10" t="s">
        <v>11</v>
      </c>
      <c r="B35" s="10" t="s">
        <v>3447</v>
      </c>
      <c r="C35" s="228"/>
      <c r="D35" s="10" t="s">
        <v>2208</v>
      </c>
      <c r="E35" s="10" t="s">
        <v>3174</v>
      </c>
      <c r="F35" s="9" t="s">
        <v>15</v>
      </c>
      <c r="G35" s="8">
        <v>46223</v>
      </c>
      <c r="H35" s="9" t="s">
        <v>3448</v>
      </c>
      <c r="I35" s="9">
        <v>7</v>
      </c>
      <c r="J35" s="24">
        <v>118.26</v>
      </c>
      <c r="K35" s="24">
        <v>827.82</v>
      </c>
      <c r="L35" s="24">
        <v>827.82</v>
      </c>
      <c r="O35" s="6"/>
      <c r="P35" s="6"/>
      <c r="Q35" s="6"/>
      <c r="R35" s="6"/>
      <c r="V35" s="6"/>
      <c r="W35" s="6"/>
      <c r="X35" s="6"/>
      <c r="Y35" s="6"/>
    </row>
    <row r="36" spans="1:25">
      <c r="A36" s="10" t="s">
        <v>11</v>
      </c>
      <c r="B36" s="10" t="s">
        <v>3447</v>
      </c>
      <c r="C36" s="228"/>
      <c r="D36" s="10" t="s">
        <v>2205</v>
      </c>
      <c r="E36" s="10" t="s">
        <v>3227</v>
      </c>
      <c r="F36" s="9" t="s">
        <v>15</v>
      </c>
      <c r="G36" s="8">
        <v>46223</v>
      </c>
      <c r="H36" s="9" t="s">
        <v>3448</v>
      </c>
      <c r="I36" s="9">
        <v>7</v>
      </c>
      <c r="J36" s="24">
        <v>53.92</v>
      </c>
      <c r="K36" s="24">
        <v>377.44</v>
      </c>
      <c r="L36" s="24">
        <v>377.44</v>
      </c>
      <c r="O36" s="6"/>
      <c r="P36" s="6"/>
      <c r="Q36" s="6"/>
      <c r="R36" s="6"/>
      <c r="V36" s="6"/>
      <c r="W36" s="6"/>
      <c r="X36" s="6"/>
      <c r="Y36" s="6"/>
    </row>
    <row r="37" spans="1:25">
      <c r="A37" s="10" t="s">
        <v>11</v>
      </c>
      <c r="B37" s="10" t="s">
        <v>3904</v>
      </c>
      <c r="C37" s="228"/>
      <c r="D37" s="10" t="s">
        <v>692</v>
      </c>
      <c r="E37" s="10" t="s">
        <v>3172</v>
      </c>
      <c r="F37" s="9" t="s">
        <v>15</v>
      </c>
      <c r="G37" s="8">
        <v>46228</v>
      </c>
      <c r="H37" s="9" t="s">
        <v>3905</v>
      </c>
      <c r="I37" s="9">
        <v>2</v>
      </c>
      <c r="J37" s="24">
        <v>127</v>
      </c>
      <c r="K37" s="24">
        <v>889</v>
      </c>
      <c r="L37" s="24">
        <v>254</v>
      </c>
      <c r="O37" s="6"/>
      <c r="P37" s="6"/>
      <c r="Q37" s="6"/>
      <c r="R37" s="6"/>
      <c r="V37" s="6"/>
      <c r="W37" s="6"/>
      <c r="X37" s="6"/>
      <c r="Y37" s="6"/>
    </row>
    <row r="38" spans="1:25">
      <c r="A38" s="10" t="s">
        <v>3074</v>
      </c>
      <c r="B38" s="10" t="s">
        <v>3077</v>
      </c>
      <c r="C38" s="228"/>
      <c r="D38" s="10" t="s">
        <v>2232</v>
      </c>
      <c r="E38" s="10" t="s">
        <v>3078</v>
      </c>
      <c r="F38" s="9" t="s">
        <v>15</v>
      </c>
      <c r="G38" s="8">
        <v>46220</v>
      </c>
      <c r="H38" s="9" t="s">
        <v>3079</v>
      </c>
      <c r="I38" s="9">
        <v>10</v>
      </c>
      <c r="J38" s="24">
        <v>288.5</v>
      </c>
      <c r="K38" s="24">
        <v>2019.5</v>
      </c>
      <c r="L38" s="24">
        <v>2885</v>
      </c>
      <c r="O38" s="6"/>
      <c r="P38" s="6"/>
      <c r="Q38" s="6"/>
      <c r="R38" s="6"/>
      <c r="V38" s="6"/>
      <c r="W38" s="6"/>
      <c r="X38" s="6"/>
      <c r="Y38" s="6"/>
    </row>
    <row r="39" spans="1:25">
      <c r="A39" s="10" t="s">
        <v>3074</v>
      </c>
      <c r="B39" s="10" t="s">
        <v>4008</v>
      </c>
      <c r="C39" s="228"/>
      <c r="D39" s="10" t="s">
        <v>2168</v>
      </c>
      <c r="E39" s="10" t="s">
        <v>3315</v>
      </c>
      <c r="F39" s="9" t="s">
        <v>15</v>
      </c>
      <c r="G39" s="8">
        <v>46229</v>
      </c>
      <c r="H39" s="9" t="s">
        <v>4009</v>
      </c>
      <c r="I39" s="9">
        <v>1</v>
      </c>
      <c r="J39" s="24">
        <v>6.74</v>
      </c>
      <c r="K39" s="24">
        <v>47.18</v>
      </c>
      <c r="L39" s="24">
        <v>6.74</v>
      </c>
      <c r="O39" s="6"/>
      <c r="P39" s="6"/>
      <c r="Q39" s="6"/>
      <c r="R39" s="6"/>
      <c r="V39" s="6"/>
      <c r="W39" s="6"/>
      <c r="X39" s="6"/>
      <c r="Y39" s="6"/>
    </row>
    <row r="40" spans="1:25">
      <c r="A40" s="10" t="s">
        <v>3074</v>
      </c>
      <c r="B40" s="10" t="s">
        <v>4008</v>
      </c>
      <c r="C40" s="228"/>
      <c r="D40" s="10" t="s">
        <v>2168</v>
      </c>
      <c r="E40" s="10" t="s">
        <v>3314</v>
      </c>
      <c r="F40" s="9" t="s">
        <v>15</v>
      </c>
      <c r="G40" s="8">
        <v>46229</v>
      </c>
      <c r="H40" s="9" t="s">
        <v>4009</v>
      </c>
      <c r="I40" s="9">
        <v>1</v>
      </c>
      <c r="J40" s="24">
        <v>6.74</v>
      </c>
      <c r="K40" s="24">
        <v>47.18</v>
      </c>
      <c r="L40" s="24">
        <v>6.74</v>
      </c>
      <c r="O40" s="6"/>
      <c r="P40" s="6"/>
      <c r="Q40" s="6"/>
      <c r="R40" s="6"/>
      <c r="V40" s="6"/>
      <c r="W40" s="6"/>
      <c r="X40" s="6"/>
      <c r="Y40" s="6"/>
    </row>
    <row r="41" spans="1:25">
      <c r="A41" s="10" t="s">
        <v>3714</v>
      </c>
      <c r="B41" s="10" t="s">
        <v>3724</v>
      </c>
      <c r="C41" s="228"/>
      <c r="D41" s="10" t="s">
        <v>2208</v>
      </c>
      <c r="E41" s="10" t="s">
        <v>3175</v>
      </c>
      <c r="F41" s="9" t="s">
        <v>15</v>
      </c>
      <c r="G41" s="8">
        <v>46225</v>
      </c>
      <c r="H41" s="9" t="s">
        <v>3725</v>
      </c>
      <c r="I41" s="9">
        <v>5</v>
      </c>
      <c r="J41" s="24">
        <v>118.26</v>
      </c>
      <c r="K41" s="24">
        <v>827.82</v>
      </c>
      <c r="L41" s="24">
        <v>591.29999999999995</v>
      </c>
      <c r="O41" s="6"/>
      <c r="P41" s="6"/>
      <c r="Q41" s="6"/>
      <c r="R41" s="6"/>
      <c r="V41" s="6"/>
      <c r="W41" s="6"/>
      <c r="X41" s="6"/>
      <c r="Y41" s="6"/>
    </row>
    <row r="42" spans="1:25">
      <c r="A42" s="10" t="s">
        <v>3714</v>
      </c>
      <c r="B42" s="10" t="s">
        <v>3728</v>
      </c>
      <c r="C42" s="228"/>
      <c r="D42" s="10" t="s">
        <v>702</v>
      </c>
      <c r="E42" s="10" t="s">
        <v>3171</v>
      </c>
      <c r="F42" s="9" t="s">
        <v>15</v>
      </c>
      <c r="G42" s="8">
        <v>46226</v>
      </c>
      <c r="H42" s="9" t="s">
        <v>3729</v>
      </c>
      <c r="I42" s="9">
        <v>4</v>
      </c>
      <c r="J42" s="24">
        <v>139</v>
      </c>
      <c r="K42" s="24">
        <v>973</v>
      </c>
      <c r="L42" s="24">
        <v>556</v>
      </c>
      <c r="O42" s="6"/>
      <c r="P42" s="6"/>
      <c r="Q42" s="6"/>
      <c r="R42" s="6"/>
      <c r="V42" s="6"/>
      <c r="W42" s="6"/>
      <c r="X42" s="6"/>
      <c r="Y42" s="6"/>
    </row>
    <row r="43" spans="1:25">
      <c r="A43" s="10" t="s">
        <v>3714</v>
      </c>
      <c r="B43" s="10" t="s">
        <v>3728</v>
      </c>
      <c r="C43" s="228"/>
      <c r="D43" s="10" t="s">
        <v>147</v>
      </c>
      <c r="E43" s="10" t="s">
        <v>3194</v>
      </c>
      <c r="F43" s="9" t="s">
        <v>15</v>
      </c>
      <c r="G43" s="8">
        <v>46226</v>
      </c>
      <c r="H43" s="9" t="s">
        <v>3733</v>
      </c>
      <c r="I43" s="9">
        <v>4</v>
      </c>
      <c r="J43" s="24">
        <v>72.59</v>
      </c>
      <c r="K43" s="24">
        <v>508.13</v>
      </c>
      <c r="L43" s="24">
        <v>290.36</v>
      </c>
      <c r="O43" s="6"/>
      <c r="P43" s="6"/>
      <c r="Q43" s="6"/>
      <c r="R43" s="6"/>
      <c r="V43" s="6"/>
      <c r="W43" s="6"/>
      <c r="X43" s="6"/>
      <c r="Y43" s="6"/>
    </row>
    <row r="44" spans="1:25">
      <c r="A44" s="10" t="s">
        <v>3714</v>
      </c>
      <c r="B44" s="10" t="s">
        <v>3728</v>
      </c>
      <c r="C44" s="228"/>
      <c r="D44" s="10" t="s">
        <v>2217</v>
      </c>
      <c r="E44" s="10" t="s">
        <v>3213</v>
      </c>
      <c r="F44" s="9" t="s">
        <v>15</v>
      </c>
      <c r="G44" s="8">
        <v>46226</v>
      </c>
      <c r="H44" s="9" t="s">
        <v>3737</v>
      </c>
      <c r="I44" s="9">
        <v>4</v>
      </c>
      <c r="J44" s="24">
        <v>57.22</v>
      </c>
      <c r="K44" s="24">
        <v>400.54</v>
      </c>
      <c r="L44" s="24">
        <v>228.88</v>
      </c>
      <c r="O44" s="6"/>
      <c r="P44" s="6"/>
      <c r="Q44" s="6"/>
      <c r="R44" s="6"/>
      <c r="V44" s="6"/>
      <c r="W44" s="6"/>
      <c r="X44" s="6"/>
      <c r="Y44" s="6"/>
    </row>
    <row r="45" spans="1:25">
      <c r="A45" s="10" t="s">
        <v>3714</v>
      </c>
      <c r="B45" s="10" t="s">
        <v>3728</v>
      </c>
      <c r="C45" s="228"/>
      <c r="D45" s="10" t="s">
        <v>2205</v>
      </c>
      <c r="E45" s="10" t="s">
        <v>3738</v>
      </c>
      <c r="F45" s="9" t="s">
        <v>15</v>
      </c>
      <c r="G45" s="8">
        <v>46226</v>
      </c>
      <c r="H45" s="9" t="s">
        <v>3739</v>
      </c>
      <c r="I45" s="9">
        <v>4</v>
      </c>
      <c r="J45" s="24">
        <v>53.92</v>
      </c>
      <c r="K45" s="24">
        <v>377.44</v>
      </c>
      <c r="L45" s="24">
        <v>215.68</v>
      </c>
      <c r="O45" s="6"/>
      <c r="P45" s="6"/>
      <c r="Q45" s="6"/>
      <c r="R45" s="6"/>
      <c r="V45" s="6"/>
      <c r="W45" s="6"/>
      <c r="X45" s="6"/>
      <c r="Y45" s="6"/>
    </row>
    <row r="46" spans="1:25">
      <c r="A46" s="10" t="s">
        <v>3714</v>
      </c>
      <c r="B46" s="10" t="s">
        <v>3715</v>
      </c>
      <c r="C46" s="228"/>
      <c r="D46" s="10" t="s">
        <v>2238</v>
      </c>
      <c r="E46" s="10" t="s">
        <v>3232</v>
      </c>
      <c r="F46" s="9" t="s">
        <v>15</v>
      </c>
      <c r="G46" s="8">
        <v>46228</v>
      </c>
      <c r="H46" s="9" t="s">
        <v>3911</v>
      </c>
      <c r="I46" s="9">
        <v>2</v>
      </c>
      <c r="J46" s="24">
        <v>34.22</v>
      </c>
      <c r="K46" s="24">
        <v>239.54</v>
      </c>
      <c r="L46" s="24">
        <v>68.44</v>
      </c>
      <c r="O46" s="6"/>
      <c r="P46" s="6"/>
      <c r="Q46" s="6"/>
      <c r="R46" s="6"/>
      <c r="V46" s="6"/>
      <c r="W46" s="6"/>
      <c r="X46" s="6"/>
      <c r="Y46" s="6"/>
    </row>
    <row r="47" spans="1:25">
      <c r="A47" s="10" t="s">
        <v>3714</v>
      </c>
      <c r="B47" s="10" t="s">
        <v>4003</v>
      </c>
      <c r="C47" s="228"/>
      <c r="D47" s="10" t="s">
        <v>2211</v>
      </c>
      <c r="E47" s="10" t="s">
        <v>3208</v>
      </c>
      <c r="F47" s="9" t="s">
        <v>15</v>
      </c>
      <c r="G47" s="8">
        <v>46229</v>
      </c>
      <c r="H47" s="9" t="s">
        <v>4004</v>
      </c>
      <c r="I47" s="9">
        <v>1</v>
      </c>
      <c r="J47" s="24">
        <v>62</v>
      </c>
      <c r="K47" s="24">
        <v>434</v>
      </c>
      <c r="L47" s="24">
        <v>62</v>
      </c>
      <c r="O47" s="6"/>
      <c r="P47" s="6"/>
      <c r="Q47" s="6"/>
      <c r="R47" s="6"/>
      <c r="V47" s="6"/>
      <c r="W47" s="6"/>
      <c r="X47" s="6"/>
      <c r="Y47" s="6"/>
    </row>
    <row r="48" spans="1:25">
      <c r="A48" s="10" t="s">
        <v>3654</v>
      </c>
      <c r="B48" s="10" t="s">
        <v>3716</v>
      </c>
      <c r="C48" s="228"/>
      <c r="D48" s="10" t="s">
        <v>146</v>
      </c>
      <c r="E48" s="10" t="s">
        <v>3198</v>
      </c>
      <c r="F48" s="9" t="s">
        <v>15</v>
      </c>
      <c r="G48" s="8">
        <v>46226</v>
      </c>
      <c r="H48" s="9" t="s">
        <v>3734</v>
      </c>
      <c r="I48" s="9">
        <v>4</v>
      </c>
      <c r="J48" s="24">
        <v>72.59</v>
      </c>
      <c r="K48" s="24">
        <v>508.13</v>
      </c>
      <c r="L48" s="24">
        <v>290.36</v>
      </c>
      <c r="O48" s="6"/>
      <c r="P48" s="6"/>
      <c r="Q48" s="6"/>
      <c r="R48" s="6"/>
      <c r="V48" s="6"/>
      <c r="W48" s="6"/>
      <c r="X48" s="6"/>
      <c r="Y48" s="6"/>
    </row>
    <row r="49" spans="1:25">
      <c r="A49" s="10" t="s">
        <v>3654</v>
      </c>
      <c r="B49" s="10" t="s">
        <v>3716</v>
      </c>
      <c r="C49" s="228"/>
      <c r="D49" s="10" t="s">
        <v>2211</v>
      </c>
      <c r="E49" s="10" t="s">
        <v>3210</v>
      </c>
      <c r="F49" s="9" t="s">
        <v>15</v>
      </c>
      <c r="G49" s="8">
        <v>46226</v>
      </c>
      <c r="H49" s="9" t="s">
        <v>3736</v>
      </c>
      <c r="I49" s="9">
        <v>4</v>
      </c>
      <c r="J49" s="24">
        <v>62</v>
      </c>
      <c r="K49" s="24">
        <v>434</v>
      </c>
      <c r="L49" s="24">
        <v>248</v>
      </c>
      <c r="O49" s="6"/>
      <c r="P49" s="6"/>
      <c r="Q49" s="6"/>
      <c r="R49" s="6"/>
      <c r="V49" s="6"/>
      <c r="W49" s="6"/>
      <c r="X49" s="6"/>
      <c r="Y49" s="6"/>
    </row>
    <row r="50" spans="1:25">
      <c r="A50" s="373" t="s">
        <v>3654</v>
      </c>
      <c r="B50" s="373" t="s">
        <v>3909</v>
      </c>
      <c r="C50" s="399"/>
      <c r="D50" s="373" t="s">
        <v>155</v>
      </c>
      <c r="E50" s="373" t="s">
        <v>3217</v>
      </c>
      <c r="F50" s="14" t="s">
        <v>15</v>
      </c>
      <c r="G50" s="13">
        <v>46228</v>
      </c>
      <c r="H50" s="14" t="s">
        <v>3910</v>
      </c>
      <c r="I50" s="14">
        <v>2</v>
      </c>
      <c r="J50" s="29">
        <v>57.03</v>
      </c>
      <c r="K50" s="29">
        <v>399.21</v>
      </c>
      <c r="L50" s="29">
        <v>114.06</v>
      </c>
      <c r="O50" s="6"/>
      <c r="P50" s="6"/>
      <c r="Q50" s="6"/>
      <c r="R50" s="6"/>
      <c r="V50" s="6"/>
      <c r="W50" s="6"/>
      <c r="X50" s="6"/>
      <c r="Y50" s="6"/>
    </row>
    <row r="51" spans="1:25">
      <c r="A51" s="10"/>
      <c r="B51" s="10"/>
      <c r="C51" s="228"/>
      <c r="D51" s="10"/>
      <c r="E51" s="10"/>
      <c r="F51" s="10"/>
      <c r="G51" s="10"/>
      <c r="H51" s="10"/>
      <c r="I51" s="10"/>
      <c r="J51" s="273"/>
      <c r="K51" s="273"/>
      <c r="L51" s="273"/>
      <c r="O51" s="6"/>
      <c r="P51" s="6"/>
      <c r="Q51" s="6"/>
      <c r="R51" s="6"/>
      <c r="V51" s="6"/>
      <c r="W51" s="6"/>
      <c r="X51" s="6"/>
      <c r="Y51" s="6"/>
    </row>
    <row r="52" spans="1:25">
      <c r="O52" s="6"/>
      <c r="P52" s="6"/>
      <c r="Q52" s="6"/>
      <c r="R52" s="6"/>
      <c r="V52" s="6"/>
      <c r="W52" s="6"/>
      <c r="X52" s="6"/>
      <c r="Y52" s="6"/>
    </row>
    <row r="53" spans="1:25">
      <c r="O53" s="6"/>
      <c r="P53" s="6"/>
      <c r="Q53" s="6"/>
      <c r="R53" s="6"/>
      <c r="V53" s="6"/>
      <c r="W53" s="6"/>
      <c r="X53" s="6"/>
      <c r="Y53" s="6"/>
    </row>
    <row r="54" spans="1:25">
      <c r="O54" s="6"/>
      <c r="P54" s="6"/>
      <c r="Q54" s="6"/>
      <c r="R54" s="6"/>
      <c r="V54" s="6"/>
      <c r="W54" s="6"/>
      <c r="X54" s="6"/>
      <c r="Y54" s="6"/>
    </row>
    <row r="55" spans="1:25">
      <c r="O55" s="6"/>
      <c r="P55" s="6"/>
      <c r="Q55" s="6"/>
      <c r="R55" s="6"/>
      <c r="V55" s="6"/>
      <c r="W55" s="6"/>
      <c r="X55" s="6"/>
      <c r="Y55" s="6"/>
    </row>
    <row r="56" spans="1:25">
      <c r="O56" s="6"/>
      <c r="P56" s="6"/>
      <c r="Q56" s="6"/>
      <c r="R56" s="6"/>
      <c r="V56" s="6"/>
      <c r="W56" s="6"/>
      <c r="X56" s="6"/>
      <c r="Y56" s="6"/>
    </row>
    <row r="57" spans="1:25">
      <c r="O57" s="6"/>
      <c r="P57" s="6"/>
      <c r="Q57" s="6"/>
      <c r="R57" s="6"/>
      <c r="V57" s="6"/>
      <c r="W57" s="6"/>
      <c r="X57" s="6"/>
      <c r="Y57" s="6"/>
    </row>
    <row r="58" spans="1:25">
      <c r="O58" s="6"/>
      <c r="P58" s="6"/>
      <c r="Q58" s="6"/>
      <c r="R58" s="6"/>
      <c r="V58" s="6"/>
      <c r="W58" s="6"/>
      <c r="X58" s="6"/>
      <c r="Y58" s="6"/>
    </row>
    <row r="59" spans="1:25">
      <c r="O59" s="6"/>
      <c r="P59" s="6"/>
      <c r="Q59" s="6"/>
      <c r="R59" s="6"/>
      <c r="V59" s="6"/>
      <c r="W59" s="6"/>
      <c r="X59" s="6"/>
      <c r="Y59" s="6"/>
    </row>
    <row r="60" spans="1:25">
      <c r="O60" s="6"/>
      <c r="P60" s="6"/>
      <c r="Q60" s="6"/>
      <c r="R60" s="6"/>
      <c r="V60" s="6"/>
      <c r="W60" s="6"/>
      <c r="X60" s="6"/>
      <c r="Y60" s="6"/>
    </row>
    <row r="61" spans="1:25">
      <c r="O61" s="6"/>
      <c r="P61" s="6"/>
      <c r="Q61" s="6"/>
      <c r="R61" s="6"/>
      <c r="V61" s="6"/>
      <c r="W61" s="6"/>
      <c r="X61" s="6"/>
      <c r="Y61" s="6"/>
    </row>
    <row r="62" spans="1:25">
      <c r="O62" s="6"/>
      <c r="P62" s="6"/>
      <c r="Q62" s="6"/>
      <c r="R62" s="6"/>
      <c r="V62" s="6"/>
      <c r="W62" s="6"/>
      <c r="X62" s="6"/>
      <c r="Y62" s="6"/>
    </row>
    <row r="63" spans="1:25">
      <c r="O63" s="6"/>
      <c r="P63" s="6"/>
      <c r="Q63" s="6"/>
      <c r="R63" s="6"/>
      <c r="V63" s="6"/>
      <c r="W63" s="6"/>
      <c r="X63" s="6"/>
      <c r="Y63" s="6"/>
    </row>
    <row r="64" spans="1:25">
      <c r="O64" s="6"/>
      <c r="P64" s="6"/>
      <c r="Q64" s="6"/>
      <c r="R64" s="6"/>
      <c r="V64" s="6"/>
      <c r="W64" s="6"/>
      <c r="X64" s="6"/>
      <c r="Y64" s="6"/>
    </row>
    <row r="65" spans="15:25">
      <c r="O65" s="6"/>
      <c r="P65" s="6"/>
      <c r="Q65" s="6"/>
      <c r="R65" s="6"/>
      <c r="V65" s="6"/>
      <c r="W65" s="6"/>
      <c r="X65" s="6"/>
      <c r="Y65" s="6"/>
    </row>
    <row r="66" spans="15:25">
      <c r="O66" s="6"/>
      <c r="P66" s="6"/>
      <c r="Q66" s="6"/>
      <c r="R66" s="6"/>
      <c r="V66" s="6"/>
      <c r="W66" s="6"/>
      <c r="X66" s="6"/>
      <c r="Y66" s="6"/>
    </row>
    <row r="67" spans="15:25">
      <c r="O67" s="6"/>
      <c r="P67" s="6"/>
      <c r="Q67" s="6"/>
      <c r="R67" s="6"/>
      <c r="V67" s="6"/>
      <c r="W67" s="6"/>
      <c r="X67" s="6"/>
      <c r="Y67" s="6"/>
    </row>
    <row r="68" spans="15:25">
      <c r="O68" s="6"/>
      <c r="P68" s="6"/>
      <c r="Q68" s="6"/>
      <c r="R68" s="6"/>
      <c r="V68" s="6"/>
      <c r="W68" s="6"/>
      <c r="X68" s="6"/>
      <c r="Y68" s="6"/>
    </row>
    <row r="69" spans="15:25">
      <c r="O69" s="6"/>
      <c r="P69" s="6"/>
      <c r="Q69" s="6"/>
      <c r="R69" s="6"/>
      <c r="V69" s="6"/>
      <c r="W69" s="6"/>
      <c r="X69" s="6"/>
      <c r="Y69" s="6"/>
    </row>
    <row r="70" spans="15:25">
      <c r="O70" s="6"/>
      <c r="P70" s="6"/>
      <c r="Q70" s="6"/>
      <c r="R70" s="6"/>
      <c r="V70" s="6"/>
      <c r="W70" s="6"/>
      <c r="X70" s="6"/>
      <c r="Y70" s="6"/>
    </row>
    <row r="71" spans="15:25">
      <c r="O71" s="6"/>
      <c r="P71" s="6"/>
      <c r="Q71" s="6"/>
      <c r="R71" s="6"/>
      <c r="V71" s="6"/>
      <c r="W71" s="6"/>
      <c r="X71" s="6"/>
      <c r="Y71" s="6"/>
    </row>
    <row r="72" spans="15:25">
      <c r="O72" s="6"/>
      <c r="P72" s="6"/>
      <c r="Q72" s="6"/>
      <c r="R72" s="6"/>
      <c r="V72" s="6"/>
      <c r="W72" s="6"/>
      <c r="X72" s="6"/>
      <c r="Y72" s="6"/>
    </row>
    <row r="73" spans="15:25">
      <c r="O73" s="6"/>
      <c r="P73" s="6"/>
      <c r="Q73" s="6"/>
      <c r="R73" s="6"/>
      <c r="V73" s="6"/>
      <c r="W73" s="6"/>
      <c r="X73" s="6"/>
      <c r="Y73" s="6"/>
    </row>
    <row r="74" spans="15:25">
      <c r="O74" s="6"/>
      <c r="P74" s="6"/>
      <c r="Q74" s="6"/>
      <c r="R74" s="6"/>
      <c r="V74" s="6"/>
      <c r="W74" s="6"/>
      <c r="X74" s="6"/>
      <c r="Y74" s="6"/>
    </row>
    <row r="75" spans="15:25">
      <c r="O75" s="6"/>
      <c r="P75" s="6"/>
      <c r="Q75" s="6"/>
      <c r="R75" s="6"/>
      <c r="V75" s="6"/>
      <c r="W75" s="6"/>
      <c r="X75" s="6"/>
      <c r="Y75" s="6"/>
    </row>
    <row r="76" spans="15:25">
      <c r="O76" s="6"/>
      <c r="P76" s="6"/>
      <c r="Q76" s="6"/>
      <c r="R76" s="6"/>
      <c r="V76" s="6"/>
      <c r="W76" s="6"/>
      <c r="X76" s="6"/>
      <c r="Y76" s="6"/>
    </row>
    <row r="77" spans="15:25">
      <c r="O77" s="6"/>
      <c r="P77" s="6"/>
      <c r="Q77" s="6"/>
      <c r="R77" s="6"/>
      <c r="V77" s="6"/>
      <c r="W77" s="6"/>
      <c r="X77" s="6"/>
      <c r="Y77" s="6"/>
    </row>
    <row r="78" spans="15:25">
      <c r="O78" s="6"/>
      <c r="P78" s="6"/>
      <c r="Q78" s="6"/>
      <c r="R78" s="6"/>
      <c r="V78" s="6"/>
      <c r="W78" s="6"/>
      <c r="X78" s="6"/>
      <c r="Y78" s="6"/>
    </row>
    <row r="79" spans="15:25">
      <c r="O79" s="6"/>
      <c r="P79" s="6"/>
      <c r="Q79" s="6"/>
      <c r="R79" s="6"/>
      <c r="V79" s="6"/>
      <c r="W79" s="6"/>
      <c r="X79" s="6"/>
      <c r="Y79" s="6"/>
    </row>
    <row r="80" spans="15:25">
      <c r="O80" s="6"/>
      <c r="P80" s="6"/>
      <c r="Q80" s="6"/>
      <c r="R80" s="6"/>
      <c r="V80" s="6"/>
      <c r="W80" s="6"/>
      <c r="X80" s="6"/>
      <c r="Y80" s="6"/>
    </row>
    <row r="81" spans="15:25">
      <c r="O81" s="6"/>
      <c r="P81" s="6"/>
      <c r="Q81" s="6"/>
      <c r="R81" s="6"/>
      <c r="V81" s="6"/>
      <c r="W81" s="6"/>
      <c r="X81" s="6"/>
      <c r="Y81" s="6"/>
    </row>
    <row r="82" spans="15:25">
      <c r="O82" s="6"/>
      <c r="P82" s="6"/>
      <c r="Q82" s="6"/>
      <c r="R82" s="6"/>
      <c r="V82" s="6"/>
      <c r="W82" s="6"/>
      <c r="X82" s="6"/>
      <c r="Y82" s="6"/>
    </row>
    <row r="83" spans="15:25">
      <c r="O83" s="6"/>
      <c r="P83" s="6"/>
      <c r="Q83" s="6"/>
      <c r="R83" s="6"/>
      <c r="V83" s="6"/>
      <c r="W83" s="6"/>
      <c r="X83" s="6"/>
      <c r="Y83" s="6"/>
    </row>
    <row r="84" spans="15:25">
      <c r="O84" s="6"/>
      <c r="P84" s="6"/>
      <c r="Q84" s="6"/>
      <c r="R84" s="6"/>
      <c r="V84" s="6"/>
      <c r="W84" s="6"/>
      <c r="X84" s="6"/>
      <c r="Y84" s="6"/>
    </row>
    <row r="85" spans="15:25">
      <c r="O85" s="6"/>
      <c r="P85" s="6"/>
      <c r="Q85" s="6"/>
      <c r="R85" s="6"/>
      <c r="V85" s="6"/>
      <c r="W85" s="6"/>
      <c r="X85" s="6"/>
      <c r="Y85" s="6"/>
    </row>
    <row r="86" spans="15:25">
      <c r="O86" s="6"/>
      <c r="P86" s="6"/>
      <c r="Q86" s="6"/>
      <c r="R86" s="6"/>
      <c r="V86" s="6"/>
      <c r="W86" s="6"/>
      <c r="X86" s="6"/>
      <c r="Y86" s="6"/>
    </row>
    <row r="87" spans="15:25">
      <c r="O87" s="6"/>
      <c r="P87" s="6"/>
      <c r="Q87" s="6"/>
      <c r="R87" s="6"/>
      <c r="V87" s="6"/>
      <c r="W87" s="6"/>
      <c r="X87" s="6"/>
      <c r="Y87" s="6"/>
    </row>
    <row r="88" spans="15:25">
      <c r="O88" s="6"/>
      <c r="P88" s="6"/>
      <c r="Q88" s="6"/>
      <c r="R88" s="6"/>
      <c r="V88" s="6"/>
      <c r="W88" s="6"/>
      <c r="X88" s="6"/>
      <c r="Y88" s="6"/>
    </row>
    <row r="89" spans="15:25">
      <c r="O89" s="6"/>
      <c r="P89" s="6"/>
      <c r="Q89" s="6"/>
      <c r="R89" s="6"/>
      <c r="V89" s="6"/>
      <c r="W89" s="6"/>
      <c r="X89" s="6"/>
      <c r="Y89" s="6"/>
    </row>
    <row r="90" spans="15:25">
      <c r="O90" s="6"/>
      <c r="P90" s="6"/>
      <c r="Q90" s="6"/>
      <c r="R90" s="6"/>
      <c r="V90" s="6"/>
      <c r="W90" s="6"/>
      <c r="X90" s="6"/>
      <c r="Y90" s="6"/>
    </row>
    <row r="91" spans="15:25">
      <c r="O91" s="6"/>
      <c r="P91" s="6"/>
      <c r="Q91" s="6"/>
      <c r="R91" s="6"/>
      <c r="V91" s="6"/>
      <c r="W91" s="6"/>
      <c r="X91" s="6"/>
      <c r="Y91" s="6"/>
    </row>
    <row r="92" spans="15:25">
      <c r="O92" s="6"/>
      <c r="P92" s="6"/>
      <c r="Q92" s="6"/>
      <c r="R92" s="6"/>
      <c r="V92" s="6"/>
      <c r="W92" s="6"/>
      <c r="X92" s="6"/>
      <c r="Y92" s="6"/>
    </row>
    <row r="93" spans="15:25">
      <c r="O93" s="6"/>
      <c r="P93" s="6"/>
      <c r="Q93" s="6"/>
      <c r="R93" s="6"/>
      <c r="V93" s="6"/>
      <c r="W93" s="6"/>
      <c r="X93" s="6"/>
      <c r="Y93" s="6"/>
    </row>
    <row r="94" spans="15:25">
      <c r="O94" s="6"/>
      <c r="P94" s="6"/>
      <c r="Q94" s="6"/>
      <c r="R94" s="6"/>
      <c r="V94" s="6"/>
      <c r="W94" s="6"/>
      <c r="X94" s="6"/>
      <c r="Y94" s="6"/>
    </row>
    <row r="95" spans="15:25">
      <c r="O95" s="6"/>
      <c r="P95" s="6"/>
      <c r="Q95" s="6"/>
      <c r="R95" s="6"/>
      <c r="V95" s="6"/>
      <c r="W95" s="6"/>
      <c r="X95" s="6"/>
      <c r="Y95" s="6"/>
    </row>
    <row r="96" spans="15:25">
      <c r="O96" s="6"/>
      <c r="P96" s="6"/>
      <c r="Q96" s="6"/>
      <c r="R96" s="6"/>
      <c r="V96" s="6"/>
      <c r="W96" s="6"/>
      <c r="X96" s="6"/>
      <c r="Y96" s="6"/>
    </row>
    <row r="97" spans="15:25">
      <c r="O97" s="6"/>
      <c r="P97" s="6"/>
      <c r="Q97" s="6"/>
      <c r="R97" s="6"/>
      <c r="V97" s="6"/>
      <c r="W97" s="6"/>
      <c r="X97" s="6"/>
      <c r="Y97" s="6"/>
    </row>
    <row r="98" spans="15:25">
      <c r="O98" s="6"/>
      <c r="P98" s="6"/>
      <c r="Q98" s="6"/>
      <c r="R98" s="6"/>
      <c r="V98" s="6"/>
      <c r="W98" s="6"/>
      <c r="X98" s="6"/>
      <c r="Y98" s="6"/>
    </row>
    <row r="99" spans="15:25">
      <c r="O99" s="6"/>
      <c r="P99" s="6"/>
      <c r="Q99" s="6"/>
      <c r="R99" s="6"/>
      <c r="V99" s="6"/>
      <c r="W99" s="6"/>
      <c r="X99" s="6"/>
      <c r="Y99" s="6"/>
    </row>
    <row r="100" spans="15:25">
      <c r="O100" s="6"/>
      <c r="P100" s="6"/>
      <c r="Q100" s="6"/>
      <c r="R100" s="6"/>
      <c r="V100" s="6"/>
      <c r="W100" s="6"/>
      <c r="X100" s="6"/>
      <c r="Y100" s="6"/>
    </row>
    <row r="101" spans="15:25">
      <c r="O101" s="6"/>
      <c r="P101" s="6"/>
      <c r="Q101" s="6"/>
      <c r="R101" s="6"/>
      <c r="V101" s="6"/>
      <c r="W101" s="6"/>
      <c r="X101" s="6"/>
      <c r="Y101" s="6"/>
    </row>
    <row r="102" spans="15:25">
      <c r="O102" s="6"/>
      <c r="P102" s="6"/>
      <c r="Q102" s="6"/>
      <c r="R102" s="6"/>
      <c r="V102" s="6"/>
      <c r="W102" s="6"/>
      <c r="X102" s="6"/>
      <c r="Y102" s="6"/>
    </row>
    <row r="103" spans="15:25">
      <c r="O103" s="6"/>
      <c r="P103" s="6"/>
      <c r="Q103" s="6"/>
      <c r="R103" s="6"/>
      <c r="V103" s="6"/>
      <c r="W103" s="6"/>
      <c r="X103" s="6"/>
      <c r="Y103" s="6"/>
    </row>
    <row r="104" spans="15:25">
      <c r="O104" s="6"/>
      <c r="P104" s="6"/>
      <c r="Q104" s="6"/>
      <c r="R104" s="6"/>
      <c r="V104" s="6"/>
      <c r="W104" s="6"/>
      <c r="X104" s="6"/>
      <c r="Y104" s="6"/>
    </row>
    <row r="105" spans="15:25">
      <c r="O105" s="6"/>
      <c r="P105" s="6"/>
      <c r="Q105" s="6"/>
      <c r="R105" s="6"/>
      <c r="V105" s="6"/>
      <c r="W105" s="6"/>
      <c r="X105" s="6"/>
      <c r="Y105" s="6"/>
    </row>
    <row r="106" spans="15:25">
      <c r="O106" s="6"/>
      <c r="P106" s="6"/>
      <c r="Q106" s="6"/>
      <c r="R106" s="6"/>
      <c r="V106" s="6"/>
      <c r="W106" s="6"/>
      <c r="X106" s="6"/>
      <c r="Y106" s="6"/>
    </row>
    <row r="107" spans="15:25">
      <c r="O107" s="6"/>
      <c r="P107" s="6"/>
      <c r="Q107" s="6"/>
      <c r="R107" s="6"/>
      <c r="V107" s="6"/>
      <c r="W107" s="6"/>
      <c r="X107" s="6"/>
      <c r="Y107" s="6"/>
    </row>
    <row r="108" spans="15:25">
      <c r="O108" s="6"/>
      <c r="P108" s="6"/>
      <c r="Q108" s="6"/>
      <c r="R108" s="6"/>
      <c r="V108" s="6"/>
      <c r="W108" s="6"/>
      <c r="X108" s="6"/>
      <c r="Y108" s="6"/>
    </row>
    <row r="109" spans="15:25">
      <c r="O109" s="6"/>
      <c r="P109" s="6"/>
      <c r="Q109" s="6"/>
      <c r="R109" s="6"/>
      <c r="V109" s="6"/>
      <c r="W109" s="6"/>
      <c r="X109" s="6"/>
      <c r="Y109" s="6"/>
    </row>
    <row r="110" spans="15:25">
      <c r="O110" s="6"/>
      <c r="P110" s="6"/>
      <c r="Q110" s="6"/>
      <c r="R110" s="6"/>
      <c r="V110" s="6"/>
      <c r="W110" s="6"/>
      <c r="X110" s="6"/>
      <c r="Y110" s="6"/>
    </row>
    <row r="111" spans="15:25">
      <c r="O111" s="6"/>
      <c r="P111" s="6"/>
      <c r="Q111" s="6"/>
      <c r="R111" s="6"/>
      <c r="V111" s="6"/>
      <c r="W111" s="6"/>
      <c r="X111" s="6"/>
      <c r="Y111" s="6"/>
    </row>
    <row r="112" spans="15:25">
      <c r="O112" s="6"/>
      <c r="P112" s="6"/>
      <c r="Q112" s="6"/>
      <c r="R112" s="6"/>
      <c r="V112" s="6"/>
      <c r="W112" s="6"/>
      <c r="X112" s="6"/>
      <c r="Y112" s="6"/>
    </row>
    <row r="113" spans="15:25">
      <c r="O113" s="6"/>
      <c r="P113" s="6"/>
      <c r="Q113" s="6"/>
      <c r="R113" s="6"/>
      <c r="V113" s="6"/>
      <c r="W113" s="6"/>
      <c r="X113" s="6"/>
      <c r="Y113" s="6"/>
    </row>
    <row r="114" spans="15:25">
      <c r="O114" s="6"/>
      <c r="P114" s="6"/>
      <c r="Q114" s="6"/>
      <c r="R114" s="6"/>
      <c r="V114" s="6"/>
      <c r="W114" s="6"/>
      <c r="X114" s="6"/>
      <c r="Y114" s="6"/>
    </row>
    <row r="115" spans="15:25">
      <c r="O115" s="6"/>
      <c r="P115" s="6"/>
      <c r="Q115" s="6"/>
      <c r="R115" s="6"/>
      <c r="V115" s="6"/>
      <c r="W115" s="6"/>
      <c r="X115" s="6"/>
      <c r="Y115" s="6"/>
    </row>
    <row r="116" spans="15:25">
      <c r="O116" s="6"/>
      <c r="P116" s="6"/>
      <c r="Q116" s="6"/>
      <c r="R116" s="6"/>
      <c r="V116" s="6"/>
      <c r="W116" s="6"/>
      <c r="X116" s="6"/>
      <c r="Y116" s="6"/>
    </row>
    <row r="117" spans="15:25">
      <c r="O117" s="6"/>
      <c r="P117" s="6"/>
      <c r="Q117" s="6"/>
      <c r="R117" s="6"/>
      <c r="V117" s="6"/>
      <c r="W117" s="6"/>
      <c r="X117" s="6"/>
      <c r="Y117" s="6"/>
    </row>
    <row r="118" spans="15:25">
      <c r="O118" s="6"/>
      <c r="P118" s="6"/>
      <c r="Q118" s="6"/>
      <c r="R118" s="6"/>
      <c r="V118" s="6"/>
      <c r="W118" s="6"/>
      <c r="X118" s="6"/>
      <c r="Y118" s="6"/>
    </row>
    <row r="119" spans="15:25">
      <c r="O119" s="6"/>
      <c r="P119" s="6"/>
      <c r="Q119" s="6"/>
      <c r="R119" s="6"/>
      <c r="V119" s="6"/>
      <c r="W119" s="6"/>
      <c r="X119" s="6"/>
      <c r="Y119" s="6"/>
    </row>
    <row r="120" spans="15:25">
      <c r="O120" s="6"/>
      <c r="P120" s="6"/>
      <c r="Q120" s="6"/>
      <c r="R120" s="6"/>
      <c r="V120" s="6"/>
      <c r="W120" s="6"/>
      <c r="X120" s="6"/>
      <c r="Y120" s="6"/>
    </row>
    <row r="121" spans="15:25">
      <c r="O121" s="6"/>
      <c r="P121" s="6"/>
      <c r="Q121" s="6"/>
      <c r="R121" s="6"/>
      <c r="V121" s="6"/>
      <c r="W121" s="6"/>
      <c r="X121" s="6"/>
      <c r="Y121" s="6"/>
    </row>
    <row r="122" spans="15:25">
      <c r="O122" s="6"/>
      <c r="P122" s="6"/>
      <c r="Q122" s="6"/>
      <c r="R122" s="6"/>
      <c r="V122" s="6"/>
      <c r="W122" s="6"/>
      <c r="X122" s="6"/>
      <c r="Y122" s="6"/>
    </row>
    <row r="123" spans="15:25">
      <c r="O123" s="6"/>
      <c r="P123" s="6"/>
      <c r="Q123" s="6"/>
      <c r="R123" s="6"/>
      <c r="V123" s="6"/>
      <c r="W123" s="6"/>
      <c r="X123" s="6"/>
      <c r="Y123" s="6"/>
    </row>
    <row r="124" spans="15:25">
      <c r="O124" s="6"/>
      <c r="P124" s="6"/>
      <c r="Q124" s="6"/>
      <c r="R124" s="6"/>
      <c r="V124" s="6"/>
      <c r="W124" s="6"/>
      <c r="X124" s="6"/>
      <c r="Y124" s="6"/>
    </row>
    <row r="125" spans="15:25">
      <c r="O125" s="6"/>
      <c r="P125" s="6"/>
      <c r="Q125" s="6"/>
      <c r="R125" s="6"/>
      <c r="V125" s="6"/>
      <c r="W125" s="6"/>
      <c r="X125" s="6"/>
      <c r="Y125" s="6"/>
    </row>
    <row r="126" spans="15:25">
      <c r="O126" s="6"/>
      <c r="P126" s="6"/>
      <c r="Q126" s="6"/>
      <c r="R126" s="6"/>
      <c r="V126" s="6"/>
      <c r="W126" s="6"/>
      <c r="X126" s="6"/>
      <c r="Y126" s="6"/>
    </row>
    <row r="127" spans="15:25">
      <c r="O127" s="6"/>
      <c r="P127" s="6"/>
      <c r="Q127" s="6"/>
      <c r="R127" s="6"/>
      <c r="V127" s="6"/>
      <c r="W127" s="6"/>
      <c r="X127" s="6"/>
      <c r="Y127" s="6"/>
    </row>
    <row r="128" spans="15:25">
      <c r="O128" s="6"/>
      <c r="P128" s="6"/>
      <c r="Q128" s="6"/>
      <c r="R128" s="6"/>
      <c r="V128" s="6"/>
      <c r="W128" s="6"/>
      <c r="X128" s="6"/>
      <c r="Y128" s="6"/>
    </row>
    <row r="129" spans="15:25">
      <c r="O129" s="6"/>
      <c r="P129" s="6"/>
      <c r="Q129" s="6"/>
      <c r="R129" s="6"/>
      <c r="V129" s="6"/>
      <c r="W129" s="6"/>
      <c r="X129" s="6"/>
      <c r="Y129" s="6"/>
    </row>
    <row r="130" spans="15:25">
      <c r="O130" s="6"/>
      <c r="P130" s="6"/>
      <c r="Q130" s="6"/>
      <c r="R130" s="6"/>
      <c r="V130" s="6"/>
      <c r="W130" s="6"/>
      <c r="X130" s="6"/>
      <c r="Y130" s="6"/>
    </row>
    <row r="131" spans="15:25">
      <c r="O131" s="6"/>
      <c r="P131" s="6"/>
      <c r="Q131" s="6"/>
      <c r="R131" s="6"/>
      <c r="V131" s="6"/>
      <c r="W131" s="6"/>
      <c r="X131" s="6"/>
      <c r="Y131" s="6"/>
    </row>
    <row r="132" spans="15:25">
      <c r="O132" s="6"/>
      <c r="P132" s="6"/>
      <c r="Q132" s="6"/>
      <c r="R132" s="6"/>
      <c r="V132" s="6"/>
      <c r="W132" s="6"/>
      <c r="X132" s="6"/>
      <c r="Y132" s="6"/>
    </row>
    <row r="133" spans="15:25">
      <c r="O133" s="6"/>
      <c r="P133" s="6"/>
      <c r="Q133" s="6"/>
      <c r="R133" s="6"/>
      <c r="V133" s="6"/>
      <c r="W133" s="6"/>
      <c r="X133" s="6"/>
      <c r="Y133" s="6"/>
    </row>
    <row r="134" spans="15:25">
      <c r="O134" s="6"/>
      <c r="P134" s="6"/>
      <c r="Q134" s="6"/>
      <c r="R134" s="6"/>
      <c r="V134" s="6"/>
      <c r="W134" s="6"/>
      <c r="X134" s="6"/>
      <c r="Y134" s="6"/>
    </row>
    <row r="135" spans="15:25">
      <c r="O135" s="6"/>
      <c r="P135" s="6"/>
      <c r="Q135" s="6"/>
      <c r="R135" s="6"/>
      <c r="V135" s="6"/>
      <c r="W135" s="6"/>
      <c r="X135" s="6"/>
      <c r="Y135" s="6"/>
    </row>
    <row r="136" spans="15:25">
      <c r="O136" s="6"/>
      <c r="P136" s="6"/>
      <c r="Q136" s="6"/>
      <c r="R136" s="6"/>
      <c r="V136" s="6"/>
      <c r="W136" s="6"/>
      <c r="X136" s="6"/>
      <c r="Y136" s="6"/>
    </row>
    <row r="137" spans="15:25">
      <c r="O137" s="6"/>
      <c r="P137" s="6"/>
      <c r="Q137" s="6"/>
      <c r="R137" s="6"/>
      <c r="V137" s="6"/>
      <c r="W137" s="6"/>
      <c r="X137" s="6"/>
      <c r="Y137" s="6"/>
    </row>
    <row r="138" spans="15:25">
      <c r="O138" s="6"/>
      <c r="P138" s="6"/>
      <c r="Q138" s="6"/>
      <c r="R138" s="6"/>
      <c r="V138" s="6"/>
      <c r="W138" s="6"/>
      <c r="X138" s="6"/>
      <c r="Y138" s="6"/>
    </row>
    <row r="139" spans="15:25">
      <c r="O139" s="6"/>
      <c r="P139" s="6"/>
      <c r="Q139" s="6"/>
      <c r="R139" s="6"/>
      <c r="V139" s="6"/>
      <c r="W139" s="6"/>
      <c r="X139" s="6"/>
      <c r="Y139" s="6"/>
    </row>
    <row r="140" spans="15:25">
      <c r="O140" s="6"/>
      <c r="P140" s="6"/>
      <c r="Q140" s="6"/>
      <c r="R140" s="6"/>
      <c r="V140" s="6"/>
      <c r="W140" s="6"/>
      <c r="X140" s="6"/>
      <c r="Y140" s="6"/>
    </row>
    <row r="141" spans="15:25">
      <c r="O141" s="6"/>
      <c r="P141" s="6"/>
      <c r="Q141" s="6"/>
      <c r="R141" s="6"/>
      <c r="V141" s="6"/>
      <c r="W141" s="6"/>
      <c r="X141" s="6"/>
      <c r="Y141" s="6"/>
    </row>
    <row r="142" spans="15:25">
      <c r="O142" s="6"/>
      <c r="P142" s="6"/>
      <c r="Q142" s="6"/>
      <c r="R142" s="6"/>
      <c r="V142" s="6"/>
      <c r="W142" s="6"/>
      <c r="X142" s="6"/>
      <c r="Y142" s="6"/>
    </row>
    <row r="143" spans="15:25">
      <c r="O143" s="6"/>
      <c r="P143" s="6"/>
      <c r="Q143" s="6"/>
      <c r="R143" s="6"/>
      <c r="V143" s="6"/>
      <c r="W143" s="6"/>
      <c r="X143" s="6"/>
      <c r="Y143" s="6"/>
    </row>
    <row r="144" spans="15:25">
      <c r="O144" s="6"/>
      <c r="P144" s="6"/>
      <c r="Q144" s="6"/>
      <c r="R144" s="6"/>
      <c r="V144" s="6"/>
      <c r="W144" s="6"/>
      <c r="X144" s="6"/>
      <c r="Y144" s="6"/>
    </row>
    <row r="145" spans="15:25">
      <c r="O145" s="6"/>
      <c r="P145" s="6"/>
      <c r="Q145" s="6"/>
      <c r="R145" s="6"/>
      <c r="V145" s="6"/>
      <c r="W145" s="6"/>
      <c r="X145" s="6"/>
      <c r="Y145" s="6"/>
    </row>
    <row r="146" spans="15:25">
      <c r="O146" s="6"/>
      <c r="P146" s="6"/>
      <c r="Q146" s="6"/>
      <c r="R146" s="6"/>
      <c r="V146" s="6"/>
      <c r="W146" s="6"/>
      <c r="X146" s="6"/>
      <c r="Y146" s="6"/>
    </row>
    <row r="147" spans="15:25">
      <c r="O147" s="6"/>
      <c r="P147" s="6"/>
      <c r="Q147" s="6"/>
      <c r="R147" s="6"/>
      <c r="V147" s="6"/>
      <c r="W147" s="6"/>
      <c r="X147" s="6"/>
      <c r="Y147" s="6"/>
    </row>
    <row r="148" spans="15:25">
      <c r="O148" s="6"/>
      <c r="P148" s="6"/>
      <c r="Q148" s="6"/>
      <c r="R148" s="6"/>
      <c r="V148" s="6"/>
      <c r="W148" s="6"/>
      <c r="X148" s="6"/>
      <c r="Y148" s="6"/>
    </row>
    <row r="149" spans="15:25">
      <c r="O149" s="6"/>
      <c r="P149" s="6"/>
      <c r="Q149" s="6"/>
      <c r="R149" s="6"/>
      <c r="V149" s="6"/>
      <c r="W149" s="6"/>
      <c r="X149" s="6"/>
      <c r="Y149" s="6"/>
    </row>
    <row r="150" spans="15:25">
      <c r="O150" s="6"/>
      <c r="P150" s="6"/>
      <c r="Q150" s="6"/>
      <c r="R150" s="6"/>
      <c r="V150" s="6"/>
      <c r="W150" s="6"/>
      <c r="X150" s="6"/>
      <c r="Y150" s="6"/>
    </row>
    <row r="151" spans="15:25">
      <c r="O151" s="6"/>
      <c r="P151" s="6"/>
      <c r="Q151" s="6"/>
      <c r="R151" s="6"/>
      <c r="V151" s="6"/>
      <c r="W151" s="6"/>
      <c r="X151" s="6"/>
      <c r="Y151" s="6"/>
    </row>
    <row r="152" spans="15:25">
      <c r="O152" s="6"/>
      <c r="P152" s="6"/>
      <c r="Q152" s="6"/>
      <c r="R152" s="6"/>
      <c r="V152" s="6"/>
      <c r="W152" s="6"/>
      <c r="X152" s="6"/>
      <c r="Y152" s="6"/>
    </row>
    <row r="153" spans="15:25">
      <c r="O153" s="6"/>
      <c r="P153" s="6"/>
      <c r="Q153" s="6"/>
      <c r="R153" s="6"/>
      <c r="V153" s="6"/>
      <c r="W153" s="6"/>
      <c r="X153" s="6"/>
      <c r="Y153" s="6"/>
    </row>
    <row r="154" spans="15:25">
      <c r="O154" s="6"/>
      <c r="P154" s="6"/>
      <c r="Q154" s="6"/>
      <c r="R154" s="6"/>
      <c r="V154" s="6"/>
      <c r="W154" s="6"/>
      <c r="X154" s="6"/>
      <c r="Y154" s="6"/>
    </row>
    <row r="155" spans="15:25">
      <c r="O155" s="6"/>
      <c r="P155" s="6"/>
      <c r="Q155" s="6"/>
      <c r="R155" s="6"/>
      <c r="V155" s="6"/>
      <c r="W155" s="6"/>
      <c r="X155" s="6"/>
      <c r="Y155" s="6"/>
    </row>
    <row r="156" spans="15:25">
      <c r="O156" s="6"/>
      <c r="P156" s="6"/>
      <c r="Q156" s="6"/>
      <c r="R156" s="6"/>
      <c r="V156" s="6"/>
      <c r="W156" s="6"/>
      <c r="X156" s="6"/>
      <c r="Y156" s="6"/>
    </row>
    <row r="157" spans="15:25">
      <c r="O157" s="6"/>
      <c r="P157" s="6"/>
      <c r="Q157" s="6"/>
      <c r="R157" s="6"/>
      <c r="V157" s="6"/>
      <c r="W157" s="6"/>
      <c r="X157" s="6"/>
      <c r="Y157" s="6"/>
    </row>
    <row r="158" spans="15:25">
      <c r="O158" s="6"/>
      <c r="P158" s="6"/>
      <c r="Q158" s="6"/>
      <c r="R158" s="6"/>
      <c r="V158" s="6"/>
      <c r="W158" s="6"/>
      <c r="X158" s="6"/>
      <c r="Y158" s="6"/>
    </row>
    <row r="159" spans="15:25">
      <c r="O159" s="6"/>
      <c r="P159" s="6"/>
      <c r="Q159" s="6"/>
      <c r="R159" s="6"/>
      <c r="V159" s="6"/>
      <c r="W159" s="6"/>
      <c r="X159" s="6"/>
      <c r="Y159" s="6"/>
    </row>
    <row r="160" spans="15:25">
      <c r="O160" s="6"/>
      <c r="P160" s="6"/>
      <c r="Q160" s="6"/>
      <c r="R160" s="6"/>
      <c r="V160" s="6"/>
      <c r="W160" s="6"/>
      <c r="X160" s="6"/>
      <c r="Y160" s="6"/>
    </row>
    <row r="161" spans="15:25">
      <c r="O161" s="6"/>
      <c r="P161" s="6"/>
      <c r="Q161" s="6"/>
      <c r="R161" s="6"/>
      <c r="V161" s="6"/>
      <c r="W161" s="6"/>
      <c r="X161" s="6"/>
      <c r="Y161" s="6"/>
    </row>
    <row r="162" spans="15:25">
      <c r="O162" s="6"/>
      <c r="P162" s="6"/>
      <c r="Q162" s="6"/>
      <c r="R162" s="6"/>
      <c r="V162" s="6"/>
      <c r="W162" s="6"/>
      <c r="X162" s="6"/>
      <c r="Y162" s="6"/>
    </row>
    <row r="163" spans="15:25">
      <c r="O163" s="6"/>
      <c r="P163" s="6"/>
      <c r="Q163" s="6"/>
      <c r="R163" s="6"/>
      <c r="V163" s="6"/>
      <c r="W163" s="6"/>
      <c r="X163" s="6"/>
      <c r="Y163" s="6"/>
    </row>
    <row r="164" spans="15:25">
      <c r="O164" s="6"/>
      <c r="P164" s="6"/>
      <c r="Q164" s="6"/>
      <c r="R164" s="6"/>
      <c r="V164" s="6"/>
      <c r="W164" s="6"/>
      <c r="X164" s="6"/>
      <c r="Y164" s="6"/>
    </row>
    <row r="165" spans="15:25">
      <c r="O165" s="6"/>
      <c r="P165" s="6"/>
      <c r="Q165" s="6"/>
      <c r="R165" s="6"/>
      <c r="V165" s="6"/>
      <c r="W165" s="6"/>
      <c r="X165" s="6"/>
      <c r="Y165" s="6"/>
    </row>
    <row r="166" spans="15:25">
      <c r="O166" s="6"/>
      <c r="P166" s="6"/>
      <c r="Q166" s="6"/>
      <c r="R166" s="6"/>
      <c r="V166" s="6"/>
      <c r="W166" s="6"/>
      <c r="X166" s="6"/>
      <c r="Y166" s="6"/>
    </row>
    <row r="167" spans="15:25">
      <c r="O167" s="6"/>
      <c r="P167" s="6"/>
      <c r="Q167" s="6"/>
      <c r="R167" s="6"/>
      <c r="V167" s="6"/>
      <c r="W167" s="6"/>
      <c r="X167" s="6"/>
      <c r="Y167" s="6"/>
    </row>
    <row r="168" spans="15:25">
      <c r="O168" s="6"/>
      <c r="P168" s="6"/>
      <c r="Q168" s="6"/>
      <c r="R168" s="6"/>
      <c r="V168" s="6"/>
      <c r="W168" s="6"/>
      <c r="X168" s="6"/>
      <c r="Y168" s="6"/>
    </row>
    <row r="169" spans="15:25">
      <c r="O169" s="6"/>
      <c r="P169" s="6"/>
      <c r="Q169" s="6"/>
      <c r="R169" s="6"/>
      <c r="V169" s="6"/>
      <c r="W169" s="6"/>
      <c r="X169" s="6"/>
      <c r="Y169" s="6"/>
    </row>
    <row r="170" spans="15:25">
      <c r="O170" s="6"/>
      <c r="P170" s="6"/>
      <c r="Q170" s="6"/>
      <c r="R170" s="6"/>
      <c r="V170" s="6"/>
      <c r="W170" s="6"/>
      <c r="X170" s="6"/>
      <c r="Y170" s="6"/>
    </row>
    <row r="171" spans="15:25">
      <c r="O171" s="6"/>
      <c r="P171" s="6"/>
      <c r="Q171" s="6"/>
      <c r="R171" s="6"/>
      <c r="V171" s="6"/>
      <c r="W171" s="6"/>
      <c r="X171" s="6"/>
      <c r="Y171" s="6"/>
    </row>
    <row r="172" spans="15:25">
      <c r="O172" s="6"/>
      <c r="P172" s="6"/>
      <c r="Q172" s="6"/>
      <c r="R172" s="6"/>
      <c r="V172" s="6"/>
      <c r="W172" s="6"/>
      <c r="X172" s="6"/>
      <c r="Y172" s="6"/>
    </row>
    <row r="173" spans="15:25">
      <c r="O173" s="6"/>
      <c r="P173" s="6"/>
      <c r="Q173" s="6"/>
      <c r="R173" s="6"/>
      <c r="V173" s="6"/>
      <c r="W173" s="6"/>
      <c r="X173" s="6"/>
      <c r="Y173" s="6"/>
    </row>
    <row r="174" spans="15:25">
      <c r="O174" s="6"/>
      <c r="P174" s="6"/>
      <c r="Q174" s="6"/>
      <c r="R174" s="6"/>
      <c r="V174" s="6"/>
      <c r="W174" s="6"/>
      <c r="X174" s="6"/>
      <c r="Y174" s="6"/>
    </row>
    <row r="175" spans="15:25">
      <c r="O175" s="6"/>
      <c r="P175" s="6"/>
      <c r="Q175" s="6"/>
      <c r="R175" s="6"/>
      <c r="V175" s="6"/>
      <c r="W175" s="6"/>
      <c r="X175" s="6"/>
      <c r="Y175" s="6"/>
    </row>
    <row r="176" spans="15:25">
      <c r="O176" s="6"/>
      <c r="P176" s="6"/>
      <c r="Q176" s="6"/>
      <c r="R176" s="6"/>
      <c r="V176" s="6"/>
      <c r="W176" s="6"/>
      <c r="X176" s="6"/>
      <c r="Y176" s="6"/>
    </row>
    <row r="177" spans="15:25">
      <c r="O177" s="6"/>
      <c r="P177" s="6"/>
      <c r="Q177" s="6"/>
      <c r="R177" s="6"/>
      <c r="V177" s="6"/>
      <c r="W177" s="6"/>
      <c r="X177" s="6"/>
      <c r="Y177" s="6"/>
    </row>
    <row r="178" spans="15:25">
      <c r="O178" s="6"/>
      <c r="P178" s="6"/>
      <c r="Q178" s="6"/>
      <c r="R178" s="6"/>
      <c r="V178" s="6"/>
      <c r="W178" s="6"/>
      <c r="X178" s="6"/>
      <c r="Y178" s="6"/>
    </row>
    <row r="179" spans="15:25">
      <c r="O179" s="6"/>
      <c r="P179" s="6"/>
      <c r="Q179" s="6"/>
      <c r="R179" s="6"/>
      <c r="V179" s="6"/>
      <c r="W179" s="6"/>
      <c r="X179" s="6"/>
      <c r="Y179" s="6"/>
    </row>
    <row r="180" spans="15:25">
      <c r="O180" s="6"/>
      <c r="P180" s="6"/>
      <c r="Q180" s="6"/>
      <c r="R180" s="6"/>
      <c r="V180" s="6"/>
      <c r="W180" s="6"/>
      <c r="X180" s="6"/>
      <c r="Y180" s="6"/>
    </row>
    <row r="181" spans="15:25">
      <c r="O181" s="6"/>
      <c r="P181" s="6"/>
      <c r="Q181" s="6"/>
      <c r="R181" s="6"/>
      <c r="V181" s="6"/>
      <c r="W181" s="6"/>
      <c r="X181" s="6"/>
      <c r="Y181" s="6"/>
    </row>
    <row r="182" spans="15:25">
      <c r="O182" s="6"/>
      <c r="P182" s="6"/>
      <c r="Q182" s="6"/>
      <c r="R182" s="6"/>
      <c r="V182" s="6"/>
      <c r="W182" s="6"/>
      <c r="X182" s="6"/>
      <c r="Y182" s="6"/>
    </row>
    <row r="183" spans="15:25">
      <c r="O183" s="6"/>
      <c r="P183" s="6"/>
      <c r="Q183" s="6"/>
      <c r="R183" s="6"/>
      <c r="V183" s="6"/>
      <c r="W183" s="6"/>
      <c r="X183" s="6"/>
      <c r="Y183" s="6"/>
    </row>
    <row r="184" spans="15:25">
      <c r="O184" s="6"/>
      <c r="P184" s="6"/>
      <c r="Q184" s="6"/>
      <c r="R184" s="6"/>
      <c r="V184" s="6"/>
      <c r="W184" s="6"/>
      <c r="X184" s="6"/>
      <c r="Y184" s="6"/>
    </row>
    <row r="185" spans="15:25">
      <c r="O185" s="6"/>
      <c r="P185" s="6"/>
      <c r="Q185" s="6"/>
      <c r="R185" s="6"/>
      <c r="V185" s="6"/>
      <c r="W185" s="6"/>
      <c r="X185" s="6"/>
      <c r="Y185" s="6"/>
    </row>
    <row r="186" spans="15:25">
      <c r="O186" s="6"/>
      <c r="P186" s="6"/>
      <c r="Q186" s="6"/>
      <c r="R186" s="6"/>
      <c r="V186" s="6"/>
      <c r="W186" s="6"/>
      <c r="X186" s="6"/>
      <c r="Y186" s="6"/>
    </row>
    <row r="187" spans="15:25">
      <c r="O187" s="6"/>
      <c r="P187" s="6"/>
      <c r="Q187" s="6"/>
      <c r="R187" s="6"/>
      <c r="V187" s="6"/>
      <c r="W187" s="6"/>
      <c r="X187" s="6"/>
      <c r="Y187" s="6"/>
    </row>
    <row r="188" spans="15:25">
      <c r="O188" s="6"/>
      <c r="P188" s="6"/>
      <c r="Q188" s="6"/>
      <c r="R188" s="6"/>
      <c r="V188" s="6"/>
      <c r="W188" s="6"/>
      <c r="X188" s="6"/>
      <c r="Y188" s="6"/>
    </row>
    <row r="189" spans="15:25">
      <c r="O189" s="6"/>
      <c r="P189" s="6"/>
      <c r="Q189" s="6"/>
      <c r="R189" s="6"/>
      <c r="V189" s="6"/>
      <c r="W189" s="6"/>
      <c r="X189" s="6"/>
      <c r="Y189" s="6"/>
    </row>
    <row r="190" spans="15:25">
      <c r="O190" s="6"/>
      <c r="P190" s="6"/>
      <c r="Q190" s="6"/>
      <c r="R190" s="6"/>
      <c r="V190" s="6"/>
      <c r="W190" s="6"/>
      <c r="X190" s="6"/>
      <c r="Y190" s="6"/>
    </row>
    <row r="191" spans="15:25">
      <c r="O191" s="6"/>
      <c r="P191" s="6"/>
      <c r="Q191" s="6"/>
      <c r="R191" s="6"/>
      <c r="V191" s="6"/>
      <c r="W191" s="6"/>
      <c r="X191" s="6"/>
      <c r="Y191" s="6"/>
    </row>
    <row r="192" spans="15:25">
      <c r="O192" s="6"/>
      <c r="P192" s="6"/>
      <c r="Q192" s="6"/>
      <c r="R192" s="6"/>
      <c r="V192" s="6"/>
      <c r="W192" s="6"/>
      <c r="X192" s="6"/>
      <c r="Y192" s="6"/>
    </row>
    <row r="193" spans="15:25">
      <c r="O193" s="6"/>
      <c r="P193" s="6"/>
      <c r="Q193" s="6"/>
      <c r="R193" s="6"/>
      <c r="V193" s="6"/>
      <c r="W193" s="6"/>
      <c r="X193" s="6"/>
      <c r="Y193" s="6"/>
    </row>
    <row r="194" spans="15:25">
      <c r="O194" s="6"/>
      <c r="P194" s="6"/>
      <c r="Q194" s="6"/>
      <c r="R194" s="6"/>
      <c r="V194" s="6"/>
      <c r="W194" s="6"/>
      <c r="X194" s="6"/>
      <c r="Y194" s="6"/>
    </row>
    <row r="195" spans="15:25">
      <c r="O195" s="6"/>
      <c r="P195" s="6"/>
      <c r="Q195" s="6"/>
      <c r="R195" s="6"/>
      <c r="V195" s="6"/>
      <c r="W195" s="6"/>
      <c r="X195" s="6"/>
      <c r="Y195" s="6"/>
    </row>
    <row r="196" spans="15:25">
      <c r="O196" s="6"/>
      <c r="P196" s="6"/>
      <c r="Q196" s="6"/>
      <c r="R196" s="6"/>
      <c r="V196" s="6"/>
      <c r="W196" s="6"/>
      <c r="X196" s="6"/>
      <c r="Y196" s="6"/>
    </row>
    <row r="197" spans="15:25">
      <c r="O197" s="6"/>
      <c r="P197" s="6"/>
      <c r="Q197" s="6"/>
      <c r="R197" s="6"/>
      <c r="V197" s="6"/>
      <c r="W197" s="6"/>
      <c r="X197" s="6"/>
      <c r="Y197" s="6"/>
    </row>
    <row r="198" spans="15:25">
      <c r="O198" s="6"/>
      <c r="P198" s="6"/>
      <c r="Q198" s="6"/>
      <c r="R198" s="6"/>
      <c r="V198" s="6"/>
      <c r="W198" s="6"/>
      <c r="X198" s="6"/>
      <c r="Y198" s="6"/>
    </row>
    <row r="199" spans="15:25">
      <c r="O199" s="6"/>
      <c r="P199" s="6"/>
      <c r="Q199" s="6"/>
      <c r="R199" s="6"/>
      <c r="V199" s="6"/>
      <c r="W199" s="6"/>
      <c r="X199" s="6"/>
      <c r="Y199" s="6"/>
    </row>
    <row r="200" spans="15:25">
      <c r="O200" s="6"/>
      <c r="P200" s="6"/>
      <c r="Q200" s="6"/>
      <c r="R200" s="6"/>
      <c r="V200" s="6"/>
      <c r="W200" s="6"/>
      <c r="X200" s="6"/>
      <c r="Y200" s="6"/>
    </row>
    <row r="201" spans="15:25">
      <c r="O201" s="6"/>
      <c r="P201" s="6"/>
      <c r="Q201" s="6"/>
      <c r="R201" s="6"/>
      <c r="V201" s="6"/>
      <c r="W201" s="6"/>
      <c r="X201" s="6"/>
      <c r="Y201" s="6"/>
    </row>
    <row r="202" spans="15:25">
      <c r="O202" s="6"/>
      <c r="P202" s="6"/>
      <c r="Q202" s="6"/>
      <c r="R202" s="6"/>
      <c r="V202" s="6"/>
      <c r="W202" s="6"/>
      <c r="X202" s="6"/>
      <c r="Y202" s="6"/>
    </row>
    <row r="203" spans="15:25">
      <c r="O203" s="6"/>
      <c r="P203" s="6"/>
      <c r="Q203" s="6"/>
      <c r="R203" s="6"/>
      <c r="V203" s="6"/>
      <c r="W203" s="6"/>
      <c r="X203" s="6"/>
      <c r="Y203" s="6"/>
    </row>
    <row r="204" spans="15:25">
      <c r="O204" s="6"/>
      <c r="P204" s="6"/>
      <c r="Q204" s="6"/>
      <c r="R204" s="6"/>
      <c r="V204" s="6"/>
      <c r="W204" s="6"/>
      <c r="X204" s="6"/>
      <c r="Y204" s="6"/>
    </row>
    <row r="205" spans="15:25">
      <c r="O205" s="6"/>
      <c r="P205" s="6"/>
      <c r="Q205" s="6"/>
      <c r="R205" s="6"/>
      <c r="V205" s="6"/>
      <c r="W205" s="6"/>
      <c r="X205" s="6"/>
      <c r="Y205" s="6"/>
    </row>
    <row r="206" spans="15:25">
      <c r="O206" s="6"/>
      <c r="P206" s="6"/>
      <c r="Q206" s="6"/>
      <c r="R206" s="6"/>
      <c r="V206" s="6"/>
      <c r="W206" s="6"/>
      <c r="X206" s="6"/>
      <c r="Y206" s="6"/>
    </row>
    <row r="207" spans="15:25">
      <c r="O207" s="6"/>
      <c r="P207" s="6"/>
      <c r="Q207" s="6"/>
      <c r="R207" s="6"/>
      <c r="V207" s="6"/>
      <c r="W207" s="6"/>
      <c r="X207" s="6"/>
      <c r="Y207" s="6"/>
    </row>
    <row r="208" spans="15:25">
      <c r="O208" s="6"/>
      <c r="P208" s="6"/>
      <c r="Q208" s="6"/>
      <c r="R208" s="6"/>
      <c r="V208" s="6"/>
      <c r="W208" s="6"/>
      <c r="X208" s="6"/>
      <c r="Y208" s="6"/>
    </row>
    <row r="209" spans="15:25">
      <c r="O209" s="6"/>
      <c r="P209" s="6"/>
      <c r="Q209" s="6"/>
      <c r="R209" s="6"/>
      <c r="V209" s="6"/>
      <c r="W209" s="6"/>
      <c r="X209" s="6"/>
      <c r="Y209" s="6"/>
    </row>
    <row r="210" spans="15:25">
      <c r="O210" s="6"/>
      <c r="P210" s="6"/>
      <c r="Q210" s="6"/>
      <c r="R210" s="6"/>
      <c r="V210" s="6"/>
      <c r="W210" s="6"/>
      <c r="X210" s="6"/>
      <c r="Y210" s="6"/>
    </row>
    <row r="211" spans="15:25">
      <c r="O211" s="6"/>
      <c r="P211" s="6"/>
      <c r="Q211" s="6"/>
      <c r="R211" s="6"/>
      <c r="V211" s="6"/>
      <c r="W211" s="6"/>
      <c r="X211" s="6"/>
      <c r="Y211" s="6"/>
    </row>
    <row r="212" spans="15:25">
      <c r="O212" s="6"/>
      <c r="P212" s="6"/>
      <c r="Q212" s="6"/>
      <c r="R212" s="6"/>
      <c r="V212" s="6"/>
      <c r="W212" s="6"/>
      <c r="X212" s="6"/>
      <c r="Y212" s="6"/>
    </row>
    <row r="213" spans="15:25">
      <c r="O213" s="6"/>
      <c r="P213" s="6"/>
      <c r="Q213" s="6"/>
      <c r="R213" s="6"/>
      <c r="V213" s="6"/>
      <c r="W213" s="6"/>
      <c r="X213" s="6"/>
      <c r="Y213" s="6"/>
    </row>
    <row r="214" spans="15:25">
      <c r="O214" s="6"/>
      <c r="P214" s="6"/>
      <c r="Q214" s="6"/>
      <c r="R214" s="6"/>
      <c r="V214" s="6"/>
      <c r="W214" s="6"/>
      <c r="X214" s="6"/>
      <c r="Y214" s="6"/>
    </row>
    <row r="215" spans="15:25">
      <c r="O215" s="6"/>
      <c r="P215" s="6"/>
      <c r="Q215" s="6"/>
      <c r="R215" s="6"/>
      <c r="V215" s="6"/>
      <c r="W215" s="6"/>
      <c r="X215" s="6"/>
      <c r="Y215" s="6"/>
    </row>
    <row r="216" spans="15:25">
      <c r="O216" s="6"/>
      <c r="P216" s="6"/>
      <c r="Q216" s="6"/>
      <c r="R216" s="6"/>
      <c r="V216" s="6"/>
      <c r="W216" s="6"/>
      <c r="X216" s="6"/>
      <c r="Y216" s="6"/>
    </row>
    <row r="217" spans="15:25">
      <c r="O217" s="6"/>
      <c r="P217" s="6"/>
      <c r="Q217" s="6"/>
      <c r="R217" s="6"/>
      <c r="V217" s="6"/>
      <c r="W217" s="6"/>
      <c r="X217" s="6"/>
      <c r="Y217" s="6"/>
    </row>
    <row r="218" spans="15:25">
      <c r="O218" s="6"/>
      <c r="P218" s="6"/>
      <c r="Q218" s="6"/>
      <c r="R218" s="6"/>
      <c r="V218" s="6"/>
      <c r="W218" s="6"/>
      <c r="X218" s="6"/>
      <c r="Y218" s="6"/>
    </row>
    <row r="219" spans="15:25">
      <c r="O219" s="6"/>
      <c r="P219" s="6"/>
      <c r="Q219" s="6"/>
      <c r="R219" s="6"/>
      <c r="V219" s="6"/>
      <c r="W219" s="6"/>
      <c r="X219" s="6"/>
      <c r="Y219" s="6"/>
    </row>
  </sheetData>
  <pageMargins left="0.7" right="0.7" top="0.75" bottom="0.75" header="0.3" footer="0.3"/>
  <pageSetup paperSize="176"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2952D-33C8-4690-80EA-CE8B5CE02784}">
  <dimension ref="A1:O29"/>
  <sheetViews>
    <sheetView showGridLines="0" workbookViewId="0">
      <pane ySplit="1" topLeftCell="A2" activePane="bottomLeft" state="frozen"/>
      <selection pane="bottomLeft" activeCell="J40" sqref="J40"/>
    </sheetView>
  </sheetViews>
  <sheetFormatPr defaultColWidth="8.69921875" defaultRowHeight="12"/>
  <cols>
    <col min="1" max="1" width="21.8984375" style="6" bestFit="1" customWidth="1"/>
    <col min="2" max="2" width="12.3984375" style="6" bestFit="1" customWidth="1"/>
    <col min="3" max="3" width="13.296875" style="6" bestFit="1" customWidth="1"/>
    <col min="4" max="4" width="31.796875" style="6" bestFit="1" customWidth="1"/>
    <col min="5" max="5" width="12.59765625" style="16" bestFit="1" customWidth="1"/>
    <col min="6" max="6" width="12.796875" style="16" bestFit="1" customWidth="1"/>
    <col min="7" max="7" width="12.59765625" style="16" bestFit="1" customWidth="1"/>
    <col min="8" max="8" width="14.796875" style="28" bestFit="1" customWidth="1"/>
    <col min="9" max="9" width="16.5" style="28" bestFit="1" customWidth="1"/>
    <col min="10" max="10" width="22.796875" style="28" bestFit="1" customWidth="1"/>
    <col min="11" max="11" width="15.8984375" style="28" bestFit="1" customWidth="1"/>
    <col min="12" max="12" width="11.59765625" style="16" bestFit="1" customWidth="1"/>
    <col min="13" max="13" width="33.296875" style="6" bestFit="1" customWidth="1"/>
    <col min="14" max="14" width="14.09765625" style="6" bestFit="1" customWidth="1"/>
    <col min="15" max="15" width="19.296875" style="6" bestFit="1" customWidth="1"/>
    <col min="16" max="16" width="14" style="6" bestFit="1" customWidth="1"/>
    <col min="17" max="18" width="14.3984375" style="6" bestFit="1" customWidth="1"/>
    <col min="19" max="16384" width="8.69921875" style="6"/>
  </cols>
  <sheetData>
    <row r="1" spans="1:15">
      <c r="A1" s="18" t="s">
        <v>0</v>
      </c>
      <c r="B1" s="27" t="s">
        <v>1</v>
      </c>
      <c r="C1" s="27" t="s">
        <v>3</v>
      </c>
      <c r="D1" s="27" t="s">
        <v>160</v>
      </c>
      <c r="E1" s="26" t="s">
        <v>5</v>
      </c>
      <c r="F1" s="26" t="s">
        <v>6</v>
      </c>
      <c r="G1" s="26" t="s">
        <v>7</v>
      </c>
      <c r="H1" s="230" t="s">
        <v>17</v>
      </c>
      <c r="I1" s="230" t="s">
        <v>18</v>
      </c>
      <c r="J1" s="230" t="s">
        <v>19</v>
      </c>
      <c r="K1" s="230" t="s">
        <v>13</v>
      </c>
      <c r="L1" s="26" t="s">
        <v>9</v>
      </c>
      <c r="M1" s="27" t="s">
        <v>10</v>
      </c>
      <c r="N1" s="109" t="s">
        <v>2347</v>
      </c>
      <c r="O1" s="109" t="s">
        <v>2348</v>
      </c>
    </row>
    <row r="2" spans="1:15">
      <c r="A2" s="224" t="s">
        <v>14</v>
      </c>
      <c r="B2" s="213" t="s">
        <v>3659</v>
      </c>
      <c r="C2" s="213" t="s">
        <v>4012</v>
      </c>
      <c r="D2" s="213" t="s">
        <v>162</v>
      </c>
      <c r="E2" s="101">
        <v>46229</v>
      </c>
      <c r="F2" s="223">
        <v>0.35347222222222224</v>
      </c>
      <c r="G2" s="102">
        <v>1</v>
      </c>
      <c r="H2" s="215">
        <v>1</v>
      </c>
      <c r="I2" s="215">
        <v>7</v>
      </c>
      <c r="J2" s="215">
        <v>1</v>
      </c>
      <c r="K2" s="215">
        <v>273.89999999999998</v>
      </c>
      <c r="L2" s="102" t="s">
        <v>3832</v>
      </c>
      <c r="M2" s="213" t="s">
        <v>3656</v>
      </c>
      <c r="N2" s="213"/>
      <c r="O2" s="213"/>
    </row>
    <row r="3" spans="1:15">
      <c r="A3" s="224" t="s">
        <v>14</v>
      </c>
      <c r="B3" s="213" t="s">
        <v>3659</v>
      </c>
      <c r="C3" s="213" t="s">
        <v>4014</v>
      </c>
      <c r="D3" s="213" t="s">
        <v>161</v>
      </c>
      <c r="E3" s="101">
        <v>46229</v>
      </c>
      <c r="F3" s="223">
        <v>0.35347222222222224</v>
      </c>
      <c r="G3" s="102">
        <v>1</v>
      </c>
      <c r="H3" s="215">
        <v>7.5</v>
      </c>
      <c r="I3" s="215">
        <v>52.5</v>
      </c>
      <c r="J3" s="215">
        <v>7.5</v>
      </c>
      <c r="K3" s="215">
        <v>823.9</v>
      </c>
      <c r="L3" s="102" t="s">
        <v>3832</v>
      </c>
      <c r="M3" s="213" t="s">
        <v>3759</v>
      </c>
      <c r="N3" s="213"/>
      <c r="O3" s="213"/>
    </row>
    <row r="4" spans="1:15">
      <c r="A4" s="224" t="s">
        <v>3446</v>
      </c>
      <c r="B4" s="213" t="s">
        <v>3746</v>
      </c>
      <c r="C4" s="213" t="s">
        <v>3749</v>
      </c>
      <c r="D4" s="213" t="s">
        <v>166</v>
      </c>
      <c r="E4" s="101">
        <v>46225</v>
      </c>
      <c r="F4" s="223">
        <v>0.34652777777777777</v>
      </c>
      <c r="G4" s="102">
        <v>5</v>
      </c>
      <c r="H4" s="215">
        <v>5</v>
      </c>
      <c r="I4" s="215">
        <v>35</v>
      </c>
      <c r="J4" s="215">
        <v>25</v>
      </c>
      <c r="K4" s="215">
        <v>383.9</v>
      </c>
      <c r="L4" s="102" t="s">
        <v>3710</v>
      </c>
      <c r="M4" s="213" t="s">
        <v>3656</v>
      </c>
      <c r="N4" s="213"/>
      <c r="O4" s="213"/>
    </row>
    <row r="5" spans="1:15">
      <c r="A5" s="224" t="s">
        <v>3446</v>
      </c>
      <c r="B5" s="213" t="s">
        <v>3746</v>
      </c>
      <c r="C5" s="213" t="s">
        <v>3750</v>
      </c>
      <c r="D5" s="213" t="s">
        <v>166</v>
      </c>
      <c r="E5" s="101">
        <v>46225</v>
      </c>
      <c r="F5" s="223">
        <v>0.3298611111111111</v>
      </c>
      <c r="G5" s="102">
        <v>5</v>
      </c>
      <c r="H5" s="215">
        <v>5</v>
      </c>
      <c r="I5" s="215">
        <v>35</v>
      </c>
      <c r="J5" s="215">
        <v>25</v>
      </c>
      <c r="K5" s="215">
        <v>383.9</v>
      </c>
      <c r="L5" s="102" t="s">
        <v>3710</v>
      </c>
      <c r="M5" s="213" t="s">
        <v>3656</v>
      </c>
      <c r="N5" s="213"/>
      <c r="O5" s="213"/>
    </row>
    <row r="6" spans="1:15">
      <c r="A6" s="224" t="s">
        <v>3446</v>
      </c>
      <c r="B6" s="213" t="s">
        <v>3746</v>
      </c>
      <c r="C6" s="213" t="s">
        <v>3747</v>
      </c>
      <c r="D6" s="213" t="s">
        <v>166</v>
      </c>
      <c r="E6" s="101">
        <v>46225</v>
      </c>
      <c r="F6" s="223">
        <v>0.34652777777777777</v>
      </c>
      <c r="G6" s="102">
        <v>5</v>
      </c>
      <c r="H6" s="215">
        <v>5</v>
      </c>
      <c r="I6" s="215">
        <v>35</v>
      </c>
      <c r="J6" s="215">
        <v>25</v>
      </c>
      <c r="K6" s="215">
        <v>249</v>
      </c>
      <c r="L6" s="102" t="s">
        <v>3710</v>
      </c>
      <c r="M6" s="213" t="s">
        <v>3656</v>
      </c>
      <c r="N6" s="213"/>
      <c r="O6" s="213"/>
    </row>
    <row r="7" spans="1:15">
      <c r="A7" s="224" t="s">
        <v>3446</v>
      </c>
      <c r="B7" s="213" t="s">
        <v>3746</v>
      </c>
      <c r="C7" s="213" t="s">
        <v>3748</v>
      </c>
      <c r="D7" s="213" t="s">
        <v>166</v>
      </c>
      <c r="E7" s="101">
        <v>46225</v>
      </c>
      <c r="F7" s="223">
        <v>0.34652777777777777</v>
      </c>
      <c r="G7" s="102">
        <v>5</v>
      </c>
      <c r="H7" s="215">
        <v>5</v>
      </c>
      <c r="I7" s="215">
        <v>35</v>
      </c>
      <c r="J7" s="215">
        <v>25</v>
      </c>
      <c r="K7" s="215">
        <v>383.9</v>
      </c>
      <c r="L7" s="102" t="s">
        <v>3710</v>
      </c>
      <c r="M7" s="213" t="s">
        <v>3656</v>
      </c>
      <c r="N7" s="213"/>
      <c r="O7" s="213"/>
    </row>
    <row r="8" spans="1:15">
      <c r="A8" s="224" t="s">
        <v>3446</v>
      </c>
      <c r="B8" s="213" t="s">
        <v>3746</v>
      </c>
      <c r="C8" s="213" t="s">
        <v>3751</v>
      </c>
      <c r="D8" s="213" t="s">
        <v>3752</v>
      </c>
      <c r="E8" s="101">
        <v>46225</v>
      </c>
      <c r="F8" s="223">
        <v>0.3298611111111111</v>
      </c>
      <c r="G8" s="102">
        <v>5</v>
      </c>
      <c r="H8" s="215">
        <v>5</v>
      </c>
      <c r="I8" s="215">
        <v>35</v>
      </c>
      <c r="J8" s="215">
        <v>25</v>
      </c>
      <c r="K8" s="215">
        <v>438.9</v>
      </c>
      <c r="L8" s="102" t="s">
        <v>3710</v>
      </c>
      <c r="M8" s="213" t="s">
        <v>3656</v>
      </c>
      <c r="N8" s="213"/>
      <c r="O8" s="213"/>
    </row>
    <row r="9" spans="1:15">
      <c r="A9" s="224" t="s">
        <v>3446</v>
      </c>
      <c r="B9" s="213" t="s">
        <v>3746</v>
      </c>
      <c r="C9" s="213" t="s">
        <v>3755</v>
      </c>
      <c r="D9" s="213" t="s">
        <v>165</v>
      </c>
      <c r="E9" s="101">
        <v>46225</v>
      </c>
      <c r="F9" s="223">
        <v>0.34652777777777777</v>
      </c>
      <c r="G9" s="102">
        <v>5</v>
      </c>
      <c r="H9" s="215">
        <v>5</v>
      </c>
      <c r="I9" s="215">
        <v>35</v>
      </c>
      <c r="J9" s="215">
        <v>25</v>
      </c>
      <c r="K9" s="215">
        <v>1318.9</v>
      </c>
      <c r="L9" s="102" t="s">
        <v>3710</v>
      </c>
      <c r="M9" s="213" t="s">
        <v>3656</v>
      </c>
      <c r="N9" s="213"/>
      <c r="O9" s="213"/>
    </row>
    <row r="10" spans="1:15">
      <c r="A10" s="224" t="s">
        <v>3446</v>
      </c>
      <c r="B10" s="213" t="s">
        <v>3746</v>
      </c>
      <c r="C10" s="213" t="s">
        <v>3754</v>
      </c>
      <c r="D10" s="213" t="s">
        <v>165</v>
      </c>
      <c r="E10" s="101">
        <v>46225</v>
      </c>
      <c r="F10" s="223">
        <v>0.3298611111111111</v>
      </c>
      <c r="G10" s="102">
        <v>5</v>
      </c>
      <c r="H10" s="215">
        <v>5</v>
      </c>
      <c r="I10" s="215">
        <v>35</v>
      </c>
      <c r="J10" s="215">
        <v>25</v>
      </c>
      <c r="K10" s="215">
        <v>1318.9</v>
      </c>
      <c r="L10" s="102" t="s">
        <v>3710</v>
      </c>
      <c r="M10" s="213" t="s">
        <v>3656</v>
      </c>
      <c r="N10" s="213"/>
      <c r="O10" s="213"/>
    </row>
    <row r="11" spans="1:15">
      <c r="A11" s="224" t="s">
        <v>3446</v>
      </c>
      <c r="B11" s="213" t="s">
        <v>3746</v>
      </c>
      <c r="C11" s="213" t="s">
        <v>3753</v>
      </c>
      <c r="D11" s="213" t="s">
        <v>165</v>
      </c>
      <c r="E11" s="101">
        <v>46225</v>
      </c>
      <c r="F11" s="223">
        <v>0.34652777777777777</v>
      </c>
      <c r="G11" s="102">
        <v>5</v>
      </c>
      <c r="H11" s="215">
        <v>5</v>
      </c>
      <c r="I11" s="215">
        <v>35</v>
      </c>
      <c r="J11" s="215">
        <v>25</v>
      </c>
      <c r="K11" s="215">
        <v>1318.9</v>
      </c>
      <c r="L11" s="102" t="s">
        <v>3710</v>
      </c>
      <c r="M11" s="213" t="s">
        <v>3656</v>
      </c>
      <c r="N11" s="213"/>
      <c r="O11" s="213"/>
    </row>
    <row r="12" spans="1:15">
      <c r="A12" s="224" t="s">
        <v>3446</v>
      </c>
      <c r="B12" s="213" t="s">
        <v>3746</v>
      </c>
      <c r="C12" s="213" t="s">
        <v>3756</v>
      </c>
      <c r="D12" s="213" t="s">
        <v>165</v>
      </c>
      <c r="E12" s="101">
        <v>46225</v>
      </c>
      <c r="F12" s="223">
        <v>0.3298611111111111</v>
      </c>
      <c r="G12" s="102">
        <v>5</v>
      </c>
      <c r="H12" s="215">
        <v>5</v>
      </c>
      <c r="I12" s="215">
        <v>35</v>
      </c>
      <c r="J12" s="215">
        <v>25</v>
      </c>
      <c r="K12" s="215">
        <v>1318.9</v>
      </c>
      <c r="L12" s="102" t="s">
        <v>3710</v>
      </c>
      <c r="M12" s="213" t="s">
        <v>3656</v>
      </c>
      <c r="N12" s="213"/>
      <c r="O12" s="213"/>
    </row>
    <row r="13" spans="1:15">
      <c r="A13" s="224" t="s">
        <v>3446</v>
      </c>
      <c r="B13" s="213" t="s">
        <v>3116</v>
      </c>
      <c r="C13" s="213" t="s">
        <v>3228</v>
      </c>
      <c r="D13" s="213" t="s">
        <v>623</v>
      </c>
      <c r="E13" s="101">
        <v>46225</v>
      </c>
      <c r="F13" s="223">
        <v>0.28472222222222221</v>
      </c>
      <c r="G13" s="102">
        <v>5</v>
      </c>
      <c r="H13" s="215">
        <v>46.67</v>
      </c>
      <c r="I13" s="215">
        <v>326.69</v>
      </c>
      <c r="J13" s="215">
        <v>233.35</v>
      </c>
      <c r="K13" s="215">
        <v>6181.85</v>
      </c>
      <c r="L13" s="102" t="s">
        <v>3710</v>
      </c>
      <c r="M13" s="213" t="s">
        <v>3759</v>
      </c>
      <c r="N13" s="213"/>
      <c r="O13" s="213"/>
    </row>
    <row r="14" spans="1:15">
      <c r="A14" s="224" t="s">
        <v>3446</v>
      </c>
      <c r="B14" s="213" t="s">
        <v>3746</v>
      </c>
      <c r="C14" s="213" t="s">
        <v>3764</v>
      </c>
      <c r="D14" s="213" t="s">
        <v>161</v>
      </c>
      <c r="E14" s="101">
        <v>46225</v>
      </c>
      <c r="F14" s="223">
        <v>0.35069444444444442</v>
      </c>
      <c r="G14" s="102">
        <v>5</v>
      </c>
      <c r="H14" s="215">
        <v>5.5</v>
      </c>
      <c r="I14" s="215">
        <v>38.5</v>
      </c>
      <c r="J14" s="215">
        <v>27.5</v>
      </c>
      <c r="K14" s="215">
        <v>603.9</v>
      </c>
      <c r="L14" s="102" t="s">
        <v>3710</v>
      </c>
      <c r="M14" s="213" t="s">
        <v>3759</v>
      </c>
      <c r="N14" s="213"/>
      <c r="O14" s="213"/>
    </row>
    <row r="15" spans="1:15">
      <c r="A15" s="224" t="s">
        <v>3446</v>
      </c>
      <c r="B15" s="213" t="s">
        <v>3746</v>
      </c>
      <c r="C15" s="213" t="s">
        <v>3763</v>
      </c>
      <c r="D15" s="213" t="s">
        <v>161</v>
      </c>
      <c r="E15" s="101">
        <v>46225</v>
      </c>
      <c r="F15" s="223">
        <v>0.3298611111111111</v>
      </c>
      <c r="G15" s="102">
        <v>5</v>
      </c>
      <c r="H15" s="215">
        <v>7.5</v>
      </c>
      <c r="I15" s="215">
        <v>52.5</v>
      </c>
      <c r="J15" s="215">
        <v>37.5</v>
      </c>
      <c r="K15" s="215">
        <v>823.9</v>
      </c>
      <c r="L15" s="102" t="s">
        <v>3710</v>
      </c>
      <c r="M15" s="213" t="s">
        <v>3759</v>
      </c>
      <c r="N15" s="213"/>
      <c r="O15" s="213"/>
    </row>
    <row r="16" spans="1:15">
      <c r="A16" s="224" t="s">
        <v>3446</v>
      </c>
      <c r="B16" s="213" t="s">
        <v>3746</v>
      </c>
      <c r="C16" s="213" t="s">
        <v>3765</v>
      </c>
      <c r="D16" s="213" t="s">
        <v>161</v>
      </c>
      <c r="E16" s="101">
        <v>46225</v>
      </c>
      <c r="F16" s="223">
        <v>0.3298611111111111</v>
      </c>
      <c r="G16" s="102">
        <v>5</v>
      </c>
      <c r="H16" s="215">
        <v>7.5</v>
      </c>
      <c r="I16" s="215">
        <v>52.5</v>
      </c>
      <c r="J16" s="215">
        <v>37.5</v>
      </c>
      <c r="K16" s="215">
        <v>823.9</v>
      </c>
      <c r="L16" s="102" t="s">
        <v>3710</v>
      </c>
      <c r="M16" s="213" t="s">
        <v>3759</v>
      </c>
      <c r="N16" s="213"/>
      <c r="O16" s="213"/>
    </row>
    <row r="17" spans="1:15">
      <c r="A17" s="224" t="s">
        <v>3446</v>
      </c>
      <c r="B17" s="213" t="s">
        <v>3746</v>
      </c>
      <c r="C17" s="213" t="s">
        <v>3760</v>
      </c>
      <c r="D17" s="213" t="s">
        <v>161</v>
      </c>
      <c r="E17" s="101">
        <v>46225</v>
      </c>
      <c r="F17" s="223">
        <v>0.35</v>
      </c>
      <c r="G17" s="102">
        <v>5</v>
      </c>
      <c r="H17" s="215">
        <v>7.5</v>
      </c>
      <c r="I17" s="215">
        <v>52.5</v>
      </c>
      <c r="J17" s="215">
        <v>37.5</v>
      </c>
      <c r="K17" s="215">
        <v>823.9</v>
      </c>
      <c r="L17" s="102" t="s">
        <v>3710</v>
      </c>
      <c r="M17" s="213" t="s">
        <v>3759</v>
      </c>
      <c r="N17" s="213"/>
      <c r="O17" s="213"/>
    </row>
    <row r="18" spans="1:15">
      <c r="A18" s="224" t="s">
        <v>3446</v>
      </c>
      <c r="B18" s="213" t="s">
        <v>3746</v>
      </c>
      <c r="C18" s="213" t="s">
        <v>3761</v>
      </c>
      <c r="D18" s="213" t="s">
        <v>161</v>
      </c>
      <c r="E18" s="101">
        <v>46225</v>
      </c>
      <c r="F18" s="223">
        <v>0.3298611111111111</v>
      </c>
      <c r="G18" s="102">
        <v>5</v>
      </c>
      <c r="H18" s="215">
        <v>7.5</v>
      </c>
      <c r="I18" s="215">
        <v>52.5</v>
      </c>
      <c r="J18" s="215">
        <v>37.5</v>
      </c>
      <c r="K18" s="215">
        <v>823.9</v>
      </c>
      <c r="L18" s="102" t="s">
        <v>3710</v>
      </c>
      <c r="M18" s="213" t="s">
        <v>3759</v>
      </c>
      <c r="N18" s="213"/>
      <c r="O18" s="213"/>
    </row>
    <row r="19" spans="1:15">
      <c r="A19" s="224" t="s">
        <v>3446</v>
      </c>
      <c r="B19" s="213" t="s">
        <v>3746</v>
      </c>
      <c r="C19" s="213" t="s">
        <v>3762</v>
      </c>
      <c r="D19" s="213" t="s">
        <v>161</v>
      </c>
      <c r="E19" s="101">
        <v>46225</v>
      </c>
      <c r="F19" s="223">
        <v>0.35</v>
      </c>
      <c r="G19" s="102">
        <v>5</v>
      </c>
      <c r="H19" s="215">
        <v>7.5</v>
      </c>
      <c r="I19" s="215">
        <v>52.5</v>
      </c>
      <c r="J19" s="215">
        <v>37.5</v>
      </c>
      <c r="K19" s="215">
        <v>823.9</v>
      </c>
      <c r="L19" s="102" t="s">
        <v>3710</v>
      </c>
      <c r="M19" s="213" t="s">
        <v>3759</v>
      </c>
      <c r="N19" s="213"/>
      <c r="O19" s="213"/>
    </row>
    <row r="20" spans="1:15">
      <c r="A20" s="224" t="s">
        <v>3446</v>
      </c>
      <c r="B20" s="213" t="s">
        <v>3746</v>
      </c>
      <c r="C20" s="213" t="s">
        <v>3766</v>
      </c>
      <c r="D20" s="213" t="s">
        <v>161</v>
      </c>
      <c r="E20" s="101">
        <v>46225</v>
      </c>
      <c r="F20" s="223">
        <v>0.35069444444444442</v>
      </c>
      <c r="G20" s="102">
        <v>5</v>
      </c>
      <c r="H20" s="215">
        <v>7.5</v>
      </c>
      <c r="I20" s="215">
        <v>52.5</v>
      </c>
      <c r="J20" s="215">
        <v>37.5</v>
      </c>
      <c r="K20" s="215">
        <v>823.9</v>
      </c>
      <c r="L20" s="102" t="s">
        <v>3710</v>
      </c>
      <c r="M20" s="213" t="s">
        <v>3759</v>
      </c>
      <c r="N20" s="213"/>
      <c r="O20" s="213"/>
    </row>
    <row r="21" spans="1:15">
      <c r="A21" s="224" t="s">
        <v>11</v>
      </c>
      <c r="B21" s="213" t="s">
        <v>4010</v>
      </c>
      <c r="C21" s="213" t="s">
        <v>4011</v>
      </c>
      <c r="D21" s="213" t="s">
        <v>1890</v>
      </c>
      <c r="E21" s="101">
        <v>46229</v>
      </c>
      <c r="F21" s="223">
        <v>0.55902777777777779</v>
      </c>
      <c r="G21" s="102">
        <v>1</v>
      </c>
      <c r="H21" s="215">
        <v>1</v>
      </c>
      <c r="I21" s="215">
        <v>7</v>
      </c>
      <c r="J21" s="215">
        <v>1</v>
      </c>
      <c r="K21" s="215">
        <v>438.9</v>
      </c>
      <c r="L21" s="102" t="s">
        <v>3832</v>
      </c>
      <c r="M21" s="213" t="s">
        <v>3656</v>
      </c>
      <c r="N21" s="213"/>
      <c r="O21" s="213"/>
    </row>
    <row r="22" spans="1:15">
      <c r="A22" s="224" t="s">
        <v>11</v>
      </c>
      <c r="B22" s="213" t="s">
        <v>4010</v>
      </c>
      <c r="C22" s="213" t="s">
        <v>4013</v>
      </c>
      <c r="D22" s="213" t="s">
        <v>167</v>
      </c>
      <c r="E22" s="101">
        <v>46229</v>
      </c>
      <c r="F22" s="223">
        <v>0.55902777777777779</v>
      </c>
      <c r="G22" s="102">
        <v>1</v>
      </c>
      <c r="H22" s="215">
        <v>5</v>
      </c>
      <c r="I22" s="215">
        <v>35</v>
      </c>
      <c r="J22" s="215">
        <v>5</v>
      </c>
      <c r="K22" s="215">
        <v>362.73</v>
      </c>
      <c r="L22" s="102" t="s">
        <v>3832</v>
      </c>
      <c r="M22" s="213" t="s">
        <v>3656</v>
      </c>
      <c r="N22" s="213"/>
      <c r="O22" s="213"/>
    </row>
    <row r="23" spans="1:15">
      <c r="A23" s="224" t="s">
        <v>3654</v>
      </c>
      <c r="B23" s="213" t="s">
        <v>3655</v>
      </c>
      <c r="C23" s="213" t="s">
        <v>3742</v>
      </c>
      <c r="D23" s="213" t="s">
        <v>164</v>
      </c>
      <c r="E23" s="101">
        <v>46226</v>
      </c>
      <c r="F23" s="223">
        <v>0.29583333333333334</v>
      </c>
      <c r="G23" s="102">
        <v>4</v>
      </c>
      <c r="H23" s="215">
        <v>1</v>
      </c>
      <c r="I23" s="215">
        <v>7</v>
      </c>
      <c r="J23" s="215">
        <v>4</v>
      </c>
      <c r="K23" s="215">
        <v>218.9</v>
      </c>
      <c r="L23" s="102" t="s">
        <v>3710</v>
      </c>
      <c r="M23" s="213" t="s">
        <v>3656</v>
      </c>
      <c r="N23" s="213"/>
      <c r="O23" s="213"/>
    </row>
    <row r="24" spans="1:15">
      <c r="A24" s="224" t="s">
        <v>3654</v>
      </c>
      <c r="B24" s="213" t="s">
        <v>3655</v>
      </c>
      <c r="C24" s="213" t="s">
        <v>3745</v>
      </c>
      <c r="D24" s="213" t="s">
        <v>162</v>
      </c>
      <c r="E24" s="101">
        <v>46225</v>
      </c>
      <c r="F24" s="223">
        <v>0.30902777777777779</v>
      </c>
      <c r="G24" s="102">
        <v>5</v>
      </c>
      <c r="H24" s="215">
        <v>1</v>
      </c>
      <c r="I24" s="215">
        <v>7</v>
      </c>
      <c r="J24" s="215">
        <v>5</v>
      </c>
      <c r="K24" s="215">
        <v>273.89999999999998</v>
      </c>
      <c r="L24" s="102" t="s">
        <v>3710</v>
      </c>
      <c r="M24" s="213" t="s">
        <v>3656</v>
      </c>
      <c r="N24" s="213"/>
      <c r="O24" s="213"/>
    </row>
    <row r="25" spans="1:15">
      <c r="A25" s="224" t="s">
        <v>3654</v>
      </c>
      <c r="B25" s="213" t="s">
        <v>3655</v>
      </c>
      <c r="C25" s="213" t="s">
        <v>3744</v>
      </c>
      <c r="D25" s="213" t="s">
        <v>162</v>
      </c>
      <c r="E25" s="101">
        <v>46225</v>
      </c>
      <c r="F25" s="223">
        <v>0.30902777777777779</v>
      </c>
      <c r="G25" s="102">
        <v>5</v>
      </c>
      <c r="H25" s="215">
        <v>1</v>
      </c>
      <c r="I25" s="215">
        <v>7</v>
      </c>
      <c r="J25" s="215">
        <v>5</v>
      </c>
      <c r="K25" s="215">
        <v>273.89999999999998</v>
      </c>
      <c r="L25" s="102" t="s">
        <v>3710</v>
      </c>
      <c r="M25" s="213" t="s">
        <v>3656</v>
      </c>
      <c r="N25" s="213"/>
      <c r="O25" s="213"/>
    </row>
    <row r="26" spans="1:15">
      <c r="A26" s="400" t="s">
        <v>3654</v>
      </c>
      <c r="B26" s="401" t="s">
        <v>3655</v>
      </c>
      <c r="C26" s="401" t="s">
        <v>3743</v>
      </c>
      <c r="D26" s="401" t="s">
        <v>162</v>
      </c>
      <c r="E26" s="402">
        <v>46225</v>
      </c>
      <c r="F26" s="403">
        <v>0.30902777777777779</v>
      </c>
      <c r="G26" s="404">
        <v>5</v>
      </c>
      <c r="H26" s="405">
        <v>1</v>
      </c>
      <c r="I26" s="405">
        <v>7</v>
      </c>
      <c r="J26" s="405">
        <v>5</v>
      </c>
      <c r="K26" s="405">
        <v>273.89999999999998</v>
      </c>
      <c r="L26" s="404" t="s">
        <v>3710</v>
      </c>
      <c r="M26" s="401" t="s">
        <v>3656</v>
      </c>
      <c r="N26" s="401"/>
      <c r="O26" s="401"/>
    </row>
    <row r="27" spans="1:15">
      <c r="A27" s="400" t="s">
        <v>3654</v>
      </c>
      <c r="B27" s="401" t="s">
        <v>3655</v>
      </c>
      <c r="C27" s="401" t="s">
        <v>3757</v>
      </c>
      <c r="D27" s="401" t="s">
        <v>165</v>
      </c>
      <c r="E27" s="402">
        <v>46225</v>
      </c>
      <c r="F27" s="403">
        <v>0.30902777777777779</v>
      </c>
      <c r="G27" s="404">
        <v>5</v>
      </c>
      <c r="H27" s="405">
        <v>5</v>
      </c>
      <c r="I27" s="405">
        <v>35</v>
      </c>
      <c r="J27" s="405">
        <v>25</v>
      </c>
      <c r="K27" s="405">
        <v>1318.9</v>
      </c>
      <c r="L27" s="404" t="s">
        <v>3710</v>
      </c>
      <c r="M27" s="401" t="s">
        <v>3656</v>
      </c>
      <c r="N27" s="401"/>
      <c r="O27" s="401"/>
    </row>
    <row r="28" spans="1:15">
      <c r="A28" s="400" t="s">
        <v>3654</v>
      </c>
      <c r="B28" s="401" t="s">
        <v>3655</v>
      </c>
      <c r="C28" s="401" t="s">
        <v>3758</v>
      </c>
      <c r="D28" s="401" t="s">
        <v>165</v>
      </c>
      <c r="E28" s="402">
        <v>46225</v>
      </c>
      <c r="F28" s="403">
        <v>0.31736111111111109</v>
      </c>
      <c r="G28" s="404">
        <v>5</v>
      </c>
      <c r="H28" s="405">
        <v>5</v>
      </c>
      <c r="I28" s="405">
        <v>35</v>
      </c>
      <c r="J28" s="405">
        <v>25</v>
      </c>
      <c r="K28" s="405">
        <v>1318.9</v>
      </c>
      <c r="L28" s="404" t="s">
        <v>3710</v>
      </c>
      <c r="M28" s="401" t="s">
        <v>3656</v>
      </c>
      <c r="N28" s="401"/>
      <c r="O28" s="401"/>
    </row>
    <row r="29" spans="1:15">
      <c r="A29" s="400" t="s">
        <v>3654</v>
      </c>
      <c r="B29" s="401" t="s">
        <v>3655</v>
      </c>
      <c r="C29" s="401" t="s">
        <v>3767</v>
      </c>
      <c r="D29" s="401" t="s">
        <v>161</v>
      </c>
      <c r="E29" s="402">
        <v>46226</v>
      </c>
      <c r="F29" s="403">
        <v>0.29583333333333334</v>
      </c>
      <c r="G29" s="404">
        <v>4</v>
      </c>
      <c r="H29" s="405">
        <v>5.5</v>
      </c>
      <c r="I29" s="405">
        <v>38.5</v>
      </c>
      <c r="J29" s="405">
        <v>22</v>
      </c>
      <c r="K29" s="405">
        <v>603.9</v>
      </c>
      <c r="L29" s="404" t="s">
        <v>3710</v>
      </c>
      <c r="M29" s="401" t="s">
        <v>3759</v>
      </c>
      <c r="N29" s="401"/>
      <c r="O29" s="401"/>
    </row>
  </sheetData>
  <phoneticPr fontId="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4DA0C-22C1-48AF-A629-7037B0EE157D}">
  <dimension ref="A1:L78"/>
  <sheetViews>
    <sheetView showGridLines="0" workbookViewId="0">
      <selection activeCell="H28" sqref="H28"/>
    </sheetView>
  </sheetViews>
  <sheetFormatPr defaultColWidth="8.69921875" defaultRowHeight="12"/>
  <cols>
    <col min="1" max="1" width="21.8984375" style="16" bestFit="1" customWidth="1"/>
    <col min="2" max="2" width="12.3984375" style="16" bestFit="1" customWidth="1"/>
    <col min="3" max="3" width="13.296875" style="16" bestFit="1" customWidth="1"/>
    <col min="4" max="4" width="26" style="16" bestFit="1" customWidth="1"/>
    <col min="5" max="5" width="12.59765625" style="6" bestFit="1" customWidth="1"/>
    <col min="6" max="6" width="12.796875" style="6" bestFit="1" customWidth="1"/>
    <col min="7" max="7" width="12.59765625" style="6" bestFit="1" customWidth="1"/>
    <col min="8" max="8" width="11.59765625" style="6" bestFit="1" customWidth="1"/>
    <col min="9" max="9" width="33.296875" style="6" bestFit="1" customWidth="1"/>
    <col min="10" max="10" width="14" style="16" bestFit="1" customWidth="1"/>
    <col min="11" max="12" width="14.3984375" style="16" bestFit="1" customWidth="1"/>
    <col min="13" max="13" width="23.59765625" style="6" bestFit="1" customWidth="1"/>
    <col min="14" max="14" width="52.3984375" style="6" bestFit="1" customWidth="1"/>
    <col min="15" max="15" width="37.69921875" style="6" bestFit="1" customWidth="1"/>
    <col min="16" max="16" width="15.5" style="6" bestFit="1" customWidth="1"/>
    <col min="17" max="17" width="16.8984375" style="6" bestFit="1" customWidth="1"/>
    <col min="18" max="18" width="16.19921875" style="6" bestFit="1" customWidth="1"/>
    <col min="19" max="19" width="14.3984375" style="6" bestFit="1" customWidth="1"/>
    <col min="20" max="20" width="28.19921875" style="6" bestFit="1" customWidth="1"/>
    <col min="21" max="21" width="22.3984375" style="6" bestFit="1" customWidth="1"/>
    <col min="22" max="22" width="9.59765625" style="6" bestFit="1" customWidth="1"/>
    <col min="23" max="23" width="16.8984375" style="6" bestFit="1" customWidth="1"/>
    <col min="24" max="24" width="16.19921875" style="6" bestFit="1" customWidth="1"/>
    <col min="25" max="25" width="36.09765625" style="6" bestFit="1" customWidth="1"/>
    <col min="26" max="26" width="38.8984375" style="6" bestFit="1" customWidth="1"/>
    <col min="27" max="27" width="31.3984375" style="6" bestFit="1" customWidth="1"/>
    <col min="28" max="16384" width="8.69921875" style="6"/>
  </cols>
  <sheetData>
    <row r="1" spans="1:12">
      <c r="A1" s="5" t="s">
        <v>0</v>
      </c>
      <c r="B1" s="5" t="s">
        <v>1</v>
      </c>
      <c r="C1" s="5" t="s">
        <v>3</v>
      </c>
      <c r="D1" s="5" t="s">
        <v>160</v>
      </c>
      <c r="E1" s="4" t="s">
        <v>5</v>
      </c>
      <c r="F1" s="4" t="s">
        <v>6</v>
      </c>
      <c r="G1" s="20" t="s">
        <v>7</v>
      </c>
      <c r="H1" s="4" t="s">
        <v>9</v>
      </c>
      <c r="I1" s="5" t="s">
        <v>10</v>
      </c>
      <c r="J1" s="6"/>
      <c r="K1" s="6"/>
      <c r="L1" s="6"/>
    </row>
    <row r="2" spans="1:12">
      <c r="A2" s="213" t="s">
        <v>3654</v>
      </c>
      <c r="B2" s="213" t="s">
        <v>3655</v>
      </c>
      <c r="C2" s="213" t="s">
        <v>3745</v>
      </c>
      <c r="D2" s="213" t="s">
        <v>162</v>
      </c>
      <c r="E2" s="101">
        <v>46225</v>
      </c>
      <c r="F2" s="223">
        <v>0.30902777777777779</v>
      </c>
      <c r="G2" s="389">
        <v>5</v>
      </c>
      <c r="H2" s="102" t="s">
        <v>3710</v>
      </c>
      <c r="I2" s="213" t="s">
        <v>3656</v>
      </c>
      <c r="J2" s="6"/>
      <c r="K2" s="6"/>
      <c r="L2" s="6"/>
    </row>
    <row r="3" spans="1:12">
      <c r="A3" s="10" t="s">
        <v>3654</v>
      </c>
      <c r="B3" s="10" t="s">
        <v>3655</v>
      </c>
      <c r="C3" s="10" t="s">
        <v>3744</v>
      </c>
      <c r="D3" s="10" t="s">
        <v>162</v>
      </c>
      <c r="E3" s="8">
        <v>46225</v>
      </c>
      <c r="F3" s="21">
        <v>0.30902777777777779</v>
      </c>
      <c r="G3" s="22">
        <v>5</v>
      </c>
      <c r="H3" s="9" t="s">
        <v>3710</v>
      </c>
      <c r="I3" s="10" t="s">
        <v>3656</v>
      </c>
      <c r="J3" s="6"/>
      <c r="K3" s="6"/>
      <c r="L3" s="6"/>
    </row>
    <row r="4" spans="1:12">
      <c r="A4" s="10" t="s">
        <v>3654</v>
      </c>
      <c r="B4" s="10" t="s">
        <v>3655</v>
      </c>
      <c r="C4" s="10" t="s">
        <v>3743</v>
      </c>
      <c r="D4" s="10" t="s">
        <v>162</v>
      </c>
      <c r="E4" s="8">
        <v>46225</v>
      </c>
      <c r="F4" s="21">
        <v>0.30902777777777779</v>
      </c>
      <c r="G4" s="22">
        <v>5</v>
      </c>
      <c r="H4" s="9" t="s">
        <v>3710</v>
      </c>
      <c r="I4" s="10" t="s">
        <v>3656</v>
      </c>
      <c r="J4" s="6"/>
      <c r="K4" s="6"/>
      <c r="L4" s="6"/>
    </row>
    <row r="5" spans="1:12">
      <c r="A5" s="10" t="s">
        <v>3446</v>
      </c>
      <c r="B5" s="10" t="s">
        <v>3746</v>
      </c>
      <c r="C5" s="10" t="s">
        <v>3748</v>
      </c>
      <c r="D5" s="10" t="s">
        <v>166</v>
      </c>
      <c r="E5" s="8">
        <v>46225</v>
      </c>
      <c r="F5" s="21">
        <v>0.34652777777777777</v>
      </c>
      <c r="G5" s="22">
        <v>5</v>
      </c>
      <c r="H5" s="9" t="s">
        <v>3710</v>
      </c>
      <c r="I5" s="10" t="s">
        <v>3656</v>
      </c>
      <c r="J5" s="6"/>
      <c r="K5" s="6"/>
      <c r="L5" s="6"/>
    </row>
    <row r="6" spans="1:12">
      <c r="A6" s="10" t="s">
        <v>3446</v>
      </c>
      <c r="B6" s="10" t="s">
        <v>3746</v>
      </c>
      <c r="C6" s="10" t="s">
        <v>3749</v>
      </c>
      <c r="D6" s="10" t="s">
        <v>166</v>
      </c>
      <c r="E6" s="8">
        <v>46225</v>
      </c>
      <c r="F6" s="21">
        <v>0.34652777777777777</v>
      </c>
      <c r="G6" s="22">
        <v>5</v>
      </c>
      <c r="H6" s="9" t="s">
        <v>3710</v>
      </c>
      <c r="I6" s="10" t="s">
        <v>3656</v>
      </c>
      <c r="J6" s="6"/>
      <c r="K6" s="6"/>
      <c r="L6" s="6"/>
    </row>
    <row r="7" spans="1:12">
      <c r="A7" s="10" t="s">
        <v>3446</v>
      </c>
      <c r="B7" s="10" t="s">
        <v>3746</v>
      </c>
      <c r="C7" s="10" t="s">
        <v>3750</v>
      </c>
      <c r="D7" s="10" t="s">
        <v>166</v>
      </c>
      <c r="E7" s="8">
        <v>46225</v>
      </c>
      <c r="F7" s="21">
        <v>0.3298611111111111</v>
      </c>
      <c r="G7" s="22">
        <v>5</v>
      </c>
      <c r="H7" s="9" t="s">
        <v>3710</v>
      </c>
      <c r="I7" s="10" t="s">
        <v>3656</v>
      </c>
      <c r="J7" s="6"/>
      <c r="K7" s="6"/>
      <c r="L7" s="6"/>
    </row>
    <row r="8" spans="1:12">
      <c r="A8" s="10" t="s">
        <v>3446</v>
      </c>
      <c r="B8" s="10" t="s">
        <v>3746</v>
      </c>
      <c r="C8" s="10" t="s">
        <v>3747</v>
      </c>
      <c r="D8" s="10" t="s">
        <v>166</v>
      </c>
      <c r="E8" s="8">
        <v>46225</v>
      </c>
      <c r="F8" s="21">
        <v>0.34652777777777777</v>
      </c>
      <c r="G8" s="22">
        <v>5</v>
      </c>
      <c r="H8" s="9" t="s">
        <v>3710</v>
      </c>
      <c r="I8" s="10" t="s">
        <v>3656</v>
      </c>
      <c r="J8" s="6"/>
      <c r="K8" s="6"/>
      <c r="L8" s="6"/>
    </row>
    <row r="9" spans="1:12">
      <c r="A9" s="10" t="s">
        <v>3446</v>
      </c>
      <c r="B9" s="10" t="s">
        <v>3746</v>
      </c>
      <c r="C9" s="10" t="s">
        <v>3751</v>
      </c>
      <c r="D9" s="10" t="s">
        <v>3752</v>
      </c>
      <c r="E9" s="8">
        <v>46225</v>
      </c>
      <c r="F9" s="21">
        <v>0.3298611111111111</v>
      </c>
      <c r="G9" s="22">
        <v>5</v>
      </c>
      <c r="H9" s="9" t="s">
        <v>3710</v>
      </c>
      <c r="I9" s="10" t="s">
        <v>3656</v>
      </c>
      <c r="J9" s="6"/>
      <c r="K9" s="6"/>
      <c r="L9" s="6"/>
    </row>
    <row r="10" spans="1:12">
      <c r="A10" s="10" t="s">
        <v>3446</v>
      </c>
      <c r="B10" s="10" t="s">
        <v>3746</v>
      </c>
      <c r="C10" s="10" t="s">
        <v>3755</v>
      </c>
      <c r="D10" s="10" t="s">
        <v>165</v>
      </c>
      <c r="E10" s="8">
        <v>46225</v>
      </c>
      <c r="F10" s="21">
        <v>0.34652777777777777</v>
      </c>
      <c r="G10" s="22">
        <v>5</v>
      </c>
      <c r="H10" s="9" t="s">
        <v>3710</v>
      </c>
      <c r="I10" s="10" t="s">
        <v>3656</v>
      </c>
      <c r="J10" s="6"/>
      <c r="K10" s="6"/>
      <c r="L10" s="6"/>
    </row>
    <row r="11" spans="1:12">
      <c r="A11" s="10" t="s">
        <v>3446</v>
      </c>
      <c r="B11" s="10" t="s">
        <v>3746</v>
      </c>
      <c r="C11" s="10" t="s">
        <v>3754</v>
      </c>
      <c r="D11" s="10" t="s">
        <v>165</v>
      </c>
      <c r="E11" s="8">
        <v>46225</v>
      </c>
      <c r="F11" s="21">
        <v>0.3298611111111111</v>
      </c>
      <c r="G11" s="22">
        <v>5</v>
      </c>
      <c r="H11" s="9" t="s">
        <v>3710</v>
      </c>
      <c r="I11" s="10" t="s">
        <v>3656</v>
      </c>
      <c r="J11" s="6"/>
      <c r="K11" s="6"/>
      <c r="L11" s="6"/>
    </row>
    <row r="12" spans="1:12">
      <c r="A12" s="10" t="s">
        <v>3446</v>
      </c>
      <c r="B12" s="10" t="s">
        <v>3746</v>
      </c>
      <c r="C12" s="10" t="s">
        <v>3756</v>
      </c>
      <c r="D12" s="10" t="s">
        <v>165</v>
      </c>
      <c r="E12" s="8">
        <v>46225</v>
      </c>
      <c r="F12" s="21">
        <v>0.3298611111111111</v>
      </c>
      <c r="G12" s="22">
        <v>5</v>
      </c>
      <c r="H12" s="9" t="s">
        <v>3710</v>
      </c>
      <c r="I12" s="10" t="s">
        <v>3656</v>
      </c>
      <c r="J12" s="6"/>
      <c r="K12" s="6"/>
      <c r="L12" s="6"/>
    </row>
    <row r="13" spans="1:12">
      <c r="A13" s="10" t="s">
        <v>3446</v>
      </c>
      <c r="B13" s="10" t="s">
        <v>3746</v>
      </c>
      <c r="C13" s="10" t="s">
        <v>3753</v>
      </c>
      <c r="D13" s="10" t="s">
        <v>165</v>
      </c>
      <c r="E13" s="8">
        <v>46225</v>
      </c>
      <c r="F13" s="21">
        <v>0.34652777777777777</v>
      </c>
      <c r="G13" s="22">
        <v>5</v>
      </c>
      <c r="H13" s="9" t="s">
        <v>3710</v>
      </c>
      <c r="I13" s="10" t="s">
        <v>3656</v>
      </c>
      <c r="J13" s="6"/>
      <c r="K13" s="6"/>
      <c r="L13" s="6"/>
    </row>
    <row r="14" spans="1:12">
      <c r="A14" s="10" t="s">
        <v>3654</v>
      </c>
      <c r="B14" s="10" t="s">
        <v>3655</v>
      </c>
      <c r="C14" s="10" t="s">
        <v>3757</v>
      </c>
      <c r="D14" s="10" t="s">
        <v>165</v>
      </c>
      <c r="E14" s="8">
        <v>46225</v>
      </c>
      <c r="F14" s="21">
        <v>0.30902777777777779</v>
      </c>
      <c r="G14" s="22">
        <v>5</v>
      </c>
      <c r="H14" s="9" t="s">
        <v>3710</v>
      </c>
      <c r="I14" s="10" t="s">
        <v>3656</v>
      </c>
      <c r="J14" s="6"/>
      <c r="K14" s="6"/>
      <c r="L14" s="6"/>
    </row>
    <row r="15" spans="1:12">
      <c r="A15" s="10" t="s">
        <v>3654</v>
      </c>
      <c r="B15" s="10" t="s">
        <v>3655</v>
      </c>
      <c r="C15" s="10" t="s">
        <v>3758</v>
      </c>
      <c r="D15" s="10" t="s">
        <v>165</v>
      </c>
      <c r="E15" s="8">
        <v>46225</v>
      </c>
      <c r="F15" s="21">
        <v>0.31736111111111109</v>
      </c>
      <c r="G15" s="22">
        <v>5</v>
      </c>
      <c r="H15" s="9" t="s">
        <v>3710</v>
      </c>
      <c r="I15" s="10" t="s">
        <v>3656</v>
      </c>
      <c r="J15" s="6"/>
      <c r="K15" s="6"/>
      <c r="L15" s="6"/>
    </row>
    <row r="16" spans="1:12">
      <c r="A16" s="10" t="s">
        <v>3446</v>
      </c>
      <c r="B16" s="10" t="s">
        <v>3746</v>
      </c>
      <c r="C16" s="10" t="s">
        <v>3760</v>
      </c>
      <c r="D16" s="10" t="s">
        <v>161</v>
      </c>
      <c r="E16" s="8">
        <v>46225</v>
      </c>
      <c r="F16" s="21">
        <v>0.35</v>
      </c>
      <c r="G16" s="22">
        <v>5</v>
      </c>
      <c r="H16" s="9" t="s">
        <v>3710</v>
      </c>
      <c r="I16" s="10" t="s">
        <v>3759</v>
      </c>
      <c r="J16" s="6"/>
      <c r="K16" s="6"/>
      <c r="L16" s="6"/>
    </row>
    <row r="17" spans="1:12">
      <c r="A17" s="10" t="s">
        <v>3446</v>
      </c>
      <c r="B17" s="10" t="s">
        <v>3746</v>
      </c>
      <c r="C17" s="10" t="s">
        <v>3765</v>
      </c>
      <c r="D17" s="10" t="s">
        <v>161</v>
      </c>
      <c r="E17" s="8">
        <v>46225</v>
      </c>
      <c r="F17" s="21">
        <v>0.3298611111111111</v>
      </c>
      <c r="G17" s="22">
        <v>5</v>
      </c>
      <c r="H17" s="9" t="s">
        <v>3710</v>
      </c>
      <c r="I17" s="10" t="s">
        <v>3759</v>
      </c>
      <c r="J17" s="6"/>
      <c r="K17" s="6"/>
      <c r="L17" s="6"/>
    </row>
    <row r="18" spans="1:12">
      <c r="A18" s="10" t="s">
        <v>3446</v>
      </c>
      <c r="B18" s="10" t="s">
        <v>3746</v>
      </c>
      <c r="C18" s="10" t="s">
        <v>3763</v>
      </c>
      <c r="D18" s="10" t="s">
        <v>161</v>
      </c>
      <c r="E18" s="8">
        <v>46225</v>
      </c>
      <c r="F18" s="21">
        <v>0.3298611111111111</v>
      </c>
      <c r="G18" s="22">
        <v>5</v>
      </c>
      <c r="H18" s="9" t="s">
        <v>3710</v>
      </c>
      <c r="I18" s="10" t="s">
        <v>3759</v>
      </c>
      <c r="J18" s="6"/>
      <c r="K18" s="6"/>
      <c r="L18" s="6"/>
    </row>
    <row r="19" spans="1:12">
      <c r="A19" s="10" t="s">
        <v>3446</v>
      </c>
      <c r="B19" s="10" t="s">
        <v>3746</v>
      </c>
      <c r="C19" s="10" t="s">
        <v>3764</v>
      </c>
      <c r="D19" s="10" t="s">
        <v>161</v>
      </c>
      <c r="E19" s="8">
        <v>46225</v>
      </c>
      <c r="F19" s="21">
        <v>0.35069444444444442</v>
      </c>
      <c r="G19" s="22">
        <v>5</v>
      </c>
      <c r="H19" s="9" t="s">
        <v>3710</v>
      </c>
      <c r="I19" s="10" t="s">
        <v>3759</v>
      </c>
      <c r="J19" s="6"/>
      <c r="K19" s="6"/>
      <c r="L19" s="6"/>
    </row>
    <row r="20" spans="1:12">
      <c r="A20" s="10" t="s">
        <v>3446</v>
      </c>
      <c r="B20" s="10" t="s">
        <v>3746</v>
      </c>
      <c r="C20" s="10" t="s">
        <v>3766</v>
      </c>
      <c r="D20" s="10" t="s">
        <v>161</v>
      </c>
      <c r="E20" s="8">
        <v>46225</v>
      </c>
      <c r="F20" s="21">
        <v>0.35069444444444442</v>
      </c>
      <c r="G20" s="22">
        <v>5</v>
      </c>
      <c r="H20" s="9" t="s">
        <v>3710</v>
      </c>
      <c r="I20" s="10" t="s">
        <v>3759</v>
      </c>
      <c r="J20" s="6"/>
      <c r="K20" s="6"/>
      <c r="L20" s="6"/>
    </row>
    <row r="21" spans="1:12">
      <c r="A21" s="10" t="s">
        <v>3446</v>
      </c>
      <c r="B21" s="10" t="s">
        <v>3746</v>
      </c>
      <c r="C21" s="10" t="s">
        <v>3762</v>
      </c>
      <c r="D21" s="10" t="s">
        <v>161</v>
      </c>
      <c r="E21" s="8">
        <v>46225</v>
      </c>
      <c r="F21" s="21">
        <v>0.35</v>
      </c>
      <c r="G21" s="22">
        <v>5</v>
      </c>
      <c r="H21" s="9" t="s">
        <v>3710</v>
      </c>
      <c r="I21" s="10" t="s">
        <v>3759</v>
      </c>
      <c r="J21" s="6"/>
      <c r="K21" s="6"/>
      <c r="L21" s="6"/>
    </row>
    <row r="22" spans="1:12">
      <c r="A22" s="10" t="s">
        <v>3446</v>
      </c>
      <c r="B22" s="10" t="s">
        <v>3746</v>
      </c>
      <c r="C22" s="10" t="s">
        <v>3761</v>
      </c>
      <c r="D22" s="10" t="s">
        <v>161</v>
      </c>
      <c r="E22" s="8">
        <v>46225</v>
      </c>
      <c r="F22" s="21">
        <v>0.3298611111111111</v>
      </c>
      <c r="G22" s="22">
        <v>5</v>
      </c>
      <c r="H22" s="9" t="s">
        <v>3710</v>
      </c>
      <c r="I22" s="10" t="s">
        <v>3759</v>
      </c>
      <c r="J22" s="6"/>
      <c r="K22" s="6"/>
      <c r="L22" s="6"/>
    </row>
    <row r="23" spans="1:12">
      <c r="A23" s="10" t="s">
        <v>3654</v>
      </c>
      <c r="B23" s="10" t="s">
        <v>3655</v>
      </c>
      <c r="C23" s="10" t="s">
        <v>3742</v>
      </c>
      <c r="D23" s="10" t="s">
        <v>164</v>
      </c>
      <c r="E23" s="8">
        <v>46226</v>
      </c>
      <c r="F23" s="21">
        <v>0.29583333333333334</v>
      </c>
      <c r="G23" s="22">
        <v>4</v>
      </c>
      <c r="H23" s="9" t="s">
        <v>3710</v>
      </c>
      <c r="I23" s="10" t="s">
        <v>3656</v>
      </c>
      <c r="J23" s="6"/>
      <c r="K23" s="6"/>
      <c r="L23" s="6"/>
    </row>
    <row r="24" spans="1:12">
      <c r="A24" s="10" t="s">
        <v>3654</v>
      </c>
      <c r="B24" s="10" t="s">
        <v>3655</v>
      </c>
      <c r="C24" s="10" t="s">
        <v>3767</v>
      </c>
      <c r="D24" s="10" t="s">
        <v>161</v>
      </c>
      <c r="E24" s="8">
        <v>46226</v>
      </c>
      <c r="F24" s="21">
        <v>0.29583333333333334</v>
      </c>
      <c r="G24" s="22">
        <v>4</v>
      </c>
      <c r="H24" s="9" t="s">
        <v>3710</v>
      </c>
      <c r="I24" s="10" t="s">
        <v>3759</v>
      </c>
      <c r="J24" s="6"/>
      <c r="K24" s="6"/>
      <c r="L24" s="6"/>
    </row>
    <row r="25" spans="1:12">
      <c r="A25" s="10" t="s">
        <v>11</v>
      </c>
      <c r="B25" s="10" t="s">
        <v>4010</v>
      </c>
      <c r="C25" s="10" t="s">
        <v>4011</v>
      </c>
      <c r="D25" s="10" t="s">
        <v>1890</v>
      </c>
      <c r="E25" s="8">
        <v>46229</v>
      </c>
      <c r="F25" s="21">
        <v>0.55902777777777779</v>
      </c>
      <c r="G25" s="22">
        <v>1</v>
      </c>
      <c r="H25" s="9" t="s">
        <v>3832</v>
      </c>
      <c r="I25" s="10" t="s">
        <v>3656</v>
      </c>
      <c r="J25" s="6"/>
      <c r="K25" s="6"/>
      <c r="L25" s="6"/>
    </row>
    <row r="26" spans="1:12">
      <c r="A26" s="10" t="s">
        <v>14</v>
      </c>
      <c r="B26" s="10" t="s">
        <v>3659</v>
      </c>
      <c r="C26" s="10" t="s">
        <v>4012</v>
      </c>
      <c r="D26" s="10" t="s">
        <v>162</v>
      </c>
      <c r="E26" s="8">
        <v>46229</v>
      </c>
      <c r="F26" s="21">
        <v>0.35347222222222224</v>
      </c>
      <c r="G26" s="22">
        <v>1</v>
      </c>
      <c r="H26" s="9" t="s">
        <v>3832</v>
      </c>
      <c r="I26" s="10" t="s">
        <v>3656</v>
      </c>
      <c r="J26" s="6"/>
      <c r="K26" s="6"/>
      <c r="L26" s="6"/>
    </row>
    <row r="27" spans="1:12">
      <c r="A27" s="10" t="s">
        <v>11</v>
      </c>
      <c r="B27" s="10" t="s">
        <v>4010</v>
      </c>
      <c r="C27" s="10" t="s">
        <v>4013</v>
      </c>
      <c r="D27" s="10" t="s">
        <v>167</v>
      </c>
      <c r="E27" s="8">
        <v>46229</v>
      </c>
      <c r="F27" s="21">
        <v>0.55902777777777779</v>
      </c>
      <c r="G27" s="22">
        <v>1</v>
      </c>
      <c r="H27" s="9" t="s">
        <v>3832</v>
      </c>
      <c r="I27" s="10" t="s">
        <v>3656</v>
      </c>
      <c r="J27" s="6"/>
      <c r="K27" s="6"/>
      <c r="L27" s="6"/>
    </row>
    <row r="28" spans="1:12">
      <c r="A28" s="373" t="s">
        <v>14</v>
      </c>
      <c r="B28" s="373" t="s">
        <v>3659</v>
      </c>
      <c r="C28" s="373" t="s">
        <v>4014</v>
      </c>
      <c r="D28" s="373" t="s">
        <v>161</v>
      </c>
      <c r="E28" s="13">
        <v>46229</v>
      </c>
      <c r="F28" s="393">
        <v>0.35347222222222224</v>
      </c>
      <c r="G28" s="406">
        <v>1</v>
      </c>
      <c r="H28" s="14" t="s">
        <v>3832</v>
      </c>
      <c r="I28" s="373" t="s">
        <v>3759</v>
      </c>
      <c r="J28" s="6"/>
      <c r="K28" s="6"/>
      <c r="L28" s="6"/>
    </row>
    <row r="29" spans="1:12">
      <c r="J29" s="6"/>
      <c r="K29" s="6"/>
      <c r="L29" s="6"/>
    </row>
    <row r="30" spans="1:12">
      <c r="J30" s="6"/>
      <c r="K30" s="6"/>
      <c r="L30" s="6"/>
    </row>
    <row r="31" spans="1:12">
      <c r="J31" s="6"/>
      <c r="K31" s="6"/>
      <c r="L31" s="6"/>
    </row>
    <row r="32" spans="1:12">
      <c r="J32" s="6"/>
      <c r="K32" s="6"/>
      <c r="L32" s="6"/>
    </row>
    <row r="33" spans="10:12">
      <c r="J33" s="6"/>
      <c r="K33" s="6"/>
      <c r="L33" s="6"/>
    </row>
    <row r="34" spans="10:12">
      <c r="J34" s="6"/>
      <c r="K34" s="6"/>
      <c r="L34" s="6"/>
    </row>
    <row r="35" spans="10:12">
      <c r="J35" s="6"/>
      <c r="K35" s="6"/>
      <c r="L35" s="6"/>
    </row>
    <row r="36" spans="10:12">
      <c r="J36" s="6"/>
      <c r="K36" s="6"/>
      <c r="L36" s="6"/>
    </row>
    <row r="37" spans="10:12">
      <c r="J37" s="6"/>
      <c r="K37" s="6"/>
      <c r="L37" s="6"/>
    </row>
    <row r="38" spans="10:12">
      <c r="J38" s="6"/>
      <c r="K38" s="6"/>
      <c r="L38" s="6"/>
    </row>
    <row r="39" spans="10:12">
      <c r="J39" s="6"/>
      <c r="K39" s="6"/>
      <c r="L39" s="6"/>
    </row>
    <row r="40" spans="10:12">
      <c r="J40" s="6"/>
      <c r="K40" s="6"/>
      <c r="L40" s="6"/>
    </row>
    <row r="41" spans="10:12">
      <c r="J41" s="6"/>
      <c r="K41" s="6"/>
      <c r="L41" s="6"/>
    </row>
    <row r="42" spans="10:12">
      <c r="J42" s="6"/>
      <c r="K42" s="6"/>
      <c r="L42" s="6"/>
    </row>
    <row r="43" spans="10:12">
      <c r="J43" s="6"/>
      <c r="K43" s="6"/>
      <c r="L43" s="6"/>
    </row>
    <row r="44" spans="10:12">
      <c r="J44" s="6"/>
      <c r="K44" s="6"/>
      <c r="L44" s="6"/>
    </row>
    <row r="45" spans="10:12">
      <c r="J45" s="6"/>
      <c r="K45" s="6"/>
      <c r="L45" s="6"/>
    </row>
    <row r="46" spans="10:12">
      <c r="J46" s="6"/>
      <c r="K46" s="6"/>
      <c r="L46" s="6"/>
    </row>
    <row r="47" spans="10:12">
      <c r="J47" s="6"/>
      <c r="K47" s="6"/>
      <c r="L47" s="6"/>
    </row>
    <row r="48" spans="10:12">
      <c r="J48" s="6"/>
      <c r="K48" s="6"/>
      <c r="L48" s="6"/>
    </row>
    <row r="49" spans="10:12">
      <c r="J49" s="6"/>
      <c r="K49" s="6"/>
      <c r="L49" s="6"/>
    </row>
    <row r="50" spans="10:12">
      <c r="J50" s="6"/>
      <c r="K50" s="6"/>
      <c r="L50" s="6"/>
    </row>
    <row r="51" spans="10:12">
      <c r="J51" s="6"/>
      <c r="K51" s="6"/>
      <c r="L51" s="6"/>
    </row>
    <row r="52" spans="10:12">
      <c r="J52" s="6"/>
      <c r="K52" s="6"/>
      <c r="L52" s="6"/>
    </row>
    <row r="53" spans="10:12">
      <c r="J53" s="6"/>
      <c r="K53" s="6"/>
      <c r="L53" s="6"/>
    </row>
    <row r="54" spans="10:12">
      <c r="J54" s="6"/>
      <c r="K54" s="6"/>
      <c r="L54" s="6"/>
    </row>
    <row r="55" spans="10:12">
      <c r="J55" s="6"/>
      <c r="K55" s="6"/>
      <c r="L55" s="6"/>
    </row>
    <row r="56" spans="10:12">
      <c r="J56" s="6"/>
      <c r="K56" s="6"/>
      <c r="L56" s="6"/>
    </row>
    <row r="57" spans="10:12">
      <c r="J57" s="6"/>
      <c r="K57" s="6"/>
      <c r="L57" s="6"/>
    </row>
    <row r="58" spans="10:12">
      <c r="J58" s="6"/>
      <c r="K58" s="6"/>
      <c r="L58" s="6"/>
    </row>
    <row r="59" spans="10:12">
      <c r="J59" s="6"/>
      <c r="K59" s="6"/>
      <c r="L59" s="6"/>
    </row>
    <row r="60" spans="10:12">
      <c r="J60" s="6"/>
      <c r="K60" s="6"/>
      <c r="L60" s="6"/>
    </row>
    <row r="61" spans="10:12">
      <c r="J61" s="6"/>
      <c r="K61" s="6"/>
      <c r="L61" s="6"/>
    </row>
    <row r="62" spans="10:12">
      <c r="J62" s="6"/>
      <c r="K62" s="6"/>
      <c r="L62" s="6"/>
    </row>
    <row r="63" spans="10:12">
      <c r="J63" s="6"/>
      <c r="K63" s="6"/>
      <c r="L63" s="6"/>
    </row>
    <row r="64" spans="10:12">
      <c r="J64" s="6"/>
      <c r="K64" s="6"/>
      <c r="L64" s="6"/>
    </row>
    <row r="65" spans="10:12">
      <c r="J65" s="6"/>
      <c r="K65" s="6"/>
      <c r="L65" s="6"/>
    </row>
    <row r="66" spans="10:12">
      <c r="J66" s="6"/>
      <c r="K66" s="6"/>
      <c r="L66" s="6"/>
    </row>
    <row r="67" spans="10:12">
      <c r="J67" s="6"/>
      <c r="K67" s="6"/>
      <c r="L67" s="6"/>
    </row>
    <row r="68" spans="10:12">
      <c r="J68" s="6"/>
      <c r="K68" s="6"/>
      <c r="L68" s="6"/>
    </row>
    <row r="69" spans="10:12">
      <c r="J69" s="6"/>
      <c r="K69" s="6"/>
      <c r="L69" s="6"/>
    </row>
    <row r="70" spans="10:12">
      <c r="J70" s="6"/>
      <c r="K70" s="6"/>
      <c r="L70" s="6"/>
    </row>
    <row r="71" spans="10:12">
      <c r="J71" s="6"/>
      <c r="K71" s="6"/>
      <c r="L71" s="6"/>
    </row>
    <row r="72" spans="10:12">
      <c r="J72" s="6"/>
      <c r="K72" s="6"/>
      <c r="L72" s="6"/>
    </row>
    <row r="73" spans="10:12">
      <c r="J73" s="6"/>
      <c r="K73" s="6"/>
      <c r="L73" s="6"/>
    </row>
    <row r="74" spans="10:12">
      <c r="J74" s="6"/>
      <c r="K74" s="6"/>
      <c r="L74" s="6"/>
    </row>
    <row r="75" spans="10:12">
      <c r="J75" s="6"/>
      <c r="K75" s="6"/>
      <c r="L75" s="6"/>
    </row>
    <row r="76" spans="10:12">
      <c r="J76" s="6"/>
      <c r="K76" s="6"/>
      <c r="L76" s="6"/>
    </row>
    <row r="77" spans="10:12">
      <c r="J77" s="6"/>
      <c r="K77" s="6"/>
      <c r="L77" s="6"/>
    </row>
    <row r="78" spans="10:12">
      <c r="J78" s="6"/>
      <c r="K78" s="6"/>
      <c r="L78" s="6"/>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6429B-30EB-4C73-A119-0FE80D0FD5BA}">
  <dimension ref="A1:T940"/>
  <sheetViews>
    <sheetView showGridLines="0" workbookViewId="0">
      <pane ySplit="1" topLeftCell="A2" activePane="bottomLeft" state="frozen"/>
      <selection activeCell="H1" sqref="H1"/>
      <selection pane="bottomLeft" activeCell="H30" sqref="H30"/>
    </sheetView>
  </sheetViews>
  <sheetFormatPr defaultColWidth="8.69921875" defaultRowHeight="12"/>
  <cols>
    <col min="1" max="1" width="15.296875" style="16" bestFit="1" customWidth="1"/>
    <col min="2" max="2" width="14.69921875" style="16" bestFit="1" customWidth="1"/>
    <col min="3" max="3" width="18.09765625" style="16" bestFit="1" customWidth="1"/>
    <col min="4" max="4" width="15.59765625" style="16" bestFit="1" customWidth="1"/>
    <col min="5" max="5" width="46.8984375" style="17" bestFit="1" customWidth="1"/>
    <col min="6" max="6" width="14.3984375" style="16" hidden="1" customWidth="1"/>
    <col min="7" max="7" width="10.296875" style="16" bestFit="1" customWidth="1"/>
    <col min="8" max="8" width="11.8984375" style="16" bestFit="1" customWidth="1"/>
    <col min="9" max="9" width="13" style="17" bestFit="1" customWidth="1"/>
    <col min="10" max="10" width="15.3984375" style="28" bestFit="1" customWidth="1"/>
    <col min="11" max="11" width="17.59765625" style="28" bestFit="1" customWidth="1"/>
    <col min="12" max="12" width="19.69921875" style="28" bestFit="1" customWidth="1"/>
    <col min="13" max="13" width="17.796875" style="17" bestFit="1" customWidth="1"/>
    <col min="14" max="14" width="15.796875" style="17" bestFit="1" customWidth="1"/>
    <col min="15" max="15" width="17.19921875" style="17" bestFit="1" customWidth="1"/>
    <col min="16" max="16" width="13.296875" style="17" bestFit="1" customWidth="1"/>
    <col min="17" max="17" width="17.09765625" style="17" bestFit="1" customWidth="1"/>
    <col min="18" max="18" width="39" style="17" bestFit="1" customWidth="1"/>
    <col min="19" max="19" width="20.3984375" style="17" bestFit="1" customWidth="1"/>
    <col min="20" max="20" width="46.5" style="17" bestFit="1" customWidth="1"/>
    <col min="21" max="21" width="51.69921875" style="6" bestFit="1" customWidth="1"/>
    <col min="22" max="22" width="21" style="6" bestFit="1" customWidth="1"/>
    <col min="23" max="23" width="37.19921875" style="6" bestFit="1" customWidth="1"/>
    <col min="24" max="24" width="30.19921875" style="6" bestFit="1" customWidth="1"/>
    <col min="25" max="25" width="28.19921875" style="6" bestFit="1" customWidth="1"/>
    <col min="26" max="26" width="28.09765625" style="6" bestFit="1" customWidth="1"/>
    <col min="27" max="27" width="25.69921875" style="6" bestFit="1" customWidth="1"/>
    <col min="28" max="28" width="78" style="6" bestFit="1" customWidth="1"/>
    <col min="29" max="29" width="28.09765625" style="6" bestFit="1" customWidth="1"/>
    <col min="30" max="30" width="15.5" style="6" bestFit="1" customWidth="1"/>
    <col min="31" max="31" width="37.19921875" style="6" bestFit="1" customWidth="1"/>
    <col min="32" max="32" width="16.8984375" style="6" bestFit="1" customWidth="1"/>
    <col min="33" max="33" width="16.19921875" style="6" bestFit="1" customWidth="1"/>
    <col min="34" max="34" width="36.09765625" style="6" bestFit="1" customWidth="1"/>
    <col min="35" max="35" width="38.8984375" style="6" bestFit="1" customWidth="1"/>
    <col min="36" max="36" width="31.3984375" style="6" bestFit="1" customWidth="1"/>
    <col min="37" max="16384" width="8.69921875" style="6"/>
  </cols>
  <sheetData>
    <row r="1" spans="1:20">
      <c r="A1" s="110" t="s">
        <v>141</v>
      </c>
      <c r="B1" s="111" t="s">
        <v>142</v>
      </c>
      <c r="C1" s="111" t="s">
        <v>168</v>
      </c>
      <c r="D1" s="109" t="s">
        <v>128</v>
      </c>
      <c r="E1" s="109" t="s">
        <v>169</v>
      </c>
      <c r="F1" s="112" t="s">
        <v>2919</v>
      </c>
      <c r="G1" s="112" t="s">
        <v>170</v>
      </c>
      <c r="H1" s="112" t="s">
        <v>171</v>
      </c>
      <c r="I1" s="112" t="s">
        <v>172</v>
      </c>
      <c r="J1" s="113" t="s">
        <v>173</v>
      </c>
      <c r="K1" s="114" t="s">
        <v>2349</v>
      </c>
      <c r="L1" s="114" t="s">
        <v>2350</v>
      </c>
      <c r="M1" s="114" t="s">
        <v>2351</v>
      </c>
      <c r="N1" s="112" t="s">
        <v>134</v>
      </c>
      <c r="O1" s="112" t="s">
        <v>174</v>
      </c>
      <c r="P1" s="112" t="s">
        <v>135</v>
      </c>
      <c r="Q1" s="113" t="s">
        <v>175</v>
      </c>
      <c r="R1" s="109" t="s">
        <v>118</v>
      </c>
      <c r="S1" s="6"/>
      <c r="T1" s="6"/>
    </row>
    <row r="2" spans="1:20">
      <c r="A2" s="100">
        <v>46216</v>
      </c>
      <c r="B2" s="101">
        <v>46229</v>
      </c>
      <c r="C2" s="102">
        <v>14</v>
      </c>
      <c r="D2" s="213" t="s">
        <v>712</v>
      </c>
      <c r="E2" s="213" t="s">
        <v>257</v>
      </c>
      <c r="F2" s="102"/>
      <c r="G2" s="102">
        <v>15</v>
      </c>
      <c r="H2" s="102">
        <v>2</v>
      </c>
      <c r="I2" s="102">
        <v>13</v>
      </c>
      <c r="J2" s="214">
        <v>0.133333333333333</v>
      </c>
      <c r="K2" s="215">
        <v>1</v>
      </c>
      <c r="L2" s="215">
        <v>2</v>
      </c>
      <c r="M2" s="215">
        <v>28</v>
      </c>
      <c r="N2" s="102">
        <v>2</v>
      </c>
      <c r="O2" s="102">
        <v>2</v>
      </c>
      <c r="P2" s="102">
        <v>2</v>
      </c>
      <c r="Q2" s="214">
        <v>0.133333333333333</v>
      </c>
      <c r="R2" s="213" t="s">
        <v>3075</v>
      </c>
      <c r="S2" s="6"/>
      <c r="T2" s="6"/>
    </row>
    <row r="3" spans="1:20">
      <c r="A3" s="7">
        <v>46216</v>
      </c>
      <c r="B3" s="8">
        <v>46229</v>
      </c>
      <c r="C3" s="9">
        <v>14</v>
      </c>
      <c r="D3" s="10" t="s">
        <v>712</v>
      </c>
      <c r="E3" s="10" t="s">
        <v>1886</v>
      </c>
      <c r="F3" s="9"/>
      <c r="G3" s="9">
        <v>2</v>
      </c>
      <c r="H3" s="9">
        <v>0</v>
      </c>
      <c r="I3" s="9">
        <v>2</v>
      </c>
      <c r="J3" s="11">
        <v>0</v>
      </c>
      <c r="K3" s="24">
        <v>0</v>
      </c>
      <c r="L3" s="24">
        <v>0</v>
      </c>
      <c r="M3" s="24">
        <v>0</v>
      </c>
      <c r="N3" s="9">
        <v>0</v>
      </c>
      <c r="O3" s="9">
        <v>0</v>
      </c>
      <c r="P3" s="9">
        <v>0</v>
      </c>
      <c r="Q3" s="11">
        <v>0</v>
      </c>
      <c r="R3" s="10" t="s">
        <v>176</v>
      </c>
      <c r="S3" s="6"/>
      <c r="T3" s="6"/>
    </row>
    <row r="4" spans="1:20">
      <c r="A4" s="7">
        <v>46216</v>
      </c>
      <c r="B4" s="8">
        <v>46229</v>
      </c>
      <c r="C4" s="9">
        <v>14</v>
      </c>
      <c r="D4" s="10" t="s">
        <v>712</v>
      </c>
      <c r="E4" s="10" t="s">
        <v>1887</v>
      </c>
      <c r="F4" s="9"/>
      <c r="G4" s="9">
        <v>1</v>
      </c>
      <c r="H4" s="9">
        <v>0</v>
      </c>
      <c r="I4" s="9">
        <v>1</v>
      </c>
      <c r="J4" s="11">
        <v>0</v>
      </c>
      <c r="K4" s="24">
        <v>0</v>
      </c>
      <c r="L4" s="24">
        <v>0</v>
      </c>
      <c r="M4" s="24">
        <v>0</v>
      </c>
      <c r="N4" s="9">
        <v>0</v>
      </c>
      <c r="O4" s="9">
        <v>0</v>
      </c>
      <c r="P4" s="9">
        <v>0</v>
      </c>
      <c r="Q4" s="11">
        <v>0</v>
      </c>
      <c r="R4" s="10" t="s">
        <v>176</v>
      </c>
      <c r="S4" s="6"/>
      <c r="T4" s="6"/>
    </row>
    <row r="5" spans="1:20">
      <c r="A5" s="7">
        <v>46216</v>
      </c>
      <c r="B5" s="8">
        <v>46229</v>
      </c>
      <c r="C5" s="9">
        <v>14</v>
      </c>
      <c r="D5" s="10" t="s">
        <v>712</v>
      </c>
      <c r="E5" s="10" t="s">
        <v>1888</v>
      </c>
      <c r="F5" s="9"/>
      <c r="G5" s="9">
        <v>1</v>
      </c>
      <c r="H5" s="9">
        <v>0</v>
      </c>
      <c r="I5" s="9">
        <v>1</v>
      </c>
      <c r="J5" s="11">
        <v>0</v>
      </c>
      <c r="K5" s="24">
        <v>0</v>
      </c>
      <c r="L5" s="24">
        <v>0</v>
      </c>
      <c r="M5" s="24">
        <v>0</v>
      </c>
      <c r="N5" s="9">
        <v>0</v>
      </c>
      <c r="O5" s="9">
        <v>0</v>
      </c>
      <c r="P5" s="9">
        <v>0</v>
      </c>
      <c r="Q5" s="11">
        <v>0</v>
      </c>
      <c r="R5" s="10" t="s">
        <v>176</v>
      </c>
      <c r="S5" s="6"/>
      <c r="T5" s="6"/>
    </row>
    <row r="6" spans="1:20">
      <c r="A6" s="7">
        <v>46216</v>
      </c>
      <c r="B6" s="8">
        <v>46229</v>
      </c>
      <c r="C6" s="9">
        <v>14</v>
      </c>
      <c r="D6" s="10" t="s">
        <v>712</v>
      </c>
      <c r="E6" s="10" t="s">
        <v>178</v>
      </c>
      <c r="F6" s="9"/>
      <c r="G6" s="9">
        <v>14</v>
      </c>
      <c r="H6" s="9">
        <v>0</v>
      </c>
      <c r="I6" s="9">
        <v>14</v>
      </c>
      <c r="J6" s="11">
        <v>0</v>
      </c>
      <c r="K6" s="24">
        <v>0.1</v>
      </c>
      <c r="L6" s="24">
        <v>0</v>
      </c>
      <c r="M6" s="24">
        <v>0</v>
      </c>
      <c r="N6" s="9">
        <v>0</v>
      </c>
      <c r="O6" s="9">
        <v>0</v>
      </c>
      <c r="P6" s="9">
        <v>0</v>
      </c>
      <c r="Q6" s="11">
        <v>0</v>
      </c>
      <c r="R6" s="10" t="s">
        <v>176</v>
      </c>
      <c r="S6" s="6"/>
      <c r="T6" s="6"/>
    </row>
    <row r="7" spans="1:20">
      <c r="A7" s="7">
        <v>46216</v>
      </c>
      <c r="B7" s="8">
        <v>46229</v>
      </c>
      <c r="C7" s="9">
        <v>14</v>
      </c>
      <c r="D7" s="10" t="s">
        <v>712</v>
      </c>
      <c r="E7" s="10" t="s">
        <v>3694</v>
      </c>
      <c r="F7" s="9"/>
      <c r="G7" s="9">
        <v>145</v>
      </c>
      <c r="H7" s="9">
        <v>0</v>
      </c>
      <c r="I7" s="9">
        <v>145</v>
      </c>
      <c r="J7" s="11">
        <v>0</v>
      </c>
      <c r="K7" s="24">
        <v>0.1</v>
      </c>
      <c r="L7" s="24">
        <v>0</v>
      </c>
      <c r="M7" s="24">
        <v>0</v>
      </c>
      <c r="N7" s="9">
        <v>1</v>
      </c>
      <c r="O7" s="9">
        <v>1</v>
      </c>
      <c r="P7" s="9">
        <v>1</v>
      </c>
      <c r="Q7" s="11">
        <v>6.8965517241379301E-3</v>
      </c>
      <c r="R7" s="10" t="s">
        <v>3075</v>
      </c>
      <c r="S7" s="6"/>
      <c r="T7" s="6"/>
    </row>
    <row r="8" spans="1:20">
      <c r="A8" s="7">
        <v>46216</v>
      </c>
      <c r="B8" s="8">
        <v>46229</v>
      </c>
      <c r="C8" s="9">
        <v>14</v>
      </c>
      <c r="D8" s="10" t="s">
        <v>712</v>
      </c>
      <c r="E8" s="10" t="s">
        <v>180</v>
      </c>
      <c r="F8" s="9"/>
      <c r="G8" s="9">
        <v>1</v>
      </c>
      <c r="H8" s="9">
        <v>0</v>
      </c>
      <c r="I8" s="9">
        <v>1</v>
      </c>
      <c r="J8" s="11">
        <v>0</v>
      </c>
      <c r="K8" s="24">
        <v>0</v>
      </c>
      <c r="L8" s="24">
        <v>0</v>
      </c>
      <c r="M8" s="24">
        <v>0</v>
      </c>
      <c r="N8" s="9">
        <v>0</v>
      </c>
      <c r="O8" s="9">
        <v>0</v>
      </c>
      <c r="P8" s="9">
        <v>0</v>
      </c>
      <c r="Q8" s="11">
        <v>0</v>
      </c>
      <c r="R8" s="10" t="s">
        <v>176</v>
      </c>
      <c r="S8" s="6"/>
      <c r="T8" s="6"/>
    </row>
    <row r="9" spans="1:20">
      <c r="A9" s="7">
        <v>46216</v>
      </c>
      <c r="B9" s="8">
        <v>46229</v>
      </c>
      <c r="C9" s="9">
        <v>14</v>
      </c>
      <c r="D9" s="10" t="s">
        <v>712</v>
      </c>
      <c r="E9" s="10" t="s">
        <v>3695</v>
      </c>
      <c r="F9" s="9"/>
      <c r="G9" s="9">
        <v>2</v>
      </c>
      <c r="H9" s="9">
        <v>0</v>
      </c>
      <c r="I9" s="9">
        <v>2</v>
      </c>
      <c r="J9" s="11">
        <v>0</v>
      </c>
      <c r="K9" s="24">
        <v>0.1</v>
      </c>
      <c r="L9" s="24">
        <v>0</v>
      </c>
      <c r="M9" s="24">
        <v>0</v>
      </c>
      <c r="N9" s="9">
        <v>0</v>
      </c>
      <c r="O9" s="9">
        <v>0</v>
      </c>
      <c r="P9" s="9">
        <v>0</v>
      </c>
      <c r="Q9" s="11">
        <v>0</v>
      </c>
      <c r="R9" s="10" t="s">
        <v>176</v>
      </c>
      <c r="S9" s="6"/>
      <c r="T9" s="6"/>
    </row>
    <row r="10" spans="1:20">
      <c r="A10" s="7">
        <v>46216</v>
      </c>
      <c r="B10" s="8">
        <v>46229</v>
      </c>
      <c r="C10" s="9">
        <v>14</v>
      </c>
      <c r="D10" s="10" t="s">
        <v>712</v>
      </c>
      <c r="E10" s="10" t="s">
        <v>187</v>
      </c>
      <c r="F10" s="9"/>
      <c r="G10" s="9">
        <v>2</v>
      </c>
      <c r="H10" s="9">
        <v>0</v>
      </c>
      <c r="I10" s="9">
        <v>2</v>
      </c>
      <c r="J10" s="11">
        <v>0</v>
      </c>
      <c r="K10" s="24">
        <v>17.5</v>
      </c>
      <c r="L10" s="24">
        <v>0</v>
      </c>
      <c r="M10" s="24">
        <v>0</v>
      </c>
      <c r="N10" s="9">
        <v>1</v>
      </c>
      <c r="O10" s="9">
        <v>1</v>
      </c>
      <c r="P10" s="9">
        <v>1</v>
      </c>
      <c r="Q10" s="11">
        <v>0.5</v>
      </c>
      <c r="R10" s="10" t="s">
        <v>3698</v>
      </c>
      <c r="S10" s="6"/>
      <c r="T10" s="6"/>
    </row>
    <row r="11" spans="1:20">
      <c r="A11" s="7">
        <v>46216</v>
      </c>
      <c r="B11" s="8">
        <v>46229</v>
      </c>
      <c r="C11" s="9">
        <v>14</v>
      </c>
      <c r="D11" s="10" t="s">
        <v>712</v>
      </c>
      <c r="E11" s="10" t="s">
        <v>203</v>
      </c>
      <c r="F11" s="9"/>
      <c r="G11" s="9">
        <v>1</v>
      </c>
      <c r="H11" s="9">
        <v>0</v>
      </c>
      <c r="I11" s="9">
        <v>1</v>
      </c>
      <c r="J11" s="11">
        <v>0</v>
      </c>
      <c r="K11" s="24">
        <v>18</v>
      </c>
      <c r="L11" s="24">
        <v>0</v>
      </c>
      <c r="M11" s="24">
        <v>0</v>
      </c>
      <c r="N11" s="9">
        <v>0</v>
      </c>
      <c r="O11" s="9">
        <v>0</v>
      </c>
      <c r="P11" s="9">
        <v>0</v>
      </c>
      <c r="Q11" s="11">
        <v>0</v>
      </c>
      <c r="R11" s="10" t="s">
        <v>176</v>
      </c>
      <c r="S11" s="6"/>
      <c r="T11" s="6"/>
    </row>
    <row r="12" spans="1:20">
      <c r="A12" s="7">
        <v>46216</v>
      </c>
      <c r="B12" s="8">
        <v>46229</v>
      </c>
      <c r="C12" s="9">
        <v>14</v>
      </c>
      <c r="D12" s="10" t="s">
        <v>712</v>
      </c>
      <c r="E12" s="10" t="s">
        <v>204</v>
      </c>
      <c r="F12" s="9"/>
      <c r="G12" s="9">
        <v>3</v>
      </c>
      <c r="H12" s="9">
        <v>0</v>
      </c>
      <c r="I12" s="9">
        <v>3</v>
      </c>
      <c r="J12" s="11">
        <v>0</v>
      </c>
      <c r="K12" s="24">
        <v>18</v>
      </c>
      <c r="L12" s="24">
        <v>0</v>
      </c>
      <c r="M12" s="24">
        <v>0</v>
      </c>
      <c r="N12" s="9">
        <v>0</v>
      </c>
      <c r="O12" s="9">
        <v>0</v>
      </c>
      <c r="P12" s="9">
        <v>0</v>
      </c>
      <c r="Q12" s="11">
        <v>0</v>
      </c>
      <c r="R12" s="10" t="s">
        <v>176</v>
      </c>
      <c r="S12" s="6"/>
      <c r="T12" s="6"/>
    </row>
    <row r="13" spans="1:20">
      <c r="A13" s="7">
        <v>46216</v>
      </c>
      <c r="B13" s="8">
        <v>46229</v>
      </c>
      <c r="C13" s="9">
        <v>14</v>
      </c>
      <c r="D13" s="10" t="s">
        <v>712</v>
      </c>
      <c r="E13" s="10" t="s">
        <v>3912</v>
      </c>
      <c r="F13" s="9"/>
      <c r="G13" s="9">
        <v>29</v>
      </c>
      <c r="H13" s="9">
        <v>0</v>
      </c>
      <c r="I13" s="9">
        <v>29</v>
      </c>
      <c r="J13" s="11">
        <v>0</v>
      </c>
      <c r="K13" s="24">
        <v>0</v>
      </c>
      <c r="L13" s="24">
        <v>0</v>
      </c>
      <c r="M13" s="24">
        <v>0</v>
      </c>
      <c r="N13" s="9">
        <v>0</v>
      </c>
      <c r="O13" s="9">
        <v>0</v>
      </c>
      <c r="P13" s="9">
        <v>0</v>
      </c>
      <c r="Q13" s="11">
        <v>0</v>
      </c>
      <c r="R13" s="10" t="s">
        <v>176</v>
      </c>
      <c r="S13" s="6"/>
      <c r="T13" s="6"/>
    </row>
    <row r="14" spans="1:20">
      <c r="A14" s="7">
        <v>46216</v>
      </c>
      <c r="B14" s="8">
        <v>46229</v>
      </c>
      <c r="C14" s="9">
        <v>14</v>
      </c>
      <c r="D14" s="10" t="s">
        <v>712</v>
      </c>
      <c r="E14" s="10" t="s">
        <v>746</v>
      </c>
      <c r="F14" s="9"/>
      <c r="G14" s="9">
        <v>1</v>
      </c>
      <c r="H14" s="9">
        <v>0</v>
      </c>
      <c r="I14" s="9">
        <v>1</v>
      </c>
      <c r="J14" s="11">
        <v>0</v>
      </c>
      <c r="K14" s="24">
        <v>0.1</v>
      </c>
      <c r="L14" s="24">
        <v>0</v>
      </c>
      <c r="M14" s="24">
        <v>0</v>
      </c>
      <c r="N14" s="9">
        <v>0</v>
      </c>
      <c r="O14" s="9">
        <v>0</v>
      </c>
      <c r="P14" s="9">
        <v>0</v>
      </c>
      <c r="Q14" s="11">
        <v>0</v>
      </c>
      <c r="R14" s="10" t="s">
        <v>176</v>
      </c>
      <c r="S14" s="6"/>
      <c r="T14" s="6"/>
    </row>
    <row r="15" spans="1:20">
      <c r="A15" s="7">
        <v>46216</v>
      </c>
      <c r="B15" s="8">
        <v>46229</v>
      </c>
      <c r="C15" s="9">
        <v>14</v>
      </c>
      <c r="D15" s="10" t="s">
        <v>712</v>
      </c>
      <c r="E15" s="10" t="s">
        <v>258</v>
      </c>
      <c r="F15" s="9"/>
      <c r="G15" s="9">
        <v>5</v>
      </c>
      <c r="H15" s="9">
        <v>0</v>
      </c>
      <c r="I15" s="9">
        <v>5</v>
      </c>
      <c r="J15" s="11">
        <v>0</v>
      </c>
      <c r="K15" s="24">
        <v>1</v>
      </c>
      <c r="L15" s="24">
        <v>0</v>
      </c>
      <c r="M15" s="24">
        <v>0</v>
      </c>
      <c r="N15" s="9">
        <v>0</v>
      </c>
      <c r="O15" s="9">
        <v>0</v>
      </c>
      <c r="P15" s="9">
        <v>0</v>
      </c>
      <c r="Q15" s="11">
        <v>0</v>
      </c>
      <c r="R15" s="10" t="s">
        <v>176</v>
      </c>
      <c r="S15" s="6"/>
      <c r="T15" s="6"/>
    </row>
    <row r="16" spans="1:20">
      <c r="A16" s="7">
        <v>46216</v>
      </c>
      <c r="B16" s="8">
        <v>46229</v>
      </c>
      <c r="C16" s="9">
        <v>14</v>
      </c>
      <c r="D16" s="10" t="s">
        <v>712</v>
      </c>
      <c r="E16" s="10" t="s">
        <v>1981</v>
      </c>
      <c r="F16" s="9"/>
      <c r="G16" s="9">
        <v>11</v>
      </c>
      <c r="H16" s="9">
        <v>0</v>
      </c>
      <c r="I16" s="9">
        <v>11</v>
      </c>
      <c r="J16" s="11">
        <v>0</v>
      </c>
      <c r="K16" s="24">
        <v>0</v>
      </c>
      <c r="L16" s="24">
        <v>0</v>
      </c>
      <c r="M16" s="24">
        <v>0</v>
      </c>
      <c r="N16" s="9">
        <v>0</v>
      </c>
      <c r="O16" s="9">
        <v>0</v>
      </c>
      <c r="P16" s="9">
        <v>0</v>
      </c>
      <c r="Q16" s="11">
        <v>0</v>
      </c>
      <c r="R16" s="10" t="s">
        <v>176</v>
      </c>
      <c r="S16" s="6"/>
      <c r="T16" s="6"/>
    </row>
    <row r="17" spans="1:20">
      <c r="A17" s="7">
        <v>46216</v>
      </c>
      <c r="B17" s="8">
        <v>46229</v>
      </c>
      <c r="C17" s="9">
        <v>14</v>
      </c>
      <c r="D17" s="10" t="s">
        <v>712</v>
      </c>
      <c r="E17" s="10" t="s">
        <v>260</v>
      </c>
      <c r="F17" s="9"/>
      <c r="G17" s="9">
        <v>28</v>
      </c>
      <c r="H17" s="9">
        <v>0</v>
      </c>
      <c r="I17" s="9">
        <v>28</v>
      </c>
      <c r="J17" s="11">
        <v>0</v>
      </c>
      <c r="K17" s="24">
        <v>0.3</v>
      </c>
      <c r="L17" s="24">
        <v>0</v>
      </c>
      <c r="M17" s="24">
        <v>0</v>
      </c>
      <c r="N17" s="9">
        <v>0</v>
      </c>
      <c r="O17" s="9">
        <v>0</v>
      </c>
      <c r="P17" s="9">
        <v>0</v>
      </c>
      <c r="Q17" s="11">
        <v>0</v>
      </c>
      <c r="R17" s="10" t="s">
        <v>176</v>
      </c>
      <c r="S17" s="6"/>
      <c r="T17" s="6"/>
    </row>
    <row r="18" spans="1:20">
      <c r="A18" s="7">
        <v>46216</v>
      </c>
      <c r="B18" s="8">
        <v>46229</v>
      </c>
      <c r="C18" s="9">
        <v>14</v>
      </c>
      <c r="D18" s="10" t="s">
        <v>712</v>
      </c>
      <c r="E18" s="10" t="s">
        <v>729</v>
      </c>
      <c r="F18" s="9"/>
      <c r="G18" s="9">
        <v>2</v>
      </c>
      <c r="H18" s="9">
        <v>0</v>
      </c>
      <c r="I18" s="9">
        <v>2</v>
      </c>
      <c r="J18" s="11">
        <v>0</v>
      </c>
      <c r="K18" s="24">
        <v>5.5</v>
      </c>
      <c r="L18" s="24">
        <v>0</v>
      </c>
      <c r="M18" s="24">
        <v>0</v>
      </c>
      <c r="N18" s="9">
        <v>0</v>
      </c>
      <c r="O18" s="9">
        <v>0</v>
      </c>
      <c r="P18" s="9">
        <v>0</v>
      </c>
      <c r="Q18" s="11">
        <v>0</v>
      </c>
      <c r="R18" s="10" t="s">
        <v>176</v>
      </c>
      <c r="S18" s="6"/>
      <c r="T18" s="6"/>
    </row>
    <row r="19" spans="1:20">
      <c r="A19" s="7">
        <v>46216</v>
      </c>
      <c r="B19" s="8">
        <v>46229</v>
      </c>
      <c r="C19" s="9">
        <v>14</v>
      </c>
      <c r="D19" s="10" t="s">
        <v>712</v>
      </c>
      <c r="E19" s="10" t="s">
        <v>731</v>
      </c>
      <c r="F19" s="9"/>
      <c r="G19" s="9">
        <v>2</v>
      </c>
      <c r="H19" s="9">
        <v>0</v>
      </c>
      <c r="I19" s="9">
        <v>2</v>
      </c>
      <c r="J19" s="11">
        <v>0</v>
      </c>
      <c r="K19" s="24">
        <v>5.5</v>
      </c>
      <c r="L19" s="24">
        <v>0</v>
      </c>
      <c r="M19" s="24">
        <v>0</v>
      </c>
      <c r="N19" s="9">
        <v>0</v>
      </c>
      <c r="O19" s="9">
        <v>0</v>
      </c>
      <c r="P19" s="9">
        <v>0</v>
      </c>
      <c r="Q19" s="11">
        <v>0</v>
      </c>
      <c r="R19" s="10" t="s">
        <v>176</v>
      </c>
      <c r="S19" s="6"/>
      <c r="T19" s="6"/>
    </row>
    <row r="20" spans="1:20">
      <c r="A20" s="7">
        <v>46216</v>
      </c>
      <c r="B20" s="8">
        <v>46229</v>
      </c>
      <c r="C20" s="9">
        <v>14</v>
      </c>
      <c r="D20" s="10" t="s">
        <v>712</v>
      </c>
      <c r="E20" s="10" t="s">
        <v>722</v>
      </c>
      <c r="F20" s="9"/>
      <c r="G20" s="9">
        <v>5</v>
      </c>
      <c r="H20" s="9">
        <v>0</v>
      </c>
      <c r="I20" s="9">
        <v>5</v>
      </c>
      <c r="J20" s="11">
        <v>0</v>
      </c>
      <c r="K20" s="24">
        <v>5.5</v>
      </c>
      <c r="L20" s="24">
        <v>0</v>
      </c>
      <c r="M20" s="24">
        <v>0</v>
      </c>
      <c r="N20" s="9">
        <v>0</v>
      </c>
      <c r="O20" s="9">
        <v>0</v>
      </c>
      <c r="P20" s="9">
        <v>0</v>
      </c>
      <c r="Q20" s="11">
        <v>0</v>
      </c>
      <c r="R20" s="10" t="s">
        <v>176</v>
      </c>
      <c r="S20" s="6"/>
      <c r="T20" s="6"/>
    </row>
    <row r="21" spans="1:20">
      <c r="A21" s="7">
        <v>46216</v>
      </c>
      <c r="B21" s="8">
        <v>46229</v>
      </c>
      <c r="C21" s="9">
        <v>14</v>
      </c>
      <c r="D21" s="10" t="s">
        <v>712</v>
      </c>
      <c r="E21" s="10" t="s">
        <v>718</v>
      </c>
      <c r="F21" s="9"/>
      <c r="G21" s="9">
        <v>7</v>
      </c>
      <c r="H21" s="9">
        <v>0</v>
      </c>
      <c r="I21" s="9">
        <v>7</v>
      </c>
      <c r="J21" s="11">
        <v>0</v>
      </c>
      <c r="K21" s="24">
        <v>7.5</v>
      </c>
      <c r="L21" s="24">
        <v>0</v>
      </c>
      <c r="M21" s="24">
        <v>0</v>
      </c>
      <c r="N21" s="9">
        <v>0</v>
      </c>
      <c r="O21" s="9">
        <v>0</v>
      </c>
      <c r="P21" s="9">
        <v>0</v>
      </c>
      <c r="Q21" s="11">
        <v>0</v>
      </c>
      <c r="R21" s="10" t="s">
        <v>176</v>
      </c>
      <c r="S21" s="6"/>
      <c r="T21" s="6"/>
    </row>
    <row r="22" spans="1:20">
      <c r="A22" s="7">
        <v>46216</v>
      </c>
      <c r="B22" s="8">
        <v>46229</v>
      </c>
      <c r="C22" s="9">
        <v>14</v>
      </c>
      <c r="D22" s="10" t="s">
        <v>712</v>
      </c>
      <c r="E22" s="10" t="s">
        <v>734</v>
      </c>
      <c r="F22" s="9"/>
      <c r="G22" s="9">
        <v>1</v>
      </c>
      <c r="H22" s="9">
        <v>0</v>
      </c>
      <c r="I22" s="9">
        <v>1</v>
      </c>
      <c r="J22" s="11">
        <v>0</v>
      </c>
      <c r="K22" s="24">
        <v>7.5</v>
      </c>
      <c r="L22" s="24">
        <v>0</v>
      </c>
      <c r="M22" s="24">
        <v>0</v>
      </c>
      <c r="N22" s="9">
        <v>0</v>
      </c>
      <c r="O22" s="9">
        <v>0</v>
      </c>
      <c r="P22" s="9">
        <v>0</v>
      </c>
      <c r="Q22" s="11">
        <v>0</v>
      </c>
      <c r="R22" s="10" t="s">
        <v>176</v>
      </c>
      <c r="S22" s="6"/>
      <c r="T22" s="6"/>
    </row>
    <row r="23" spans="1:20">
      <c r="A23" s="7">
        <v>46216</v>
      </c>
      <c r="B23" s="8">
        <v>46229</v>
      </c>
      <c r="C23" s="9">
        <v>14</v>
      </c>
      <c r="D23" s="10" t="s">
        <v>712</v>
      </c>
      <c r="E23" s="10" t="s">
        <v>86</v>
      </c>
      <c r="F23" s="9"/>
      <c r="G23" s="9">
        <v>6</v>
      </c>
      <c r="H23" s="9">
        <v>0</v>
      </c>
      <c r="I23" s="9">
        <v>6</v>
      </c>
      <c r="J23" s="11">
        <v>0</v>
      </c>
      <c r="K23" s="24">
        <v>9</v>
      </c>
      <c r="L23" s="24">
        <v>0</v>
      </c>
      <c r="M23" s="24">
        <v>0</v>
      </c>
      <c r="N23" s="9">
        <v>0</v>
      </c>
      <c r="O23" s="9">
        <v>0</v>
      </c>
      <c r="P23" s="9">
        <v>0</v>
      </c>
      <c r="Q23" s="11">
        <v>0</v>
      </c>
      <c r="R23" s="10" t="s">
        <v>176</v>
      </c>
      <c r="S23" s="6"/>
      <c r="T23" s="6"/>
    </row>
    <row r="24" spans="1:20">
      <c r="A24" s="7">
        <v>46216</v>
      </c>
      <c r="B24" s="8">
        <v>46229</v>
      </c>
      <c r="C24" s="9">
        <v>14</v>
      </c>
      <c r="D24" s="10" t="s">
        <v>712</v>
      </c>
      <c r="E24" s="10" t="s">
        <v>296</v>
      </c>
      <c r="F24" s="9"/>
      <c r="G24" s="9">
        <v>3</v>
      </c>
      <c r="H24" s="9">
        <v>0</v>
      </c>
      <c r="I24" s="9">
        <v>3</v>
      </c>
      <c r="J24" s="11">
        <v>0</v>
      </c>
      <c r="K24" s="24">
        <v>7</v>
      </c>
      <c r="L24" s="24">
        <v>0</v>
      </c>
      <c r="M24" s="24">
        <v>0</v>
      </c>
      <c r="N24" s="9">
        <v>0</v>
      </c>
      <c r="O24" s="9">
        <v>0</v>
      </c>
      <c r="P24" s="9">
        <v>0</v>
      </c>
      <c r="Q24" s="11">
        <v>0</v>
      </c>
      <c r="R24" s="10" t="s">
        <v>176</v>
      </c>
      <c r="S24" s="6"/>
      <c r="T24" s="6"/>
    </row>
    <row r="25" spans="1:20">
      <c r="A25" s="7">
        <v>46216</v>
      </c>
      <c r="B25" s="8">
        <v>46229</v>
      </c>
      <c r="C25" s="9">
        <v>14</v>
      </c>
      <c r="D25" s="10" t="s">
        <v>712</v>
      </c>
      <c r="E25" s="10" t="s">
        <v>2009</v>
      </c>
      <c r="F25" s="9"/>
      <c r="G25" s="9">
        <v>1</v>
      </c>
      <c r="H25" s="9">
        <v>0</v>
      </c>
      <c r="I25" s="9">
        <v>1</v>
      </c>
      <c r="J25" s="11">
        <v>0</v>
      </c>
      <c r="K25" s="24">
        <v>7</v>
      </c>
      <c r="L25" s="24">
        <v>0</v>
      </c>
      <c r="M25" s="24">
        <v>0</v>
      </c>
      <c r="N25" s="9">
        <v>0</v>
      </c>
      <c r="O25" s="9">
        <v>0</v>
      </c>
      <c r="P25" s="9">
        <v>0</v>
      </c>
      <c r="Q25" s="11">
        <v>0</v>
      </c>
      <c r="R25" s="10" t="s">
        <v>176</v>
      </c>
      <c r="S25" s="6"/>
      <c r="T25" s="6"/>
    </row>
    <row r="26" spans="1:20">
      <c r="A26" s="7">
        <v>46216</v>
      </c>
      <c r="B26" s="8">
        <v>46229</v>
      </c>
      <c r="C26" s="9">
        <v>14</v>
      </c>
      <c r="D26" s="10" t="s">
        <v>712</v>
      </c>
      <c r="E26" s="10" t="s">
        <v>297</v>
      </c>
      <c r="F26" s="9"/>
      <c r="G26" s="9">
        <v>6</v>
      </c>
      <c r="H26" s="9">
        <v>0</v>
      </c>
      <c r="I26" s="9">
        <v>6</v>
      </c>
      <c r="J26" s="11">
        <v>0</v>
      </c>
      <c r="K26" s="24">
        <v>7</v>
      </c>
      <c r="L26" s="24">
        <v>0</v>
      </c>
      <c r="M26" s="24">
        <v>0</v>
      </c>
      <c r="N26" s="9">
        <v>0</v>
      </c>
      <c r="O26" s="9">
        <v>0</v>
      </c>
      <c r="P26" s="9">
        <v>0</v>
      </c>
      <c r="Q26" s="11">
        <v>0</v>
      </c>
      <c r="R26" s="10" t="s">
        <v>176</v>
      </c>
      <c r="S26" s="6"/>
      <c r="T26" s="6"/>
    </row>
    <row r="27" spans="1:20">
      <c r="A27" s="7">
        <v>46216</v>
      </c>
      <c r="B27" s="8">
        <v>46229</v>
      </c>
      <c r="C27" s="9">
        <v>14</v>
      </c>
      <c r="D27" s="10" t="s">
        <v>712</v>
      </c>
      <c r="E27" s="10" t="s">
        <v>3667</v>
      </c>
      <c r="F27" s="9"/>
      <c r="G27" s="9">
        <v>2</v>
      </c>
      <c r="H27" s="9">
        <v>0</v>
      </c>
      <c r="I27" s="9">
        <v>2</v>
      </c>
      <c r="J27" s="11">
        <v>0</v>
      </c>
      <c r="K27" s="24">
        <v>2.5</v>
      </c>
      <c r="L27" s="24">
        <v>0</v>
      </c>
      <c r="M27" s="24">
        <v>0</v>
      </c>
      <c r="N27" s="9">
        <v>0</v>
      </c>
      <c r="O27" s="9">
        <v>0</v>
      </c>
      <c r="P27" s="9">
        <v>0</v>
      </c>
      <c r="Q27" s="11">
        <v>0</v>
      </c>
      <c r="R27" s="10" t="s">
        <v>176</v>
      </c>
      <c r="S27" s="6"/>
      <c r="T27" s="6"/>
    </row>
    <row r="28" spans="1:20">
      <c r="A28" s="7">
        <v>46216</v>
      </c>
      <c r="B28" s="8">
        <v>46229</v>
      </c>
      <c r="C28" s="9">
        <v>14</v>
      </c>
      <c r="D28" s="10" t="s">
        <v>712</v>
      </c>
      <c r="E28" s="10" t="s">
        <v>319</v>
      </c>
      <c r="F28" s="9"/>
      <c r="G28" s="9">
        <v>3</v>
      </c>
      <c r="H28" s="9">
        <v>0</v>
      </c>
      <c r="I28" s="9">
        <v>3</v>
      </c>
      <c r="J28" s="11">
        <v>0</v>
      </c>
      <c r="K28" s="24">
        <v>18</v>
      </c>
      <c r="L28" s="24">
        <v>0</v>
      </c>
      <c r="M28" s="24">
        <v>0</v>
      </c>
      <c r="N28" s="9">
        <v>0</v>
      </c>
      <c r="O28" s="9">
        <v>0</v>
      </c>
      <c r="P28" s="9">
        <v>0</v>
      </c>
      <c r="Q28" s="11">
        <v>0</v>
      </c>
      <c r="R28" s="10" t="s">
        <v>176</v>
      </c>
      <c r="S28" s="6"/>
      <c r="T28" s="6"/>
    </row>
    <row r="29" spans="1:20">
      <c r="A29" s="7">
        <v>46216</v>
      </c>
      <c r="B29" s="8">
        <v>46229</v>
      </c>
      <c r="C29" s="9">
        <v>14</v>
      </c>
      <c r="D29" s="10" t="s">
        <v>712</v>
      </c>
      <c r="E29" s="10" t="s">
        <v>2174</v>
      </c>
      <c r="F29" s="9"/>
      <c r="G29" s="9">
        <v>1</v>
      </c>
      <c r="H29" s="9">
        <v>0</v>
      </c>
      <c r="I29" s="9">
        <v>1</v>
      </c>
      <c r="J29" s="11">
        <v>0</v>
      </c>
      <c r="K29" s="24">
        <v>1</v>
      </c>
      <c r="L29" s="24">
        <v>0</v>
      </c>
      <c r="M29" s="24">
        <v>0</v>
      </c>
      <c r="N29" s="9">
        <v>0</v>
      </c>
      <c r="O29" s="9">
        <v>0</v>
      </c>
      <c r="P29" s="9">
        <v>0</v>
      </c>
      <c r="Q29" s="11">
        <v>0</v>
      </c>
      <c r="R29" s="10" t="s">
        <v>176</v>
      </c>
      <c r="S29" s="6"/>
      <c r="T29" s="6"/>
    </row>
    <row r="30" spans="1:20">
      <c r="A30" s="7">
        <v>46216</v>
      </c>
      <c r="B30" s="8">
        <v>46229</v>
      </c>
      <c r="C30" s="9">
        <v>14</v>
      </c>
      <c r="D30" s="10" t="s">
        <v>2250</v>
      </c>
      <c r="E30" s="10" t="s">
        <v>183</v>
      </c>
      <c r="F30" s="9"/>
      <c r="G30" s="9">
        <v>50</v>
      </c>
      <c r="H30" s="9">
        <v>0</v>
      </c>
      <c r="I30" s="9">
        <v>0</v>
      </c>
      <c r="J30" s="11">
        <v>0</v>
      </c>
      <c r="K30" s="24">
        <v>2.0699999999999998</v>
      </c>
      <c r="L30" s="24">
        <v>0</v>
      </c>
      <c r="M30" s="24">
        <v>0</v>
      </c>
      <c r="N30" s="9">
        <v>50</v>
      </c>
      <c r="O30" s="9">
        <v>50</v>
      </c>
      <c r="P30" s="9">
        <v>1</v>
      </c>
      <c r="Q30" s="11">
        <v>1</v>
      </c>
      <c r="R30" s="10" t="s">
        <v>3449</v>
      </c>
      <c r="S30" s="6"/>
      <c r="T30" s="6"/>
    </row>
    <row r="31" spans="1:20">
      <c r="A31" s="7">
        <v>46216</v>
      </c>
      <c r="B31" s="8">
        <v>46229</v>
      </c>
      <c r="C31" s="9">
        <v>14</v>
      </c>
      <c r="D31" s="10" t="s">
        <v>2250</v>
      </c>
      <c r="E31" s="10" t="s">
        <v>145</v>
      </c>
      <c r="F31" s="9"/>
      <c r="G31" s="9">
        <v>40</v>
      </c>
      <c r="H31" s="9">
        <v>0</v>
      </c>
      <c r="I31" s="9">
        <v>0</v>
      </c>
      <c r="J31" s="11">
        <v>0</v>
      </c>
      <c r="K31" s="24">
        <v>0.8</v>
      </c>
      <c r="L31" s="24">
        <v>0</v>
      </c>
      <c r="M31" s="24">
        <v>0</v>
      </c>
      <c r="N31" s="9">
        <v>40</v>
      </c>
      <c r="O31" s="9">
        <v>40</v>
      </c>
      <c r="P31" s="9">
        <v>1</v>
      </c>
      <c r="Q31" s="11">
        <v>1</v>
      </c>
      <c r="R31" s="10" t="s">
        <v>3449</v>
      </c>
      <c r="S31" s="6"/>
      <c r="T31" s="6"/>
    </row>
    <row r="32" spans="1:20">
      <c r="A32" s="7">
        <v>46216</v>
      </c>
      <c r="B32" s="8">
        <v>46229</v>
      </c>
      <c r="C32" s="9">
        <v>14</v>
      </c>
      <c r="D32" s="10" t="s">
        <v>2255</v>
      </c>
      <c r="E32" s="10" t="s">
        <v>2922</v>
      </c>
      <c r="F32" s="9" t="s">
        <v>2721</v>
      </c>
      <c r="G32" s="9">
        <v>8</v>
      </c>
      <c r="H32" s="9">
        <v>0</v>
      </c>
      <c r="I32" s="9">
        <v>0</v>
      </c>
      <c r="J32" s="11">
        <v>0</v>
      </c>
      <c r="K32" s="24">
        <v>1.04</v>
      </c>
      <c r="L32" s="24">
        <v>0</v>
      </c>
      <c r="M32" s="24">
        <v>0</v>
      </c>
      <c r="N32" s="9">
        <v>8</v>
      </c>
      <c r="O32" s="9">
        <v>8</v>
      </c>
      <c r="P32" s="9">
        <v>1</v>
      </c>
      <c r="Q32" s="11">
        <v>1</v>
      </c>
      <c r="R32" s="10" t="s">
        <v>3449</v>
      </c>
      <c r="S32" s="6"/>
      <c r="T32" s="6"/>
    </row>
    <row r="33" spans="1:20">
      <c r="A33" s="7">
        <v>46216</v>
      </c>
      <c r="B33" s="8">
        <v>46229</v>
      </c>
      <c r="C33" s="9">
        <v>14</v>
      </c>
      <c r="D33" s="10" t="s">
        <v>2255</v>
      </c>
      <c r="E33" s="10" t="s">
        <v>2923</v>
      </c>
      <c r="F33" s="9" t="s">
        <v>2719</v>
      </c>
      <c r="G33" s="9">
        <v>70</v>
      </c>
      <c r="H33" s="9">
        <v>0</v>
      </c>
      <c r="I33" s="9">
        <v>0</v>
      </c>
      <c r="J33" s="11">
        <v>0</v>
      </c>
      <c r="K33" s="24">
        <v>1.04</v>
      </c>
      <c r="L33" s="24">
        <v>0</v>
      </c>
      <c r="M33" s="24">
        <v>0</v>
      </c>
      <c r="N33" s="9">
        <v>70</v>
      </c>
      <c r="O33" s="9">
        <v>70</v>
      </c>
      <c r="P33" s="9">
        <v>1</v>
      </c>
      <c r="Q33" s="11">
        <v>1</v>
      </c>
      <c r="R33" s="10" t="s">
        <v>3449</v>
      </c>
      <c r="S33" s="6"/>
      <c r="T33" s="6"/>
    </row>
    <row r="34" spans="1:20">
      <c r="A34" s="7">
        <v>46216</v>
      </c>
      <c r="B34" s="8">
        <v>46229</v>
      </c>
      <c r="C34" s="9">
        <v>14</v>
      </c>
      <c r="D34" s="10" t="s">
        <v>2255</v>
      </c>
      <c r="E34" s="10" t="s">
        <v>2924</v>
      </c>
      <c r="F34" s="9" t="s">
        <v>2722</v>
      </c>
      <c r="G34" s="9">
        <v>8</v>
      </c>
      <c r="H34" s="9">
        <v>0</v>
      </c>
      <c r="I34" s="9">
        <v>0</v>
      </c>
      <c r="J34" s="11">
        <v>0</v>
      </c>
      <c r="K34" s="24">
        <v>1.04</v>
      </c>
      <c r="L34" s="24">
        <v>0</v>
      </c>
      <c r="M34" s="24">
        <v>0</v>
      </c>
      <c r="N34" s="9">
        <v>8</v>
      </c>
      <c r="O34" s="9">
        <v>8</v>
      </c>
      <c r="P34" s="9">
        <v>1</v>
      </c>
      <c r="Q34" s="11">
        <v>1</v>
      </c>
      <c r="R34" s="10" t="s">
        <v>3449</v>
      </c>
      <c r="S34" s="6"/>
      <c r="T34" s="6"/>
    </row>
    <row r="35" spans="1:20">
      <c r="A35" s="7">
        <v>46216</v>
      </c>
      <c r="B35" s="8">
        <v>46229</v>
      </c>
      <c r="C35" s="9">
        <v>14</v>
      </c>
      <c r="D35" s="10" t="s">
        <v>2352</v>
      </c>
      <c r="E35" s="10" t="s">
        <v>1919</v>
      </c>
      <c r="F35" s="9"/>
      <c r="G35" s="9">
        <v>1</v>
      </c>
      <c r="H35" s="9">
        <v>1</v>
      </c>
      <c r="I35" s="9">
        <v>0</v>
      </c>
      <c r="J35" s="11">
        <v>1</v>
      </c>
      <c r="K35" s="24">
        <v>311.10000000000002</v>
      </c>
      <c r="L35" s="24">
        <v>311.10000000000002</v>
      </c>
      <c r="M35" s="24">
        <v>4355.3999999999996</v>
      </c>
      <c r="N35" s="9">
        <v>2</v>
      </c>
      <c r="O35" s="9">
        <v>2</v>
      </c>
      <c r="P35" s="9">
        <v>3</v>
      </c>
      <c r="Q35" s="11">
        <v>2</v>
      </c>
      <c r="R35" s="10" t="s">
        <v>177</v>
      </c>
      <c r="S35" s="6"/>
      <c r="T35" s="6"/>
    </row>
    <row r="36" spans="1:20">
      <c r="A36" s="7">
        <v>46216</v>
      </c>
      <c r="B36" s="8">
        <v>46229</v>
      </c>
      <c r="C36" s="9">
        <v>14</v>
      </c>
      <c r="D36" s="10" t="s">
        <v>2352</v>
      </c>
      <c r="E36" s="10" t="s">
        <v>146</v>
      </c>
      <c r="F36" s="9"/>
      <c r="G36" s="9">
        <v>4</v>
      </c>
      <c r="H36" s="9">
        <v>4</v>
      </c>
      <c r="I36" s="9">
        <v>0</v>
      </c>
      <c r="J36" s="11">
        <v>1</v>
      </c>
      <c r="K36" s="24">
        <v>72.59</v>
      </c>
      <c r="L36" s="24">
        <v>290.36</v>
      </c>
      <c r="M36" s="24">
        <v>4065.04</v>
      </c>
      <c r="N36" s="9">
        <v>9</v>
      </c>
      <c r="O36" s="9">
        <v>8</v>
      </c>
      <c r="P36" s="9">
        <v>9</v>
      </c>
      <c r="Q36" s="11">
        <v>2</v>
      </c>
      <c r="R36" s="10" t="s">
        <v>177</v>
      </c>
      <c r="S36" s="6"/>
      <c r="T36" s="6"/>
    </row>
    <row r="37" spans="1:20">
      <c r="A37" s="7">
        <v>46216</v>
      </c>
      <c r="B37" s="8">
        <v>46229</v>
      </c>
      <c r="C37" s="9">
        <v>14</v>
      </c>
      <c r="D37" s="10" t="s">
        <v>2352</v>
      </c>
      <c r="E37" s="10" t="s">
        <v>2033</v>
      </c>
      <c r="F37" s="9"/>
      <c r="G37" s="9">
        <v>1</v>
      </c>
      <c r="H37" s="9">
        <v>1</v>
      </c>
      <c r="I37" s="9">
        <v>0</v>
      </c>
      <c r="J37" s="11">
        <v>1</v>
      </c>
      <c r="K37" s="24">
        <v>288.5</v>
      </c>
      <c r="L37" s="24">
        <v>288.5</v>
      </c>
      <c r="M37" s="24">
        <v>4039</v>
      </c>
      <c r="N37" s="9">
        <v>1</v>
      </c>
      <c r="O37" s="9">
        <v>1</v>
      </c>
      <c r="P37" s="9">
        <v>2</v>
      </c>
      <c r="Q37" s="11">
        <v>1</v>
      </c>
      <c r="R37" s="10" t="s">
        <v>177</v>
      </c>
      <c r="S37" s="6"/>
      <c r="T37" s="6"/>
    </row>
    <row r="38" spans="1:20">
      <c r="A38" s="7">
        <v>46216</v>
      </c>
      <c r="B38" s="8">
        <v>46229</v>
      </c>
      <c r="C38" s="9">
        <v>14</v>
      </c>
      <c r="D38" s="10" t="s">
        <v>2352</v>
      </c>
      <c r="E38" s="10" t="s">
        <v>1965</v>
      </c>
      <c r="F38" s="9"/>
      <c r="G38" s="9">
        <v>2</v>
      </c>
      <c r="H38" s="9">
        <v>2</v>
      </c>
      <c r="I38" s="9">
        <v>0</v>
      </c>
      <c r="J38" s="11">
        <v>1</v>
      </c>
      <c r="K38" s="24">
        <v>118.26</v>
      </c>
      <c r="L38" s="24">
        <v>236.52</v>
      </c>
      <c r="M38" s="24">
        <v>3311.28</v>
      </c>
      <c r="N38" s="9">
        <v>4</v>
      </c>
      <c r="O38" s="9">
        <v>2</v>
      </c>
      <c r="P38" s="9">
        <v>5</v>
      </c>
      <c r="Q38" s="11">
        <v>1</v>
      </c>
      <c r="R38" s="10" t="s">
        <v>177</v>
      </c>
      <c r="S38" s="6"/>
      <c r="T38" s="6"/>
    </row>
    <row r="39" spans="1:20">
      <c r="A39" s="7">
        <v>46216</v>
      </c>
      <c r="B39" s="8">
        <v>46229</v>
      </c>
      <c r="C39" s="9">
        <v>14</v>
      </c>
      <c r="D39" s="10" t="s">
        <v>2352</v>
      </c>
      <c r="E39" s="10" t="s">
        <v>292</v>
      </c>
      <c r="F39" s="9"/>
      <c r="G39" s="9">
        <v>5</v>
      </c>
      <c r="H39" s="9">
        <v>4</v>
      </c>
      <c r="I39" s="9">
        <v>0</v>
      </c>
      <c r="J39" s="11">
        <v>0.8</v>
      </c>
      <c r="K39" s="24">
        <v>57.03</v>
      </c>
      <c r="L39" s="24">
        <v>228.12</v>
      </c>
      <c r="M39" s="24">
        <v>3193.68</v>
      </c>
      <c r="N39" s="9">
        <v>7</v>
      </c>
      <c r="O39" s="9">
        <v>6</v>
      </c>
      <c r="P39" s="9">
        <v>7</v>
      </c>
      <c r="Q39" s="11">
        <v>1.2</v>
      </c>
      <c r="R39" s="10" t="s">
        <v>177</v>
      </c>
      <c r="S39" s="6"/>
      <c r="T39" s="6"/>
    </row>
    <row r="40" spans="1:20">
      <c r="A40" s="7">
        <v>46216</v>
      </c>
      <c r="B40" s="8">
        <v>46229</v>
      </c>
      <c r="C40" s="9">
        <v>14</v>
      </c>
      <c r="D40" s="10" t="s">
        <v>2352</v>
      </c>
      <c r="E40" s="10" t="s">
        <v>2003</v>
      </c>
      <c r="F40" s="9"/>
      <c r="G40" s="9">
        <v>1</v>
      </c>
      <c r="H40" s="9">
        <v>1</v>
      </c>
      <c r="I40" s="9">
        <v>0</v>
      </c>
      <c r="J40" s="11">
        <v>1</v>
      </c>
      <c r="K40" s="24">
        <v>192.04</v>
      </c>
      <c r="L40" s="24">
        <v>192.04</v>
      </c>
      <c r="M40" s="24">
        <v>2688.56</v>
      </c>
      <c r="N40" s="9">
        <v>3</v>
      </c>
      <c r="O40" s="9">
        <v>1</v>
      </c>
      <c r="P40" s="9">
        <v>4</v>
      </c>
      <c r="Q40" s="11">
        <v>1</v>
      </c>
      <c r="R40" s="10" t="s">
        <v>177</v>
      </c>
      <c r="S40" s="6"/>
      <c r="T40" s="6"/>
    </row>
    <row r="41" spans="1:20">
      <c r="A41" s="7">
        <v>46216</v>
      </c>
      <c r="B41" s="8">
        <v>46229</v>
      </c>
      <c r="C41" s="9">
        <v>14</v>
      </c>
      <c r="D41" s="10" t="s">
        <v>2352</v>
      </c>
      <c r="E41" s="10" t="s">
        <v>300</v>
      </c>
      <c r="F41" s="9"/>
      <c r="G41" s="9">
        <v>6</v>
      </c>
      <c r="H41" s="9">
        <v>3</v>
      </c>
      <c r="I41" s="9">
        <v>0</v>
      </c>
      <c r="J41" s="11">
        <v>0.5</v>
      </c>
      <c r="K41" s="24">
        <v>62</v>
      </c>
      <c r="L41" s="24">
        <v>186</v>
      </c>
      <c r="M41" s="24">
        <v>2604</v>
      </c>
      <c r="N41" s="9">
        <v>12</v>
      </c>
      <c r="O41" s="9">
        <v>6</v>
      </c>
      <c r="P41" s="9">
        <v>8</v>
      </c>
      <c r="Q41" s="11">
        <v>1</v>
      </c>
      <c r="R41" s="10" t="s">
        <v>177</v>
      </c>
      <c r="S41" s="6"/>
      <c r="T41" s="6"/>
    </row>
    <row r="42" spans="1:20">
      <c r="A42" s="7">
        <v>46216</v>
      </c>
      <c r="B42" s="8">
        <v>46229</v>
      </c>
      <c r="C42" s="9">
        <v>14</v>
      </c>
      <c r="D42" s="10" t="s">
        <v>2352</v>
      </c>
      <c r="E42" s="10" t="s">
        <v>1962</v>
      </c>
      <c r="F42" s="9"/>
      <c r="G42" s="9">
        <v>4</v>
      </c>
      <c r="H42" s="9">
        <v>3</v>
      </c>
      <c r="I42" s="9">
        <v>0</v>
      </c>
      <c r="J42" s="11">
        <v>0.75</v>
      </c>
      <c r="K42" s="24">
        <v>53.92</v>
      </c>
      <c r="L42" s="24">
        <v>161.76</v>
      </c>
      <c r="M42" s="24">
        <v>2264.64</v>
      </c>
      <c r="N42" s="9">
        <v>31</v>
      </c>
      <c r="O42" s="9">
        <v>5</v>
      </c>
      <c r="P42" s="9">
        <v>17</v>
      </c>
      <c r="Q42" s="11">
        <v>1.25</v>
      </c>
      <c r="R42" s="10" t="s">
        <v>177</v>
      </c>
      <c r="S42" s="6"/>
      <c r="T42" s="6"/>
    </row>
    <row r="43" spans="1:20">
      <c r="A43" s="7">
        <v>46216</v>
      </c>
      <c r="B43" s="8">
        <v>46229</v>
      </c>
      <c r="C43" s="9">
        <v>14</v>
      </c>
      <c r="D43" s="10" t="s">
        <v>2352</v>
      </c>
      <c r="E43" s="10" t="s">
        <v>1961</v>
      </c>
      <c r="F43" s="9"/>
      <c r="G43" s="9">
        <v>1</v>
      </c>
      <c r="H43" s="9">
        <v>1</v>
      </c>
      <c r="I43" s="9">
        <v>0</v>
      </c>
      <c r="J43" s="11">
        <v>1</v>
      </c>
      <c r="K43" s="24">
        <v>139</v>
      </c>
      <c r="L43" s="24">
        <v>139</v>
      </c>
      <c r="M43" s="24">
        <v>1946</v>
      </c>
      <c r="N43" s="9">
        <v>2</v>
      </c>
      <c r="O43" s="9">
        <v>1</v>
      </c>
      <c r="P43" s="9">
        <v>3</v>
      </c>
      <c r="Q43" s="11">
        <v>1</v>
      </c>
      <c r="R43" s="10" t="s">
        <v>177</v>
      </c>
      <c r="S43" s="6"/>
      <c r="T43" s="6"/>
    </row>
    <row r="44" spans="1:20">
      <c r="A44" s="7">
        <v>46216</v>
      </c>
      <c r="B44" s="8">
        <v>46229</v>
      </c>
      <c r="C44" s="9">
        <v>14</v>
      </c>
      <c r="D44" s="10" t="s">
        <v>2352</v>
      </c>
      <c r="E44" s="10" t="s">
        <v>2002</v>
      </c>
      <c r="F44" s="9"/>
      <c r="G44" s="9">
        <v>2</v>
      </c>
      <c r="H44" s="9">
        <v>1</v>
      </c>
      <c r="I44" s="9">
        <v>0</v>
      </c>
      <c r="J44" s="11">
        <v>0.5</v>
      </c>
      <c r="K44" s="24">
        <v>127</v>
      </c>
      <c r="L44" s="24">
        <v>127</v>
      </c>
      <c r="M44" s="24">
        <v>1778</v>
      </c>
      <c r="N44" s="9">
        <v>3</v>
      </c>
      <c r="O44" s="9">
        <v>2</v>
      </c>
      <c r="P44" s="9">
        <v>3</v>
      </c>
      <c r="Q44" s="11">
        <v>1</v>
      </c>
      <c r="R44" s="10" t="s">
        <v>177</v>
      </c>
      <c r="S44" s="6"/>
      <c r="T44" s="6"/>
    </row>
    <row r="45" spans="1:20">
      <c r="A45" s="7">
        <v>46216</v>
      </c>
      <c r="B45" s="8">
        <v>46229</v>
      </c>
      <c r="C45" s="9">
        <v>14</v>
      </c>
      <c r="D45" s="10" t="s">
        <v>2352</v>
      </c>
      <c r="E45" s="10" t="s">
        <v>1964</v>
      </c>
      <c r="F45" s="9"/>
      <c r="G45" s="9">
        <v>2</v>
      </c>
      <c r="H45" s="9">
        <v>2</v>
      </c>
      <c r="I45" s="9">
        <v>0</v>
      </c>
      <c r="J45" s="11">
        <v>1</v>
      </c>
      <c r="K45" s="24">
        <v>61.18</v>
      </c>
      <c r="L45" s="24">
        <v>122.36</v>
      </c>
      <c r="M45" s="24">
        <v>1713.04</v>
      </c>
      <c r="N45" s="9">
        <v>4</v>
      </c>
      <c r="O45" s="9">
        <v>2</v>
      </c>
      <c r="P45" s="9">
        <v>5</v>
      </c>
      <c r="Q45" s="11">
        <v>1</v>
      </c>
      <c r="R45" s="10" t="s">
        <v>177</v>
      </c>
      <c r="S45" s="6"/>
      <c r="T45" s="6"/>
    </row>
    <row r="46" spans="1:20">
      <c r="A46" s="7">
        <v>46216</v>
      </c>
      <c r="B46" s="8">
        <v>46229</v>
      </c>
      <c r="C46" s="9">
        <v>14</v>
      </c>
      <c r="D46" s="10" t="s">
        <v>2352</v>
      </c>
      <c r="E46" s="10" t="s">
        <v>240</v>
      </c>
      <c r="F46" s="9"/>
      <c r="G46" s="9">
        <v>2</v>
      </c>
      <c r="H46" s="9">
        <v>2</v>
      </c>
      <c r="I46" s="9">
        <v>0</v>
      </c>
      <c r="J46" s="11">
        <v>1</v>
      </c>
      <c r="K46" s="24">
        <v>57.22</v>
      </c>
      <c r="L46" s="24">
        <v>114.44</v>
      </c>
      <c r="M46" s="24">
        <v>1602.16</v>
      </c>
      <c r="N46" s="9">
        <v>3</v>
      </c>
      <c r="O46" s="9">
        <v>2</v>
      </c>
      <c r="P46" s="9">
        <v>5</v>
      </c>
      <c r="Q46" s="11">
        <v>1</v>
      </c>
      <c r="R46" s="10" t="s">
        <v>177</v>
      </c>
      <c r="S46" s="6"/>
      <c r="T46" s="6"/>
    </row>
    <row r="47" spans="1:20">
      <c r="A47" s="7">
        <v>46216</v>
      </c>
      <c r="B47" s="8">
        <v>46229</v>
      </c>
      <c r="C47" s="9">
        <v>14</v>
      </c>
      <c r="D47" s="10" t="s">
        <v>2352</v>
      </c>
      <c r="E47" s="10" t="s">
        <v>155</v>
      </c>
      <c r="F47" s="9"/>
      <c r="G47" s="9">
        <v>2</v>
      </c>
      <c r="H47" s="9">
        <v>2</v>
      </c>
      <c r="I47" s="9">
        <v>0</v>
      </c>
      <c r="J47" s="11">
        <v>1</v>
      </c>
      <c r="K47" s="24">
        <v>57.03</v>
      </c>
      <c r="L47" s="24">
        <v>114.06</v>
      </c>
      <c r="M47" s="24">
        <v>1596.84</v>
      </c>
      <c r="N47" s="9">
        <v>6</v>
      </c>
      <c r="O47" s="9">
        <v>2</v>
      </c>
      <c r="P47" s="9">
        <v>5</v>
      </c>
      <c r="Q47" s="11">
        <v>1</v>
      </c>
      <c r="R47" s="10" t="s">
        <v>177</v>
      </c>
      <c r="S47" s="6"/>
      <c r="T47" s="6"/>
    </row>
    <row r="48" spans="1:20">
      <c r="A48" s="7">
        <v>46216</v>
      </c>
      <c r="B48" s="8">
        <v>46229</v>
      </c>
      <c r="C48" s="9">
        <v>14</v>
      </c>
      <c r="D48" s="10" t="s">
        <v>2352</v>
      </c>
      <c r="E48" s="10" t="s">
        <v>238</v>
      </c>
      <c r="F48" s="9"/>
      <c r="G48" s="9">
        <v>6</v>
      </c>
      <c r="H48" s="9">
        <v>1</v>
      </c>
      <c r="I48" s="9">
        <v>0</v>
      </c>
      <c r="J48" s="11">
        <v>0.16666666666666699</v>
      </c>
      <c r="K48" s="24">
        <v>103.7</v>
      </c>
      <c r="L48" s="24">
        <v>103.7</v>
      </c>
      <c r="M48" s="24">
        <v>1451.8</v>
      </c>
      <c r="N48" s="9">
        <v>7</v>
      </c>
      <c r="O48" s="9">
        <v>6</v>
      </c>
      <c r="P48" s="9">
        <v>3</v>
      </c>
      <c r="Q48" s="11">
        <v>1</v>
      </c>
      <c r="R48" s="10" t="s">
        <v>177</v>
      </c>
      <c r="S48" s="6"/>
      <c r="T48" s="6"/>
    </row>
    <row r="49" spans="1:20">
      <c r="A49" s="7">
        <v>46216</v>
      </c>
      <c r="B49" s="8">
        <v>46229</v>
      </c>
      <c r="C49" s="9">
        <v>14</v>
      </c>
      <c r="D49" s="10" t="s">
        <v>2352</v>
      </c>
      <c r="E49" s="10" t="s">
        <v>239</v>
      </c>
      <c r="F49" s="9"/>
      <c r="G49" s="9">
        <v>2</v>
      </c>
      <c r="H49" s="9">
        <v>1</v>
      </c>
      <c r="I49" s="9">
        <v>0</v>
      </c>
      <c r="J49" s="11">
        <v>0.5</v>
      </c>
      <c r="K49" s="24">
        <v>103.7</v>
      </c>
      <c r="L49" s="24">
        <v>103.7</v>
      </c>
      <c r="M49" s="24">
        <v>1451.8</v>
      </c>
      <c r="N49" s="9">
        <v>3</v>
      </c>
      <c r="O49" s="9">
        <v>2</v>
      </c>
      <c r="P49" s="9">
        <v>3</v>
      </c>
      <c r="Q49" s="11">
        <v>1</v>
      </c>
      <c r="R49" s="10" t="s">
        <v>177</v>
      </c>
      <c r="S49" s="6"/>
      <c r="T49" s="6"/>
    </row>
    <row r="50" spans="1:20">
      <c r="A50" s="7">
        <v>46216</v>
      </c>
      <c r="B50" s="8">
        <v>46229</v>
      </c>
      <c r="C50" s="9">
        <v>14</v>
      </c>
      <c r="D50" s="10" t="s">
        <v>2352</v>
      </c>
      <c r="E50" s="10" t="s">
        <v>218</v>
      </c>
      <c r="F50" s="9"/>
      <c r="G50" s="9">
        <v>9</v>
      </c>
      <c r="H50" s="9">
        <v>5</v>
      </c>
      <c r="I50" s="9">
        <v>0</v>
      </c>
      <c r="J50" s="11">
        <v>0.55555555555555602</v>
      </c>
      <c r="K50" s="24">
        <v>17.64</v>
      </c>
      <c r="L50" s="24">
        <v>88.2</v>
      </c>
      <c r="M50" s="24">
        <v>1234.8</v>
      </c>
      <c r="N50" s="9">
        <v>12</v>
      </c>
      <c r="O50" s="9">
        <v>14</v>
      </c>
      <c r="P50" s="9">
        <v>7</v>
      </c>
      <c r="Q50" s="11">
        <v>1.55555555555556</v>
      </c>
      <c r="R50" s="10" t="s">
        <v>177</v>
      </c>
      <c r="S50" s="6"/>
      <c r="T50" s="6"/>
    </row>
    <row r="51" spans="1:20">
      <c r="A51" s="7">
        <v>46216</v>
      </c>
      <c r="B51" s="8">
        <v>46229</v>
      </c>
      <c r="C51" s="9">
        <v>14</v>
      </c>
      <c r="D51" s="10" t="s">
        <v>2352</v>
      </c>
      <c r="E51" s="10" t="s">
        <v>159</v>
      </c>
      <c r="F51" s="9"/>
      <c r="G51" s="9">
        <v>1</v>
      </c>
      <c r="H51" s="9">
        <v>1</v>
      </c>
      <c r="I51" s="9">
        <v>0</v>
      </c>
      <c r="J51" s="11">
        <v>1</v>
      </c>
      <c r="K51" s="24">
        <v>72.59</v>
      </c>
      <c r="L51" s="24">
        <v>72.59</v>
      </c>
      <c r="M51" s="24">
        <v>1016.26</v>
      </c>
      <c r="N51" s="9">
        <v>2</v>
      </c>
      <c r="O51" s="9">
        <v>2</v>
      </c>
      <c r="P51" s="9">
        <v>3</v>
      </c>
      <c r="Q51" s="11">
        <v>2</v>
      </c>
      <c r="R51" s="10" t="s">
        <v>177</v>
      </c>
      <c r="S51" s="6"/>
      <c r="T51" s="6"/>
    </row>
    <row r="52" spans="1:20">
      <c r="A52" s="7">
        <v>46216</v>
      </c>
      <c r="B52" s="8">
        <v>46229</v>
      </c>
      <c r="C52" s="9">
        <v>14</v>
      </c>
      <c r="D52" s="10" t="s">
        <v>2352</v>
      </c>
      <c r="E52" s="10" t="s">
        <v>147</v>
      </c>
      <c r="F52" s="9"/>
      <c r="G52" s="9">
        <v>1</v>
      </c>
      <c r="H52" s="9">
        <v>1</v>
      </c>
      <c r="I52" s="9">
        <v>0</v>
      </c>
      <c r="J52" s="11">
        <v>1</v>
      </c>
      <c r="K52" s="24">
        <v>72.59</v>
      </c>
      <c r="L52" s="24">
        <v>72.59</v>
      </c>
      <c r="M52" s="24">
        <v>1016.26</v>
      </c>
      <c r="N52" s="9">
        <v>2</v>
      </c>
      <c r="O52" s="9">
        <v>2</v>
      </c>
      <c r="P52" s="9">
        <v>3</v>
      </c>
      <c r="Q52" s="11">
        <v>2</v>
      </c>
      <c r="R52" s="10" t="s">
        <v>177</v>
      </c>
      <c r="S52" s="6"/>
      <c r="T52" s="6"/>
    </row>
    <row r="53" spans="1:20">
      <c r="A53" s="7">
        <v>46216</v>
      </c>
      <c r="B53" s="8">
        <v>46229</v>
      </c>
      <c r="C53" s="9">
        <v>14</v>
      </c>
      <c r="D53" s="10" t="s">
        <v>2352</v>
      </c>
      <c r="E53" s="10" t="s">
        <v>153</v>
      </c>
      <c r="F53" s="9"/>
      <c r="G53" s="9">
        <v>1</v>
      </c>
      <c r="H53" s="9">
        <v>1</v>
      </c>
      <c r="I53" s="9">
        <v>0</v>
      </c>
      <c r="J53" s="11">
        <v>1</v>
      </c>
      <c r="K53" s="24">
        <v>57.03</v>
      </c>
      <c r="L53" s="24">
        <v>57.03</v>
      </c>
      <c r="M53" s="24">
        <v>798.42</v>
      </c>
      <c r="N53" s="9">
        <v>2</v>
      </c>
      <c r="O53" s="9">
        <v>2</v>
      </c>
      <c r="P53" s="9">
        <v>3</v>
      </c>
      <c r="Q53" s="11">
        <v>2</v>
      </c>
      <c r="R53" s="10" t="s">
        <v>177</v>
      </c>
      <c r="S53" s="6"/>
      <c r="T53" s="6"/>
    </row>
    <row r="54" spans="1:20">
      <c r="A54" s="7">
        <v>46216</v>
      </c>
      <c r="B54" s="8">
        <v>46229</v>
      </c>
      <c r="C54" s="9">
        <v>14</v>
      </c>
      <c r="D54" s="10" t="s">
        <v>2352</v>
      </c>
      <c r="E54" s="10" t="s">
        <v>1963</v>
      </c>
      <c r="F54" s="9"/>
      <c r="G54" s="9">
        <v>2</v>
      </c>
      <c r="H54" s="9">
        <v>1</v>
      </c>
      <c r="I54" s="9">
        <v>0</v>
      </c>
      <c r="J54" s="11">
        <v>0.5</v>
      </c>
      <c r="K54" s="24">
        <v>53.92</v>
      </c>
      <c r="L54" s="24">
        <v>53.92</v>
      </c>
      <c r="M54" s="24">
        <v>754.88</v>
      </c>
      <c r="N54" s="9">
        <v>7</v>
      </c>
      <c r="O54" s="9">
        <v>2</v>
      </c>
      <c r="P54" s="9">
        <v>4</v>
      </c>
      <c r="Q54" s="11">
        <v>1</v>
      </c>
      <c r="R54" s="10" t="s">
        <v>177</v>
      </c>
      <c r="S54" s="6"/>
      <c r="T54" s="6"/>
    </row>
    <row r="55" spans="1:20">
      <c r="A55" s="7">
        <v>46216</v>
      </c>
      <c r="B55" s="8">
        <v>46229</v>
      </c>
      <c r="C55" s="9">
        <v>14</v>
      </c>
      <c r="D55" s="10" t="s">
        <v>2352</v>
      </c>
      <c r="E55" s="10" t="s">
        <v>2005</v>
      </c>
      <c r="F55" s="9"/>
      <c r="G55" s="9">
        <v>3</v>
      </c>
      <c r="H55" s="9">
        <v>1</v>
      </c>
      <c r="I55" s="9">
        <v>2</v>
      </c>
      <c r="J55" s="11">
        <v>0.33333333333333298</v>
      </c>
      <c r="K55" s="24">
        <v>46.67</v>
      </c>
      <c r="L55" s="24">
        <v>46.67</v>
      </c>
      <c r="M55" s="24">
        <v>653.38</v>
      </c>
      <c r="N55" s="9">
        <v>4</v>
      </c>
      <c r="O55" s="9">
        <v>3</v>
      </c>
      <c r="P55" s="9">
        <v>3</v>
      </c>
      <c r="Q55" s="11">
        <v>1</v>
      </c>
      <c r="R55" s="10" t="s">
        <v>3449</v>
      </c>
      <c r="S55" s="6"/>
      <c r="T55" s="6"/>
    </row>
    <row r="56" spans="1:20">
      <c r="A56" s="7">
        <v>46216</v>
      </c>
      <c r="B56" s="8">
        <v>46229</v>
      </c>
      <c r="C56" s="9">
        <v>14</v>
      </c>
      <c r="D56" s="10" t="s">
        <v>2352</v>
      </c>
      <c r="E56" s="10" t="s">
        <v>320</v>
      </c>
      <c r="F56" s="9"/>
      <c r="G56" s="9">
        <v>2</v>
      </c>
      <c r="H56" s="9">
        <v>1</v>
      </c>
      <c r="I56" s="9">
        <v>0</v>
      </c>
      <c r="J56" s="11">
        <v>0.5</v>
      </c>
      <c r="K56" s="24">
        <v>34.22</v>
      </c>
      <c r="L56" s="24">
        <v>34.22</v>
      </c>
      <c r="M56" s="24">
        <v>479.08</v>
      </c>
      <c r="N56" s="9">
        <v>5</v>
      </c>
      <c r="O56" s="9">
        <v>2</v>
      </c>
      <c r="P56" s="9">
        <v>4</v>
      </c>
      <c r="Q56" s="11">
        <v>1</v>
      </c>
      <c r="R56" s="10" t="s">
        <v>177</v>
      </c>
      <c r="S56" s="6"/>
      <c r="T56" s="6"/>
    </row>
    <row r="57" spans="1:20">
      <c r="A57" s="7">
        <v>46216</v>
      </c>
      <c r="B57" s="8">
        <v>46229</v>
      </c>
      <c r="C57" s="9">
        <v>14</v>
      </c>
      <c r="D57" s="10" t="s">
        <v>2352</v>
      </c>
      <c r="E57" s="10" t="s">
        <v>148</v>
      </c>
      <c r="F57" s="9"/>
      <c r="G57" s="9">
        <v>13</v>
      </c>
      <c r="H57" s="9">
        <v>1</v>
      </c>
      <c r="I57" s="9">
        <v>0</v>
      </c>
      <c r="J57" s="11">
        <v>7.69230769230769E-2</v>
      </c>
      <c r="K57" s="24">
        <v>25.21</v>
      </c>
      <c r="L57" s="24">
        <v>25.21</v>
      </c>
      <c r="M57" s="24">
        <v>352.94</v>
      </c>
      <c r="N57" s="9">
        <v>14</v>
      </c>
      <c r="O57" s="9">
        <v>14</v>
      </c>
      <c r="P57" s="9">
        <v>3</v>
      </c>
      <c r="Q57" s="11">
        <v>1.07692307692308</v>
      </c>
      <c r="R57" s="10" t="s">
        <v>177</v>
      </c>
      <c r="S57" s="6"/>
      <c r="T57" s="6"/>
    </row>
    <row r="58" spans="1:20">
      <c r="A58" s="7">
        <v>46216</v>
      </c>
      <c r="B58" s="8">
        <v>46229</v>
      </c>
      <c r="C58" s="9">
        <v>14</v>
      </c>
      <c r="D58" s="10" t="s">
        <v>2352</v>
      </c>
      <c r="E58" s="10" t="s">
        <v>1945</v>
      </c>
      <c r="F58" s="9"/>
      <c r="G58" s="9">
        <v>1</v>
      </c>
      <c r="H58" s="9">
        <v>1</v>
      </c>
      <c r="I58" s="9">
        <v>0</v>
      </c>
      <c r="J58" s="11">
        <v>1</v>
      </c>
      <c r="K58" s="24">
        <v>18.670000000000002</v>
      </c>
      <c r="L58" s="24">
        <v>18.670000000000002</v>
      </c>
      <c r="M58" s="24">
        <v>261.38</v>
      </c>
      <c r="N58" s="9">
        <v>1</v>
      </c>
      <c r="O58" s="9">
        <v>1</v>
      </c>
      <c r="P58" s="9">
        <v>2</v>
      </c>
      <c r="Q58" s="11">
        <v>1</v>
      </c>
      <c r="R58" s="10" t="s">
        <v>177</v>
      </c>
      <c r="S58" s="6"/>
      <c r="T58" s="6"/>
    </row>
    <row r="59" spans="1:20">
      <c r="A59" s="7">
        <v>46216</v>
      </c>
      <c r="B59" s="8">
        <v>46229</v>
      </c>
      <c r="C59" s="9">
        <v>14</v>
      </c>
      <c r="D59" s="10" t="s">
        <v>2352</v>
      </c>
      <c r="E59" s="10" t="s">
        <v>149</v>
      </c>
      <c r="F59" s="9"/>
      <c r="G59" s="9">
        <v>10</v>
      </c>
      <c r="H59" s="9">
        <v>1</v>
      </c>
      <c r="I59" s="9">
        <v>1</v>
      </c>
      <c r="J59" s="11">
        <v>0.1</v>
      </c>
      <c r="K59" s="24">
        <v>17.736000000000001</v>
      </c>
      <c r="L59" s="24">
        <v>18.670000000000002</v>
      </c>
      <c r="M59" s="24">
        <v>261.38</v>
      </c>
      <c r="N59" s="9">
        <v>10</v>
      </c>
      <c r="O59" s="9">
        <v>10</v>
      </c>
      <c r="P59" s="9">
        <v>3</v>
      </c>
      <c r="Q59" s="11">
        <v>1</v>
      </c>
      <c r="R59" s="10" t="s">
        <v>3449</v>
      </c>
      <c r="S59" s="6"/>
      <c r="T59" s="6"/>
    </row>
    <row r="60" spans="1:20">
      <c r="A60" s="7">
        <v>46216</v>
      </c>
      <c r="B60" s="8">
        <v>46229</v>
      </c>
      <c r="C60" s="9">
        <v>14</v>
      </c>
      <c r="D60" s="10" t="s">
        <v>2352</v>
      </c>
      <c r="E60" s="10" t="s">
        <v>144</v>
      </c>
      <c r="F60" s="9"/>
      <c r="G60" s="9">
        <v>15</v>
      </c>
      <c r="H60" s="9">
        <v>2</v>
      </c>
      <c r="I60" s="9">
        <v>0</v>
      </c>
      <c r="J60" s="11">
        <v>0.133333333333333</v>
      </c>
      <c r="K60" s="24">
        <v>9.33</v>
      </c>
      <c r="L60" s="24">
        <v>18.66</v>
      </c>
      <c r="M60" s="24">
        <v>261.24</v>
      </c>
      <c r="N60" s="9">
        <v>16</v>
      </c>
      <c r="O60" s="9">
        <v>17</v>
      </c>
      <c r="P60" s="9">
        <v>5</v>
      </c>
      <c r="Q60" s="11">
        <v>1.13333333333333</v>
      </c>
      <c r="R60" s="10" t="s">
        <v>177</v>
      </c>
      <c r="S60" s="6"/>
      <c r="T60" s="6"/>
    </row>
    <row r="61" spans="1:20">
      <c r="A61" s="7">
        <v>46216</v>
      </c>
      <c r="B61" s="8">
        <v>46229</v>
      </c>
      <c r="C61" s="9">
        <v>14</v>
      </c>
      <c r="D61" s="10" t="s">
        <v>2352</v>
      </c>
      <c r="E61" s="10" t="s">
        <v>225</v>
      </c>
      <c r="F61" s="9"/>
      <c r="G61" s="9">
        <v>3</v>
      </c>
      <c r="H61" s="9">
        <v>1</v>
      </c>
      <c r="I61" s="9">
        <v>0</v>
      </c>
      <c r="J61" s="11">
        <v>0.33333333333333298</v>
      </c>
      <c r="K61" s="24">
        <v>16.62</v>
      </c>
      <c r="L61" s="24">
        <v>16.62</v>
      </c>
      <c r="M61" s="24">
        <v>232.68</v>
      </c>
      <c r="N61" s="9">
        <v>3</v>
      </c>
      <c r="O61" s="9">
        <v>4</v>
      </c>
      <c r="P61" s="9">
        <v>2</v>
      </c>
      <c r="Q61" s="11">
        <v>1.3333333333333299</v>
      </c>
      <c r="R61" s="10" t="s">
        <v>177</v>
      </c>
      <c r="S61" s="6"/>
      <c r="T61" s="6"/>
    </row>
    <row r="62" spans="1:20">
      <c r="A62" s="7">
        <v>46216</v>
      </c>
      <c r="B62" s="8">
        <v>46229</v>
      </c>
      <c r="C62" s="9">
        <v>14</v>
      </c>
      <c r="D62" s="10" t="s">
        <v>2352</v>
      </c>
      <c r="E62" s="10" t="s">
        <v>2168</v>
      </c>
      <c r="F62" s="9"/>
      <c r="G62" s="9">
        <v>2</v>
      </c>
      <c r="H62" s="9">
        <v>2</v>
      </c>
      <c r="I62" s="9">
        <v>0</v>
      </c>
      <c r="J62" s="11">
        <v>1</v>
      </c>
      <c r="K62" s="24">
        <v>6.74</v>
      </c>
      <c r="L62" s="24">
        <v>13.48</v>
      </c>
      <c r="M62" s="24">
        <v>188.72</v>
      </c>
      <c r="N62" s="9">
        <v>2</v>
      </c>
      <c r="O62" s="9">
        <v>4</v>
      </c>
      <c r="P62" s="9">
        <v>2</v>
      </c>
      <c r="Q62" s="11">
        <v>2</v>
      </c>
      <c r="R62" s="10" t="s">
        <v>177</v>
      </c>
      <c r="S62" s="6"/>
      <c r="T62" s="6"/>
    </row>
    <row r="63" spans="1:20">
      <c r="A63" s="7">
        <v>46216</v>
      </c>
      <c r="B63" s="8">
        <v>46229</v>
      </c>
      <c r="C63" s="9">
        <v>14</v>
      </c>
      <c r="D63" s="10" t="s">
        <v>2352</v>
      </c>
      <c r="E63" s="10" t="s">
        <v>191</v>
      </c>
      <c r="F63" s="9"/>
      <c r="G63" s="9">
        <v>5</v>
      </c>
      <c r="H63" s="9">
        <v>0</v>
      </c>
      <c r="I63" s="9">
        <v>0</v>
      </c>
      <c r="J63" s="11">
        <v>0</v>
      </c>
      <c r="K63" s="24">
        <v>8.3000000000000007</v>
      </c>
      <c r="L63" s="24">
        <v>0</v>
      </c>
      <c r="M63" s="24">
        <v>0</v>
      </c>
      <c r="N63" s="9">
        <v>5</v>
      </c>
      <c r="O63" s="9">
        <v>5</v>
      </c>
      <c r="P63" s="9">
        <v>1</v>
      </c>
      <c r="Q63" s="11">
        <v>1</v>
      </c>
      <c r="R63" s="10" t="s">
        <v>3449</v>
      </c>
      <c r="S63" s="6"/>
      <c r="T63" s="6"/>
    </row>
    <row r="64" spans="1:20">
      <c r="A64" s="7">
        <v>46216</v>
      </c>
      <c r="B64" s="8">
        <v>46229</v>
      </c>
      <c r="C64" s="9">
        <v>14</v>
      </c>
      <c r="D64" s="10" t="s">
        <v>2352</v>
      </c>
      <c r="E64" s="10" t="s">
        <v>208</v>
      </c>
      <c r="F64" s="9"/>
      <c r="G64" s="9">
        <v>1</v>
      </c>
      <c r="H64" s="9">
        <v>0</v>
      </c>
      <c r="I64" s="9">
        <v>0</v>
      </c>
      <c r="J64" s="11">
        <v>0</v>
      </c>
      <c r="K64" s="24">
        <v>62.22</v>
      </c>
      <c r="L64" s="24">
        <v>0</v>
      </c>
      <c r="M64" s="24">
        <v>0</v>
      </c>
      <c r="N64" s="9">
        <v>1</v>
      </c>
      <c r="O64" s="9">
        <v>1</v>
      </c>
      <c r="P64" s="9">
        <v>1</v>
      </c>
      <c r="Q64" s="11">
        <v>1</v>
      </c>
      <c r="R64" s="10" t="s">
        <v>3449</v>
      </c>
      <c r="S64" s="6"/>
      <c r="T64" s="6"/>
    </row>
    <row r="65" spans="1:20">
      <c r="A65" s="7">
        <v>46216</v>
      </c>
      <c r="B65" s="8">
        <v>46229</v>
      </c>
      <c r="C65" s="9">
        <v>14</v>
      </c>
      <c r="D65" s="10" t="s">
        <v>2352</v>
      </c>
      <c r="E65" s="10" t="s">
        <v>1920</v>
      </c>
      <c r="F65" s="9"/>
      <c r="G65" s="9">
        <v>2</v>
      </c>
      <c r="H65" s="9">
        <v>0</v>
      </c>
      <c r="I65" s="9">
        <v>2</v>
      </c>
      <c r="J65" s="11">
        <v>0</v>
      </c>
      <c r="K65" s="24">
        <v>391.95</v>
      </c>
      <c r="L65" s="24">
        <v>0</v>
      </c>
      <c r="M65" s="24">
        <v>0</v>
      </c>
      <c r="N65" s="9">
        <v>0</v>
      </c>
      <c r="O65" s="9">
        <v>0</v>
      </c>
      <c r="P65" s="9">
        <v>0</v>
      </c>
      <c r="Q65" s="11">
        <v>0</v>
      </c>
      <c r="R65" s="10" t="s">
        <v>176</v>
      </c>
      <c r="S65" s="6"/>
      <c r="T65" s="6"/>
    </row>
    <row r="66" spans="1:20">
      <c r="A66" s="7">
        <v>46216</v>
      </c>
      <c r="B66" s="8">
        <v>46229</v>
      </c>
      <c r="C66" s="9">
        <v>14</v>
      </c>
      <c r="D66" s="10" t="s">
        <v>2352</v>
      </c>
      <c r="E66" s="10" t="s">
        <v>3768</v>
      </c>
      <c r="F66" s="9"/>
      <c r="G66" s="9">
        <v>1</v>
      </c>
      <c r="H66" s="9">
        <v>0</v>
      </c>
      <c r="I66" s="9">
        <v>1</v>
      </c>
      <c r="J66" s="11">
        <v>0</v>
      </c>
      <c r="K66" s="24">
        <v>29.09</v>
      </c>
      <c r="L66" s="24">
        <v>0</v>
      </c>
      <c r="M66" s="24">
        <v>0</v>
      </c>
      <c r="N66" s="9">
        <v>0</v>
      </c>
      <c r="O66" s="9">
        <v>0</v>
      </c>
      <c r="P66" s="9">
        <v>0</v>
      </c>
      <c r="Q66" s="11">
        <v>0</v>
      </c>
      <c r="R66" s="10" t="s">
        <v>176</v>
      </c>
      <c r="S66" s="6"/>
      <c r="T66" s="6"/>
    </row>
    <row r="67" spans="1:20">
      <c r="A67" s="7">
        <v>46216</v>
      </c>
      <c r="B67" s="8">
        <v>46229</v>
      </c>
      <c r="C67" s="9">
        <v>14</v>
      </c>
      <c r="D67" s="10" t="s">
        <v>2352</v>
      </c>
      <c r="E67" s="10" t="s">
        <v>209</v>
      </c>
      <c r="F67" s="9"/>
      <c r="G67" s="9">
        <v>1</v>
      </c>
      <c r="H67" s="9">
        <v>0</v>
      </c>
      <c r="I67" s="9">
        <v>0</v>
      </c>
      <c r="J67" s="11">
        <v>0</v>
      </c>
      <c r="K67" s="24">
        <v>13.48</v>
      </c>
      <c r="L67" s="24">
        <v>0</v>
      </c>
      <c r="M67" s="24">
        <v>0</v>
      </c>
      <c r="N67" s="9">
        <v>1</v>
      </c>
      <c r="O67" s="9">
        <v>1</v>
      </c>
      <c r="P67" s="9">
        <v>1</v>
      </c>
      <c r="Q67" s="11">
        <v>1</v>
      </c>
      <c r="R67" s="10" t="s">
        <v>3449</v>
      </c>
      <c r="S67" s="6"/>
      <c r="T67" s="6"/>
    </row>
    <row r="68" spans="1:20">
      <c r="A68" s="7">
        <v>46216</v>
      </c>
      <c r="B68" s="8">
        <v>46229</v>
      </c>
      <c r="C68" s="9">
        <v>14</v>
      </c>
      <c r="D68" s="10" t="s">
        <v>2352</v>
      </c>
      <c r="E68" s="10" t="s">
        <v>158</v>
      </c>
      <c r="F68" s="9"/>
      <c r="G68" s="9">
        <v>1</v>
      </c>
      <c r="H68" s="9">
        <v>0</v>
      </c>
      <c r="I68" s="9">
        <v>0</v>
      </c>
      <c r="J68" s="11">
        <v>0</v>
      </c>
      <c r="K68" s="24">
        <v>25.1</v>
      </c>
      <c r="L68" s="24">
        <v>0</v>
      </c>
      <c r="M68" s="24">
        <v>0</v>
      </c>
      <c r="N68" s="9">
        <v>1</v>
      </c>
      <c r="O68" s="9">
        <v>1</v>
      </c>
      <c r="P68" s="9">
        <v>1</v>
      </c>
      <c r="Q68" s="11">
        <v>1</v>
      </c>
      <c r="R68" s="10" t="s">
        <v>3449</v>
      </c>
      <c r="S68" s="6"/>
      <c r="T68" s="6"/>
    </row>
    <row r="69" spans="1:20">
      <c r="A69" s="7">
        <v>46216</v>
      </c>
      <c r="B69" s="8">
        <v>46229</v>
      </c>
      <c r="C69" s="9">
        <v>14</v>
      </c>
      <c r="D69" s="10" t="s">
        <v>2352</v>
      </c>
      <c r="E69" s="10" t="s">
        <v>1939</v>
      </c>
      <c r="F69" s="9"/>
      <c r="G69" s="9">
        <v>1</v>
      </c>
      <c r="H69" s="9">
        <v>0</v>
      </c>
      <c r="I69" s="9">
        <v>0</v>
      </c>
      <c r="J69" s="11">
        <v>0</v>
      </c>
      <c r="K69" s="24">
        <v>17.64</v>
      </c>
      <c r="L69" s="24">
        <v>0</v>
      </c>
      <c r="M69" s="24">
        <v>0</v>
      </c>
      <c r="N69" s="9">
        <v>1</v>
      </c>
      <c r="O69" s="9">
        <v>1</v>
      </c>
      <c r="P69" s="9">
        <v>1</v>
      </c>
      <c r="Q69" s="11">
        <v>1</v>
      </c>
      <c r="R69" s="10" t="s">
        <v>3449</v>
      </c>
      <c r="S69" s="6"/>
      <c r="T69" s="6"/>
    </row>
    <row r="70" spans="1:20">
      <c r="A70" s="7">
        <v>46216</v>
      </c>
      <c r="B70" s="8">
        <v>46229</v>
      </c>
      <c r="C70" s="9">
        <v>14</v>
      </c>
      <c r="D70" s="10" t="s">
        <v>2352</v>
      </c>
      <c r="E70" s="10" t="s">
        <v>1941</v>
      </c>
      <c r="F70" s="9"/>
      <c r="G70" s="9">
        <v>1</v>
      </c>
      <c r="H70" s="9">
        <v>0</v>
      </c>
      <c r="I70" s="9">
        <v>0</v>
      </c>
      <c r="J70" s="11">
        <v>0</v>
      </c>
      <c r="K70" s="24">
        <v>2.72</v>
      </c>
      <c r="L70" s="24">
        <v>0</v>
      </c>
      <c r="M70" s="24">
        <v>0</v>
      </c>
      <c r="N70" s="9">
        <v>1</v>
      </c>
      <c r="O70" s="9">
        <v>1</v>
      </c>
      <c r="P70" s="9">
        <v>1</v>
      </c>
      <c r="Q70" s="11">
        <v>1</v>
      </c>
      <c r="R70" s="10" t="s">
        <v>3449</v>
      </c>
      <c r="S70" s="6"/>
      <c r="T70" s="6"/>
    </row>
    <row r="71" spans="1:20">
      <c r="A71" s="7">
        <v>46216</v>
      </c>
      <c r="B71" s="8">
        <v>46229</v>
      </c>
      <c r="C71" s="9">
        <v>14</v>
      </c>
      <c r="D71" s="10" t="s">
        <v>2352</v>
      </c>
      <c r="E71" s="10" t="s">
        <v>1942</v>
      </c>
      <c r="F71" s="9"/>
      <c r="G71" s="9">
        <v>1</v>
      </c>
      <c r="H71" s="9">
        <v>0</v>
      </c>
      <c r="I71" s="9">
        <v>0</v>
      </c>
      <c r="J71" s="11">
        <v>0</v>
      </c>
      <c r="K71" s="24">
        <v>3.88</v>
      </c>
      <c r="L71" s="24">
        <v>0</v>
      </c>
      <c r="M71" s="24">
        <v>0</v>
      </c>
      <c r="N71" s="9">
        <v>1</v>
      </c>
      <c r="O71" s="9">
        <v>1</v>
      </c>
      <c r="P71" s="9">
        <v>1</v>
      </c>
      <c r="Q71" s="11">
        <v>1</v>
      </c>
      <c r="R71" s="10" t="s">
        <v>3449</v>
      </c>
      <c r="S71" s="6"/>
      <c r="T71" s="6"/>
    </row>
    <row r="72" spans="1:20">
      <c r="A72" s="7">
        <v>46216</v>
      </c>
      <c r="B72" s="8">
        <v>46229</v>
      </c>
      <c r="C72" s="9">
        <v>14</v>
      </c>
      <c r="D72" s="10" t="s">
        <v>2352</v>
      </c>
      <c r="E72" s="10" t="s">
        <v>1943</v>
      </c>
      <c r="F72" s="9"/>
      <c r="G72" s="9">
        <v>1</v>
      </c>
      <c r="H72" s="9">
        <v>0</v>
      </c>
      <c r="I72" s="9">
        <v>0</v>
      </c>
      <c r="J72" s="11">
        <v>0</v>
      </c>
      <c r="K72" s="24">
        <v>3.88</v>
      </c>
      <c r="L72" s="24">
        <v>0</v>
      </c>
      <c r="M72" s="24">
        <v>0</v>
      </c>
      <c r="N72" s="9">
        <v>1</v>
      </c>
      <c r="O72" s="9">
        <v>1</v>
      </c>
      <c r="P72" s="9">
        <v>1</v>
      </c>
      <c r="Q72" s="11">
        <v>1</v>
      </c>
      <c r="R72" s="10" t="s">
        <v>3449</v>
      </c>
      <c r="S72" s="6"/>
      <c r="T72" s="6"/>
    </row>
    <row r="73" spans="1:20">
      <c r="A73" s="7">
        <v>46216</v>
      </c>
      <c r="B73" s="8">
        <v>46229</v>
      </c>
      <c r="C73" s="9">
        <v>14</v>
      </c>
      <c r="D73" s="10" t="s">
        <v>2352</v>
      </c>
      <c r="E73" s="10" t="s">
        <v>226</v>
      </c>
      <c r="F73" s="9"/>
      <c r="G73" s="9">
        <v>6</v>
      </c>
      <c r="H73" s="9">
        <v>0</v>
      </c>
      <c r="I73" s="9">
        <v>0</v>
      </c>
      <c r="J73" s="11">
        <v>0</v>
      </c>
      <c r="K73" s="24">
        <v>9.33</v>
      </c>
      <c r="L73" s="24">
        <v>0</v>
      </c>
      <c r="M73" s="24">
        <v>0</v>
      </c>
      <c r="N73" s="9">
        <v>6</v>
      </c>
      <c r="O73" s="9">
        <v>6</v>
      </c>
      <c r="P73" s="9">
        <v>1</v>
      </c>
      <c r="Q73" s="11">
        <v>1</v>
      </c>
      <c r="R73" s="10" t="s">
        <v>3449</v>
      </c>
      <c r="S73" s="6"/>
      <c r="T73" s="6"/>
    </row>
    <row r="74" spans="1:20">
      <c r="A74" s="7">
        <v>46216</v>
      </c>
      <c r="B74" s="8">
        <v>46229</v>
      </c>
      <c r="C74" s="9">
        <v>14</v>
      </c>
      <c r="D74" s="10" t="s">
        <v>2352</v>
      </c>
      <c r="E74" s="10" t="s">
        <v>232</v>
      </c>
      <c r="F74" s="9"/>
      <c r="G74" s="9">
        <v>2</v>
      </c>
      <c r="H74" s="9">
        <v>0</v>
      </c>
      <c r="I74" s="9">
        <v>0</v>
      </c>
      <c r="J74" s="11">
        <v>0</v>
      </c>
      <c r="K74" s="24">
        <v>46.66</v>
      </c>
      <c r="L74" s="24">
        <v>0</v>
      </c>
      <c r="M74" s="24">
        <v>0</v>
      </c>
      <c r="N74" s="9">
        <v>2</v>
      </c>
      <c r="O74" s="9">
        <v>2</v>
      </c>
      <c r="P74" s="9">
        <v>1</v>
      </c>
      <c r="Q74" s="11">
        <v>1</v>
      </c>
      <c r="R74" s="10" t="s">
        <v>3449</v>
      </c>
      <c r="S74" s="6"/>
      <c r="T74" s="6"/>
    </row>
    <row r="75" spans="1:20">
      <c r="A75" s="7">
        <v>46216</v>
      </c>
      <c r="B75" s="8">
        <v>46229</v>
      </c>
      <c r="C75" s="9">
        <v>14</v>
      </c>
      <c r="D75" s="10" t="s">
        <v>2352</v>
      </c>
      <c r="E75" s="10" t="s">
        <v>710</v>
      </c>
      <c r="F75" s="9"/>
      <c r="G75" s="9">
        <v>1</v>
      </c>
      <c r="H75" s="9">
        <v>0</v>
      </c>
      <c r="I75" s="9">
        <v>0</v>
      </c>
      <c r="J75" s="11">
        <v>0</v>
      </c>
      <c r="K75" s="24">
        <v>67.41</v>
      </c>
      <c r="L75" s="24">
        <v>0</v>
      </c>
      <c r="M75" s="24">
        <v>0</v>
      </c>
      <c r="N75" s="9">
        <v>5</v>
      </c>
      <c r="O75" s="9">
        <v>1</v>
      </c>
      <c r="P75" s="9">
        <v>3</v>
      </c>
      <c r="Q75" s="11">
        <v>1</v>
      </c>
      <c r="R75" s="10" t="s">
        <v>3449</v>
      </c>
      <c r="S75" s="6"/>
      <c r="T75" s="6"/>
    </row>
    <row r="76" spans="1:20">
      <c r="A76" s="7">
        <v>46216</v>
      </c>
      <c r="B76" s="8">
        <v>46229</v>
      </c>
      <c r="C76" s="9">
        <v>14</v>
      </c>
      <c r="D76" s="10" t="s">
        <v>2352</v>
      </c>
      <c r="E76" s="10" t="s">
        <v>1966</v>
      </c>
      <c r="F76" s="9"/>
      <c r="G76" s="9">
        <v>1</v>
      </c>
      <c r="H76" s="9">
        <v>0</v>
      </c>
      <c r="I76" s="9">
        <v>0</v>
      </c>
      <c r="J76" s="11">
        <v>0</v>
      </c>
      <c r="K76" s="24">
        <v>77.78</v>
      </c>
      <c r="L76" s="24">
        <v>0</v>
      </c>
      <c r="M76" s="24">
        <v>0</v>
      </c>
      <c r="N76" s="9">
        <v>1</v>
      </c>
      <c r="O76" s="9">
        <v>1</v>
      </c>
      <c r="P76" s="9">
        <v>1</v>
      </c>
      <c r="Q76" s="11">
        <v>1</v>
      </c>
      <c r="R76" s="10" t="s">
        <v>3449</v>
      </c>
      <c r="S76" s="6"/>
      <c r="T76" s="6"/>
    </row>
    <row r="77" spans="1:20">
      <c r="A77" s="7">
        <v>46216</v>
      </c>
      <c r="B77" s="8">
        <v>46229</v>
      </c>
      <c r="C77" s="9">
        <v>14</v>
      </c>
      <c r="D77" s="10" t="s">
        <v>2352</v>
      </c>
      <c r="E77" s="10" t="s">
        <v>1967</v>
      </c>
      <c r="F77" s="9"/>
      <c r="G77" s="9">
        <v>1</v>
      </c>
      <c r="H77" s="9">
        <v>0</v>
      </c>
      <c r="I77" s="9">
        <v>1</v>
      </c>
      <c r="J77" s="11">
        <v>0</v>
      </c>
      <c r="K77" s="24">
        <v>357.77</v>
      </c>
      <c r="L77" s="24">
        <v>0</v>
      </c>
      <c r="M77" s="24">
        <v>0</v>
      </c>
      <c r="N77" s="9">
        <v>1</v>
      </c>
      <c r="O77" s="9">
        <v>1</v>
      </c>
      <c r="P77" s="9">
        <v>1</v>
      </c>
      <c r="Q77" s="11">
        <v>1</v>
      </c>
      <c r="R77" s="10" t="s">
        <v>3449</v>
      </c>
      <c r="S77" s="6"/>
      <c r="T77" s="6"/>
    </row>
    <row r="78" spans="1:20">
      <c r="A78" s="7">
        <v>46216</v>
      </c>
      <c r="B78" s="8">
        <v>46229</v>
      </c>
      <c r="C78" s="9">
        <v>14</v>
      </c>
      <c r="D78" s="10" t="s">
        <v>2352</v>
      </c>
      <c r="E78" s="10" t="s">
        <v>241</v>
      </c>
      <c r="F78" s="9"/>
      <c r="G78" s="9">
        <v>1</v>
      </c>
      <c r="H78" s="9">
        <v>0</v>
      </c>
      <c r="I78" s="9">
        <v>0</v>
      </c>
      <c r="J78" s="11">
        <v>0</v>
      </c>
      <c r="K78" s="24">
        <v>72.59</v>
      </c>
      <c r="L78" s="24">
        <v>0</v>
      </c>
      <c r="M78" s="24">
        <v>0</v>
      </c>
      <c r="N78" s="9">
        <v>1</v>
      </c>
      <c r="O78" s="9">
        <v>1</v>
      </c>
      <c r="P78" s="9">
        <v>1</v>
      </c>
      <c r="Q78" s="11">
        <v>1</v>
      </c>
      <c r="R78" s="10" t="s">
        <v>3449</v>
      </c>
      <c r="S78" s="6"/>
      <c r="T78" s="6"/>
    </row>
    <row r="79" spans="1:20">
      <c r="A79" s="7">
        <v>46216</v>
      </c>
      <c r="B79" s="8">
        <v>46229</v>
      </c>
      <c r="C79" s="9">
        <v>14</v>
      </c>
      <c r="D79" s="10" t="s">
        <v>2352</v>
      </c>
      <c r="E79" s="10" t="s">
        <v>1968</v>
      </c>
      <c r="F79" s="9"/>
      <c r="G79" s="9">
        <v>1</v>
      </c>
      <c r="H79" s="9">
        <v>0</v>
      </c>
      <c r="I79" s="9">
        <v>0</v>
      </c>
      <c r="J79" s="11">
        <v>0</v>
      </c>
      <c r="K79" s="24">
        <v>88.15</v>
      </c>
      <c r="L79" s="24">
        <v>0</v>
      </c>
      <c r="M79" s="24">
        <v>0</v>
      </c>
      <c r="N79" s="9">
        <v>1</v>
      </c>
      <c r="O79" s="9">
        <v>1</v>
      </c>
      <c r="P79" s="9">
        <v>1</v>
      </c>
      <c r="Q79" s="11">
        <v>1</v>
      </c>
      <c r="R79" s="10" t="s">
        <v>3449</v>
      </c>
      <c r="S79" s="6"/>
      <c r="T79" s="6"/>
    </row>
    <row r="80" spans="1:20">
      <c r="A80" s="7">
        <v>46216</v>
      </c>
      <c r="B80" s="8">
        <v>46229</v>
      </c>
      <c r="C80" s="9">
        <v>14</v>
      </c>
      <c r="D80" s="10" t="s">
        <v>2352</v>
      </c>
      <c r="E80" s="10" t="s">
        <v>247</v>
      </c>
      <c r="F80" s="9"/>
      <c r="G80" s="9">
        <v>1</v>
      </c>
      <c r="H80" s="9">
        <v>0</v>
      </c>
      <c r="I80" s="9">
        <v>0</v>
      </c>
      <c r="J80" s="11">
        <v>0</v>
      </c>
      <c r="K80" s="24">
        <v>26.68</v>
      </c>
      <c r="L80" s="24">
        <v>0</v>
      </c>
      <c r="M80" s="24">
        <v>0</v>
      </c>
      <c r="N80" s="9">
        <v>1</v>
      </c>
      <c r="O80" s="9">
        <v>1</v>
      </c>
      <c r="P80" s="9">
        <v>1</v>
      </c>
      <c r="Q80" s="11">
        <v>1</v>
      </c>
      <c r="R80" s="10" t="s">
        <v>3449</v>
      </c>
      <c r="S80" s="6"/>
      <c r="T80" s="6"/>
    </row>
    <row r="81" spans="1:20">
      <c r="A81" s="7">
        <v>46216</v>
      </c>
      <c r="B81" s="8">
        <v>46229</v>
      </c>
      <c r="C81" s="9">
        <v>14</v>
      </c>
      <c r="D81" s="10" t="s">
        <v>2352</v>
      </c>
      <c r="E81" s="10" t="s">
        <v>1982</v>
      </c>
      <c r="F81" s="9"/>
      <c r="G81" s="9">
        <v>2</v>
      </c>
      <c r="H81" s="9">
        <v>0</v>
      </c>
      <c r="I81" s="9">
        <v>0</v>
      </c>
      <c r="J81" s="11">
        <v>0</v>
      </c>
      <c r="K81" s="24">
        <v>18.670000000000002</v>
      </c>
      <c r="L81" s="24">
        <v>0</v>
      </c>
      <c r="M81" s="24">
        <v>0</v>
      </c>
      <c r="N81" s="9">
        <v>2</v>
      </c>
      <c r="O81" s="9">
        <v>2</v>
      </c>
      <c r="P81" s="9">
        <v>1</v>
      </c>
      <c r="Q81" s="11">
        <v>1</v>
      </c>
      <c r="R81" s="10" t="s">
        <v>3449</v>
      </c>
      <c r="S81" s="6"/>
      <c r="T81" s="6"/>
    </row>
    <row r="82" spans="1:20">
      <c r="A82" s="7">
        <v>46216</v>
      </c>
      <c r="B82" s="8">
        <v>46229</v>
      </c>
      <c r="C82" s="9">
        <v>14</v>
      </c>
      <c r="D82" s="10" t="s">
        <v>2352</v>
      </c>
      <c r="E82" s="10" t="s">
        <v>280</v>
      </c>
      <c r="F82" s="9"/>
      <c r="G82" s="9">
        <v>1</v>
      </c>
      <c r="H82" s="9">
        <v>0</v>
      </c>
      <c r="I82" s="9">
        <v>0</v>
      </c>
      <c r="J82" s="11">
        <v>0</v>
      </c>
      <c r="K82" s="24">
        <v>414.8</v>
      </c>
      <c r="L82" s="24">
        <v>0</v>
      </c>
      <c r="M82" s="24">
        <v>0</v>
      </c>
      <c r="N82" s="9">
        <v>1</v>
      </c>
      <c r="O82" s="9">
        <v>1</v>
      </c>
      <c r="P82" s="9">
        <v>1</v>
      </c>
      <c r="Q82" s="11">
        <v>1</v>
      </c>
      <c r="R82" s="10" t="s">
        <v>3449</v>
      </c>
      <c r="S82" s="6"/>
      <c r="T82" s="6"/>
    </row>
    <row r="83" spans="1:20">
      <c r="A83" s="7">
        <v>46216</v>
      </c>
      <c r="B83" s="8">
        <v>46229</v>
      </c>
      <c r="C83" s="9">
        <v>14</v>
      </c>
      <c r="D83" s="10" t="s">
        <v>2352</v>
      </c>
      <c r="E83" s="10" t="s">
        <v>293</v>
      </c>
      <c r="F83" s="9"/>
      <c r="G83" s="9">
        <v>2</v>
      </c>
      <c r="H83" s="9">
        <v>0</v>
      </c>
      <c r="I83" s="9">
        <v>0</v>
      </c>
      <c r="J83" s="11">
        <v>0</v>
      </c>
      <c r="K83" s="24">
        <v>57.03</v>
      </c>
      <c r="L83" s="24">
        <v>0</v>
      </c>
      <c r="M83" s="24">
        <v>0</v>
      </c>
      <c r="N83" s="9">
        <v>2</v>
      </c>
      <c r="O83" s="9">
        <v>2</v>
      </c>
      <c r="P83" s="9">
        <v>1</v>
      </c>
      <c r="Q83" s="11">
        <v>1</v>
      </c>
      <c r="R83" s="10" t="s">
        <v>3449</v>
      </c>
      <c r="S83" s="6"/>
      <c r="T83" s="6"/>
    </row>
    <row r="84" spans="1:20">
      <c r="A84" s="7">
        <v>46216</v>
      </c>
      <c r="B84" s="8">
        <v>46229</v>
      </c>
      <c r="C84" s="9">
        <v>14</v>
      </c>
      <c r="D84" s="10" t="s">
        <v>2352</v>
      </c>
      <c r="E84" s="10" t="s">
        <v>2008</v>
      </c>
      <c r="F84" s="9"/>
      <c r="G84" s="9">
        <v>1</v>
      </c>
      <c r="H84" s="9">
        <v>0</v>
      </c>
      <c r="I84" s="9">
        <v>0</v>
      </c>
      <c r="J84" s="11">
        <v>0</v>
      </c>
      <c r="K84" s="24">
        <v>149.5</v>
      </c>
      <c r="L84" s="24">
        <v>0</v>
      </c>
      <c r="M84" s="24">
        <v>0</v>
      </c>
      <c r="N84" s="9">
        <v>1</v>
      </c>
      <c r="O84" s="9">
        <v>1</v>
      </c>
      <c r="P84" s="9">
        <v>1</v>
      </c>
      <c r="Q84" s="11">
        <v>1</v>
      </c>
      <c r="R84" s="10" t="s">
        <v>3449</v>
      </c>
      <c r="S84" s="6"/>
      <c r="T84" s="6"/>
    </row>
    <row r="85" spans="1:20">
      <c r="A85" s="7">
        <v>46216</v>
      </c>
      <c r="B85" s="8">
        <v>46229</v>
      </c>
      <c r="C85" s="9">
        <v>14</v>
      </c>
      <c r="D85" s="10" t="s">
        <v>2352</v>
      </c>
      <c r="E85" s="10" t="s">
        <v>156</v>
      </c>
      <c r="F85" s="9"/>
      <c r="G85" s="9">
        <v>1</v>
      </c>
      <c r="H85" s="9">
        <v>0</v>
      </c>
      <c r="I85" s="9">
        <v>0</v>
      </c>
      <c r="J85" s="11">
        <v>0</v>
      </c>
      <c r="K85" s="24">
        <v>31.11</v>
      </c>
      <c r="L85" s="24">
        <v>0</v>
      </c>
      <c r="M85" s="24">
        <v>0</v>
      </c>
      <c r="N85" s="9">
        <v>1</v>
      </c>
      <c r="O85" s="9">
        <v>1</v>
      </c>
      <c r="P85" s="9">
        <v>1</v>
      </c>
      <c r="Q85" s="11">
        <v>1</v>
      </c>
      <c r="R85" s="10" t="s">
        <v>3449</v>
      </c>
      <c r="S85" s="6"/>
      <c r="T85" s="6"/>
    </row>
    <row r="86" spans="1:20">
      <c r="A86" s="7">
        <v>46216</v>
      </c>
      <c r="B86" s="8">
        <v>46229</v>
      </c>
      <c r="C86" s="9">
        <v>14</v>
      </c>
      <c r="D86" s="10" t="s">
        <v>2352</v>
      </c>
      <c r="E86" s="10" t="s">
        <v>2030</v>
      </c>
      <c r="F86" s="9"/>
      <c r="G86" s="9">
        <v>1</v>
      </c>
      <c r="H86" s="9">
        <v>0</v>
      </c>
      <c r="I86" s="9">
        <v>0</v>
      </c>
      <c r="J86" s="11">
        <v>0</v>
      </c>
      <c r="K86" s="24">
        <v>57.03</v>
      </c>
      <c r="L86" s="24">
        <v>0</v>
      </c>
      <c r="M86" s="24">
        <v>0</v>
      </c>
      <c r="N86" s="9">
        <v>1</v>
      </c>
      <c r="O86" s="9">
        <v>1</v>
      </c>
      <c r="P86" s="9">
        <v>1</v>
      </c>
      <c r="Q86" s="11">
        <v>1</v>
      </c>
      <c r="R86" s="10" t="s">
        <v>3449</v>
      </c>
      <c r="S86" s="6"/>
      <c r="T86" s="6"/>
    </row>
    <row r="87" spans="1:20">
      <c r="A87" s="7">
        <v>46216</v>
      </c>
      <c r="B87" s="8">
        <v>46229</v>
      </c>
      <c r="C87" s="9">
        <v>14</v>
      </c>
      <c r="D87" s="10" t="s">
        <v>2352</v>
      </c>
      <c r="E87" s="10" t="s">
        <v>2160</v>
      </c>
      <c r="F87" s="9"/>
      <c r="G87" s="9">
        <v>2</v>
      </c>
      <c r="H87" s="9">
        <v>0</v>
      </c>
      <c r="I87" s="9">
        <v>0</v>
      </c>
      <c r="J87" s="11">
        <v>0</v>
      </c>
      <c r="K87" s="24">
        <v>263.72000000000003</v>
      </c>
      <c r="L87" s="24">
        <v>0</v>
      </c>
      <c r="M87" s="24">
        <v>0</v>
      </c>
      <c r="N87" s="9">
        <v>2</v>
      </c>
      <c r="O87" s="9">
        <v>2</v>
      </c>
      <c r="P87" s="9">
        <v>1</v>
      </c>
      <c r="Q87" s="11">
        <v>1</v>
      </c>
      <c r="R87" s="10" t="s">
        <v>3449</v>
      </c>
      <c r="S87" s="6"/>
      <c r="T87" s="6"/>
    </row>
    <row r="88" spans="1:20">
      <c r="A88" s="7">
        <v>46216</v>
      </c>
      <c r="B88" s="8">
        <v>46229</v>
      </c>
      <c r="C88" s="9">
        <v>14</v>
      </c>
      <c r="D88" s="10" t="s">
        <v>2352</v>
      </c>
      <c r="E88" s="10" t="s">
        <v>2353</v>
      </c>
      <c r="F88" s="9"/>
      <c r="G88" s="9">
        <v>1</v>
      </c>
      <c r="H88" s="9">
        <v>0</v>
      </c>
      <c r="I88" s="9">
        <v>0</v>
      </c>
      <c r="J88" s="11">
        <v>0</v>
      </c>
      <c r="K88" s="24">
        <v>176.29</v>
      </c>
      <c r="L88" s="24">
        <v>0</v>
      </c>
      <c r="M88" s="24">
        <v>0</v>
      </c>
      <c r="N88" s="9">
        <v>1</v>
      </c>
      <c r="O88" s="9">
        <v>1</v>
      </c>
      <c r="P88" s="9">
        <v>1</v>
      </c>
      <c r="Q88" s="11">
        <v>1</v>
      </c>
      <c r="R88" s="10" t="s">
        <v>3449</v>
      </c>
      <c r="S88" s="6"/>
      <c r="T88" s="6"/>
    </row>
    <row r="89" spans="1:20">
      <c r="A89" s="7">
        <v>46216</v>
      </c>
      <c r="B89" s="8">
        <v>46229</v>
      </c>
      <c r="C89" s="9">
        <v>14</v>
      </c>
      <c r="D89" s="10" t="s">
        <v>2352</v>
      </c>
      <c r="E89" s="10" t="s">
        <v>2170</v>
      </c>
      <c r="F89" s="9"/>
      <c r="G89" s="9">
        <v>2</v>
      </c>
      <c r="H89" s="9">
        <v>0</v>
      </c>
      <c r="I89" s="9">
        <v>1</v>
      </c>
      <c r="J89" s="11">
        <v>0</v>
      </c>
      <c r="K89" s="24">
        <v>70.52</v>
      </c>
      <c r="L89" s="24">
        <v>0</v>
      </c>
      <c r="M89" s="24">
        <v>0</v>
      </c>
      <c r="N89" s="9">
        <v>2</v>
      </c>
      <c r="O89" s="9">
        <v>2</v>
      </c>
      <c r="P89" s="9">
        <v>1</v>
      </c>
      <c r="Q89" s="11">
        <v>1</v>
      </c>
      <c r="R89" s="10" t="s">
        <v>3449</v>
      </c>
      <c r="S89" s="6"/>
      <c r="T89" s="6"/>
    </row>
    <row r="90" spans="1:20">
      <c r="A90" s="7">
        <v>46216</v>
      </c>
      <c r="B90" s="8">
        <v>46229</v>
      </c>
      <c r="C90" s="9">
        <v>14</v>
      </c>
      <c r="D90" s="10" t="s">
        <v>2352</v>
      </c>
      <c r="E90" s="10" t="s">
        <v>2171</v>
      </c>
      <c r="F90" s="9"/>
      <c r="G90" s="9">
        <v>2</v>
      </c>
      <c r="H90" s="9">
        <v>0</v>
      </c>
      <c r="I90" s="9">
        <v>0</v>
      </c>
      <c r="J90" s="11">
        <v>0</v>
      </c>
      <c r="K90" s="24">
        <v>98.52</v>
      </c>
      <c r="L90" s="24">
        <v>0</v>
      </c>
      <c r="M90" s="24">
        <v>0</v>
      </c>
      <c r="N90" s="9">
        <v>2</v>
      </c>
      <c r="O90" s="9">
        <v>2</v>
      </c>
      <c r="P90" s="9">
        <v>1</v>
      </c>
      <c r="Q90" s="11">
        <v>1</v>
      </c>
      <c r="R90" s="10" t="s">
        <v>3449</v>
      </c>
      <c r="S90" s="6"/>
      <c r="T90" s="6"/>
    </row>
    <row r="91" spans="1:20">
      <c r="A91" s="7">
        <v>46216</v>
      </c>
      <c r="B91" s="8">
        <v>46229</v>
      </c>
      <c r="C91" s="9">
        <v>14</v>
      </c>
      <c r="D91" s="10" t="s">
        <v>2352</v>
      </c>
      <c r="E91" s="10" t="s">
        <v>2172</v>
      </c>
      <c r="F91" s="9"/>
      <c r="G91" s="9">
        <v>1</v>
      </c>
      <c r="H91" s="9">
        <v>0</v>
      </c>
      <c r="I91" s="9">
        <v>0</v>
      </c>
      <c r="J91" s="11">
        <v>0</v>
      </c>
      <c r="K91" s="24">
        <v>72.59</v>
      </c>
      <c r="L91" s="24">
        <v>0</v>
      </c>
      <c r="M91" s="24">
        <v>0</v>
      </c>
      <c r="N91" s="9">
        <v>1</v>
      </c>
      <c r="O91" s="9">
        <v>1</v>
      </c>
      <c r="P91" s="9">
        <v>1</v>
      </c>
      <c r="Q91" s="11">
        <v>1</v>
      </c>
      <c r="R91" s="10" t="s">
        <v>3449</v>
      </c>
      <c r="S91" s="6"/>
      <c r="T91" s="6"/>
    </row>
    <row r="92" spans="1:20">
      <c r="A92" s="7">
        <v>46216</v>
      </c>
      <c r="B92" s="8">
        <v>46229</v>
      </c>
      <c r="C92" s="9">
        <v>14</v>
      </c>
      <c r="D92" s="10" t="s">
        <v>2352</v>
      </c>
      <c r="E92" s="10" t="s">
        <v>3853</v>
      </c>
      <c r="F92" s="9"/>
      <c r="G92" s="9">
        <v>1</v>
      </c>
      <c r="H92" s="9">
        <v>0</v>
      </c>
      <c r="I92" s="9">
        <v>1</v>
      </c>
      <c r="J92" s="11">
        <v>0</v>
      </c>
      <c r="K92" s="24">
        <v>0</v>
      </c>
      <c r="L92" s="24">
        <v>0</v>
      </c>
      <c r="M92" s="24">
        <v>0</v>
      </c>
      <c r="N92" s="9">
        <v>0</v>
      </c>
      <c r="O92" s="9">
        <v>0</v>
      </c>
      <c r="P92" s="9">
        <v>0</v>
      </c>
      <c r="Q92" s="11">
        <v>0</v>
      </c>
      <c r="R92" s="10" t="s">
        <v>176</v>
      </c>
      <c r="S92" s="6"/>
      <c r="T92" s="6"/>
    </row>
    <row r="93" spans="1:20">
      <c r="A93" s="7">
        <v>46216</v>
      </c>
      <c r="B93" s="8">
        <v>46229</v>
      </c>
      <c r="C93" s="9">
        <v>14</v>
      </c>
      <c r="D93" s="10" t="s">
        <v>2352</v>
      </c>
      <c r="E93" s="10" t="s">
        <v>2173</v>
      </c>
      <c r="F93" s="9"/>
      <c r="G93" s="9">
        <v>1</v>
      </c>
      <c r="H93" s="9">
        <v>0</v>
      </c>
      <c r="I93" s="9">
        <v>1</v>
      </c>
      <c r="J93" s="11">
        <v>0</v>
      </c>
      <c r="K93" s="24">
        <v>72.59</v>
      </c>
      <c r="L93" s="24">
        <v>0</v>
      </c>
      <c r="M93" s="24">
        <v>0</v>
      </c>
      <c r="N93" s="9">
        <v>2</v>
      </c>
      <c r="O93" s="9">
        <v>1</v>
      </c>
      <c r="P93" s="9">
        <v>2</v>
      </c>
      <c r="Q93" s="11">
        <v>1</v>
      </c>
      <c r="R93" s="10" t="s">
        <v>3449</v>
      </c>
      <c r="S93" s="6"/>
      <c r="T93" s="6"/>
    </row>
    <row r="94" spans="1:20">
      <c r="A94" s="7">
        <v>46216</v>
      </c>
      <c r="B94" s="8">
        <v>46229</v>
      </c>
      <c r="C94" s="9">
        <v>14</v>
      </c>
      <c r="D94" s="10" t="s">
        <v>2352</v>
      </c>
      <c r="E94" s="10" t="s">
        <v>3126</v>
      </c>
      <c r="F94" s="9"/>
      <c r="G94" s="9">
        <v>1</v>
      </c>
      <c r="H94" s="9">
        <v>1</v>
      </c>
      <c r="I94" s="9">
        <v>0</v>
      </c>
      <c r="J94" s="11">
        <v>1</v>
      </c>
      <c r="K94" s="24">
        <v>0</v>
      </c>
      <c r="L94" s="24">
        <v>0</v>
      </c>
      <c r="M94" s="24">
        <v>0</v>
      </c>
      <c r="N94" s="9">
        <v>2</v>
      </c>
      <c r="O94" s="9">
        <v>1</v>
      </c>
      <c r="P94" s="9">
        <v>3</v>
      </c>
      <c r="Q94" s="11">
        <v>1</v>
      </c>
      <c r="R94" s="10" t="s">
        <v>177</v>
      </c>
      <c r="S94" s="6"/>
      <c r="T94" s="6"/>
    </row>
    <row r="95" spans="1:20">
      <c r="A95" s="7">
        <v>46216</v>
      </c>
      <c r="B95" s="8">
        <v>46229</v>
      </c>
      <c r="C95" s="9">
        <v>14</v>
      </c>
      <c r="D95" s="10" t="s">
        <v>2352</v>
      </c>
      <c r="E95" s="10" t="s">
        <v>3127</v>
      </c>
      <c r="F95" s="9"/>
      <c r="G95" s="9">
        <v>1</v>
      </c>
      <c r="H95" s="9">
        <v>1</v>
      </c>
      <c r="I95" s="9">
        <v>0</v>
      </c>
      <c r="J95" s="11">
        <v>1</v>
      </c>
      <c r="K95" s="24">
        <v>0</v>
      </c>
      <c r="L95" s="24">
        <v>0</v>
      </c>
      <c r="M95" s="24">
        <v>0</v>
      </c>
      <c r="N95" s="9">
        <v>2</v>
      </c>
      <c r="O95" s="9">
        <v>1</v>
      </c>
      <c r="P95" s="9">
        <v>3</v>
      </c>
      <c r="Q95" s="11">
        <v>1</v>
      </c>
      <c r="R95" s="10" t="s">
        <v>177</v>
      </c>
      <c r="S95" s="6"/>
      <c r="T95" s="6"/>
    </row>
    <row r="96" spans="1:20">
      <c r="A96" s="7">
        <v>46216</v>
      </c>
      <c r="B96" s="8">
        <v>46229</v>
      </c>
      <c r="C96" s="9">
        <v>14</v>
      </c>
      <c r="D96" s="10" t="s">
        <v>2352</v>
      </c>
      <c r="E96" s="10" t="s">
        <v>3128</v>
      </c>
      <c r="F96" s="9"/>
      <c r="G96" s="9">
        <v>1</v>
      </c>
      <c r="H96" s="9">
        <v>1</v>
      </c>
      <c r="I96" s="9">
        <v>0</v>
      </c>
      <c r="J96" s="11">
        <v>1</v>
      </c>
      <c r="K96" s="24">
        <v>0</v>
      </c>
      <c r="L96" s="24">
        <v>0</v>
      </c>
      <c r="M96" s="24">
        <v>0</v>
      </c>
      <c r="N96" s="9">
        <v>1</v>
      </c>
      <c r="O96" s="9">
        <v>1</v>
      </c>
      <c r="P96" s="9">
        <v>2</v>
      </c>
      <c r="Q96" s="11">
        <v>1</v>
      </c>
      <c r="R96" s="10" t="s">
        <v>177</v>
      </c>
      <c r="S96" s="6"/>
      <c r="T96" s="6"/>
    </row>
    <row r="97" spans="1:20">
      <c r="A97" s="7">
        <v>46216</v>
      </c>
      <c r="B97" s="8">
        <v>46229</v>
      </c>
      <c r="C97" s="9">
        <v>14</v>
      </c>
      <c r="D97" s="10" t="s">
        <v>2352</v>
      </c>
      <c r="E97" s="10" t="s">
        <v>3129</v>
      </c>
      <c r="F97" s="9"/>
      <c r="G97" s="9">
        <v>1</v>
      </c>
      <c r="H97" s="9">
        <v>1</v>
      </c>
      <c r="I97" s="9">
        <v>0</v>
      </c>
      <c r="J97" s="11">
        <v>1</v>
      </c>
      <c r="K97" s="24">
        <v>0</v>
      </c>
      <c r="L97" s="24">
        <v>0</v>
      </c>
      <c r="M97" s="24">
        <v>0</v>
      </c>
      <c r="N97" s="9">
        <v>2</v>
      </c>
      <c r="O97" s="9">
        <v>1</v>
      </c>
      <c r="P97" s="9">
        <v>3</v>
      </c>
      <c r="Q97" s="11">
        <v>1</v>
      </c>
      <c r="R97" s="10" t="s">
        <v>177</v>
      </c>
      <c r="S97" s="6"/>
      <c r="T97" s="6"/>
    </row>
    <row r="98" spans="1:20">
      <c r="A98" s="7">
        <v>46216</v>
      </c>
      <c r="B98" s="8">
        <v>46229</v>
      </c>
      <c r="C98" s="9">
        <v>14</v>
      </c>
      <c r="D98" s="10" t="s">
        <v>2352</v>
      </c>
      <c r="E98" s="10" t="s">
        <v>3130</v>
      </c>
      <c r="F98" s="9"/>
      <c r="G98" s="9">
        <v>1</v>
      </c>
      <c r="H98" s="9">
        <v>1</v>
      </c>
      <c r="I98" s="9">
        <v>0</v>
      </c>
      <c r="J98" s="11">
        <v>1</v>
      </c>
      <c r="K98" s="24">
        <v>0</v>
      </c>
      <c r="L98" s="24">
        <v>0</v>
      </c>
      <c r="M98" s="24">
        <v>0</v>
      </c>
      <c r="N98" s="9">
        <v>2</v>
      </c>
      <c r="O98" s="9">
        <v>1</v>
      </c>
      <c r="P98" s="9">
        <v>3</v>
      </c>
      <c r="Q98" s="11">
        <v>1</v>
      </c>
      <c r="R98" s="10" t="s">
        <v>177</v>
      </c>
      <c r="S98" s="6"/>
      <c r="T98" s="6"/>
    </row>
    <row r="99" spans="1:20">
      <c r="A99" s="7">
        <v>46216</v>
      </c>
      <c r="B99" s="8">
        <v>46229</v>
      </c>
      <c r="C99" s="9">
        <v>14</v>
      </c>
      <c r="D99" s="10" t="s">
        <v>2352</v>
      </c>
      <c r="E99" s="10" t="s">
        <v>3131</v>
      </c>
      <c r="F99" s="9"/>
      <c r="G99" s="9">
        <v>1</v>
      </c>
      <c r="H99" s="9">
        <v>1</v>
      </c>
      <c r="I99" s="9">
        <v>0</v>
      </c>
      <c r="J99" s="11">
        <v>1</v>
      </c>
      <c r="K99" s="24">
        <v>0</v>
      </c>
      <c r="L99" s="24">
        <v>0</v>
      </c>
      <c r="M99" s="24">
        <v>0</v>
      </c>
      <c r="N99" s="9">
        <v>2</v>
      </c>
      <c r="O99" s="9">
        <v>1</v>
      </c>
      <c r="P99" s="9">
        <v>3</v>
      </c>
      <c r="Q99" s="11">
        <v>1</v>
      </c>
      <c r="R99" s="10" t="s">
        <v>177</v>
      </c>
      <c r="S99" s="6"/>
      <c r="T99" s="6"/>
    </row>
    <row r="100" spans="1:20">
      <c r="A100" s="7">
        <v>46216</v>
      </c>
      <c r="B100" s="8">
        <v>46229</v>
      </c>
      <c r="C100" s="9">
        <v>14</v>
      </c>
      <c r="D100" s="10" t="s">
        <v>2352</v>
      </c>
      <c r="E100" s="10" t="s">
        <v>3132</v>
      </c>
      <c r="F100" s="9"/>
      <c r="G100" s="9">
        <v>1</v>
      </c>
      <c r="H100" s="9">
        <v>1</v>
      </c>
      <c r="I100" s="9">
        <v>0</v>
      </c>
      <c r="J100" s="11">
        <v>1</v>
      </c>
      <c r="K100" s="24">
        <v>0</v>
      </c>
      <c r="L100" s="24">
        <v>0</v>
      </c>
      <c r="M100" s="24">
        <v>0</v>
      </c>
      <c r="N100" s="9">
        <v>3</v>
      </c>
      <c r="O100" s="9">
        <v>1</v>
      </c>
      <c r="P100" s="9">
        <v>3</v>
      </c>
      <c r="Q100" s="11">
        <v>1</v>
      </c>
      <c r="R100" s="10" t="s">
        <v>177</v>
      </c>
      <c r="S100" s="6"/>
      <c r="T100" s="6"/>
    </row>
    <row r="101" spans="1:20">
      <c r="A101" s="7">
        <v>46216</v>
      </c>
      <c r="B101" s="8">
        <v>46229</v>
      </c>
      <c r="C101" s="9">
        <v>14</v>
      </c>
      <c r="D101" s="10" t="s">
        <v>2352</v>
      </c>
      <c r="E101" s="10" t="s">
        <v>3133</v>
      </c>
      <c r="F101" s="9"/>
      <c r="G101" s="9">
        <v>1</v>
      </c>
      <c r="H101" s="9">
        <v>1</v>
      </c>
      <c r="I101" s="9">
        <v>0</v>
      </c>
      <c r="J101" s="11">
        <v>1</v>
      </c>
      <c r="K101" s="24">
        <v>0</v>
      </c>
      <c r="L101" s="24">
        <v>0</v>
      </c>
      <c r="M101" s="24">
        <v>0</v>
      </c>
      <c r="N101" s="9">
        <v>3</v>
      </c>
      <c r="O101" s="9">
        <v>1</v>
      </c>
      <c r="P101" s="9">
        <v>3</v>
      </c>
      <c r="Q101" s="11">
        <v>1</v>
      </c>
      <c r="R101" s="10" t="s">
        <v>177</v>
      </c>
      <c r="S101" s="6"/>
      <c r="T101" s="6"/>
    </row>
    <row r="102" spans="1:20">
      <c r="A102" s="7">
        <v>46216</v>
      </c>
      <c r="B102" s="8">
        <v>46229</v>
      </c>
      <c r="C102" s="9">
        <v>14</v>
      </c>
      <c r="D102" s="10" t="s">
        <v>651</v>
      </c>
      <c r="E102" s="10" t="s">
        <v>161</v>
      </c>
      <c r="F102" s="9"/>
      <c r="G102" s="9">
        <v>25</v>
      </c>
      <c r="H102" s="9">
        <v>9</v>
      </c>
      <c r="I102" s="9">
        <v>16</v>
      </c>
      <c r="J102" s="11">
        <v>0.36</v>
      </c>
      <c r="K102" s="24">
        <v>7.34</v>
      </c>
      <c r="L102" s="24">
        <v>63.5</v>
      </c>
      <c r="M102" s="24">
        <v>889</v>
      </c>
      <c r="N102" s="9">
        <v>10</v>
      </c>
      <c r="O102" s="9">
        <v>11</v>
      </c>
      <c r="P102" s="9">
        <v>6</v>
      </c>
      <c r="Q102" s="11">
        <v>0.44</v>
      </c>
      <c r="R102" s="10" t="s">
        <v>3698</v>
      </c>
      <c r="S102" s="6"/>
      <c r="T102" s="6"/>
    </row>
    <row r="103" spans="1:20">
      <c r="A103" s="7">
        <v>46216</v>
      </c>
      <c r="B103" s="8">
        <v>46229</v>
      </c>
      <c r="C103" s="9">
        <v>14</v>
      </c>
      <c r="D103" s="10" t="s">
        <v>651</v>
      </c>
      <c r="E103" s="10" t="s">
        <v>57</v>
      </c>
      <c r="F103" s="9"/>
      <c r="G103" s="9">
        <v>36</v>
      </c>
      <c r="H103" s="9">
        <v>6</v>
      </c>
      <c r="I103" s="9">
        <v>30</v>
      </c>
      <c r="J103" s="11">
        <v>0.16666666666666699</v>
      </c>
      <c r="K103" s="24">
        <v>5.0556000000000001</v>
      </c>
      <c r="L103" s="24">
        <v>42</v>
      </c>
      <c r="M103" s="24">
        <v>588</v>
      </c>
      <c r="N103" s="9">
        <v>6</v>
      </c>
      <c r="O103" s="9">
        <v>10</v>
      </c>
      <c r="P103" s="9">
        <v>4</v>
      </c>
      <c r="Q103" s="11">
        <v>0.27777777777777801</v>
      </c>
      <c r="R103" s="10" t="s">
        <v>3698</v>
      </c>
      <c r="S103" s="6"/>
      <c r="T103" s="6"/>
    </row>
    <row r="104" spans="1:20">
      <c r="A104" s="7">
        <v>46216</v>
      </c>
      <c r="B104" s="8">
        <v>46229</v>
      </c>
      <c r="C104" s="9">
        <v>14</v>
      </c>
      <c r="D104" s="10" t="s">
        <v>651</v>
      </c>
      <c r="E104" s="10" t="s">
        <v>288</v>
      </c>
      <c r="F104" s="9"/>
      <c r="G104" s="9">
        <v>10</v>
      </c>
      <c r="H104" s="9">
        <v>6</v>
      </c>
      <c r="I104" s="9">
        <v>4</v>
      </c>
      <c r="J104" s="11">
        <v>0.6</v>
      </c>
      <c r="K104" s="24">
        <v>5</v>
      </c>
      <c r="L104" s="24">
        <v>30</v>
      </c>
      <c r="M104" s="24">
        <v>420</v>
      </c>
      <c r="N104" s="9">
        <v>7</v>
      </c>
      <c r="O104" s="9">
        <v>7</v>
      </c>
      <c r="P104" s="9">
        <v>5</v>
      </c>
      <c r="Q104" s="11">
        <v>0.7</v>
      </c>
      <c r="R104" s="10" t="s">
        <v>3449</v>
      </c>
      <c r="S104" s="6"/>
      <c r="T104" s="6"/>
    </row>
    <row r="105" spans="1:20">
      <c r="A105" s="7">
        <v>46216</v>
      </c>
      <c r="B105" s="8">
        <v>46229</v>
      </c>
      <c r="C105" s="9">
        <v>14</v>
      </c>
      <c r="D105" s="10" t="s">
        <v>651</v>
      </c>
      <c r="E105" s="10" t="s">
        <v>44</v>
      </c>
      <c r="F105" s="9"/>
      <c r="G105" s="9">
        <v>7</v>
      </c>
      <c r="H105" s="9">
        <v>5</v>
      </c>
      <c r="I105" s="9">
        <v>2</v>
      </c>
      <c r="J105" s="11">
        <v>0.71428571428571397</v>
      </c>
      <c r="K105" s="24">
        <v>5.5</v>
      </c>
      <c r="L105" s="24">
        <v>27.5</v>
      </c>
      <c r="M105" s="24">
        <v>385</v>
      </c>
      <c r="N105" s="9">
        <v>5</v>
      </c>
      <c r="O105" s="9">
        <v>5</v>
      </c>
      <c r="P105" s="9">
        <v>2</v>
      </c>
      <c r="Q105" s="11">
        <v>0.71428571428571397</v>
      </c>
      <c r="R105" s="10" t="s">
        <v>3449</v>
      </c>
      <c r="S105" s="6"/>
      <c r="T105" s="6"/>
    </row>
    <row r="106" spans="1:20">
      <c r="A106" s="7">
        <v>46216</v>
      </c>
      <c r="B106" s="8">
        <v>46229</v>
      </c>
      <c r="C106" s="9">
        <v>14</v>
      </c>
      <c r="D106" s="10" t="s">
        <v>651</v>
      </c>
      <c r="E106" s="10" t="s">
        <v>52</v>
      </c>
      <c r="F106" s="9"/>
      <c r="G106" s="9">
        <v>29</v>
      </c>
      <c r="H106" s="9">
        <v>10</v>
      </c>
      <c r="I106" s="9">
        <v>19</v>
      </c>
      <c r="J106" s="11">
        <v>0.34482758620689702</v>
      </c>
      <c r="K106" s="24">
        <v>2.5</v>
      </c>
      <c r="L106" s="24">
        <v>25</v>
      </c>
      <c r="M106" s="24">
        <v>350</v>
      </c>
      <c r="N106" s="9">
        <v>8</v>
      </c>
      <c r="O106" s="9">
        <v>10</v>
      </c>
      <c r="P106" s="9">
        <v>6</v>
      </c>
      <c r="Q106" s="11">
        <v>0.34482758620689702</v>
      </c>
      <c r="R106" s="10" t="s">
        <v>3698</v>
      </c>
      <c r="S106" s="6"/>
      <c r="T106" s="6"/>
    </row>
    <row r="107" spans="1:20">
      <c r="A107" s="7">
        <v>46216</v>
      </c>
      <c r="B107" s="8">
        <v>46229</v>
      </c>
      <c r="C107" s="9">
        <v>14</v>
      </c>
      <c r="D107" s="10" t="s">
        <v>651</v>
      </c>
      <c r="E107" s="10" t="s">
        <v>219</v>
      </c>
      <c r="F107" s="9"/>
      <c r="G107" s="9">
        <v>5</v>
      </c>
      <c r="H107" s="9">
        <v>3</v>
      </c>
      <c r="I107" s="9">
        <v>2</v>
      </c>
      <c r="J107" s="11">
        <v>0.6</v>
      </c>
      <c r="K107" s="24">
        <v>7.13</v>
      </c>
      <c r="L107" s="24">
        <v>21.39</v>
      </c>
      <c r="M107" s="24">
        <v>299.45999999999998</v>
      </c>
      <c r="N107" s="9">
        <v>3</v>
      </c>
      <c r="O107" s="9">
        <v>6</v>
      </c>
      <c r="P107" s="9">
        <v>2</v>
      </c>
      <c r="Q107" s="11">
        <v>1.2</v>
      </c>
      <c r="R107" s="10" t="s">
        <v>3449</v>
      </c>
      <c r="S107" s="6"/>
      <c r="T107" s="6"/>
    </row>
    <row r="108" spans="1:20">
      <c r="A108" s="7">
        <v>46216</v>
      </c>
      <c r="B108" s="8">
        <v>46229</v>
      </c>
      <c r="C108" s="9">
        <v>14</v>
      </c>
      <c r="D108" s="10" t="s">
        <v>651</v>
      </c>
      <c r="E108" s="10" t="s">
        <v>166</v>
      </c>
      <c r="F108" s="9"/>
      <c r="G108" s="9">
        <v>20</v>
      </c>
      <c r="H108" s="9">
        <v>4</v>
      </c>
      <c r="I108" s="9">
        <v>16</v>
      </c>
      <c r="J108" s="11">
        <v>0.2</v>
      </c>
      <c r="K108" s="24">
        <v>5</v>
      </c>
      <c r="L108" s="24">
        <v>20</v>
      </c>
      <c r="M108" s="24">
        <v>280</v>
      </c>
      <c r="N108" s="9">
        <v>6</v>
      </c>
      <c r="O108" s="9">
        <v>5</v>
      </c>
      <c r="P108" s="9">
        <v>2</v>
      </c>
      <c r="Q108" s="11">
        <v>0.25</v>
      </c>
      <c r="R108" s="10" t="s">
        <v>3698</v>
      </c>
      <c r="S108" s="6"/>
      <c r="T108" s="6"/>
    </row>
    <row r="109" spans="1:20">
      <c r="A109" s="7">
        <v>46216</v>
      </c>
      <c r="B109" s="8">
        <v>46229</v>
      </c>
      <c r="C109" s="9">
        <v>14</v>
      </c>
      <c r="D109" s="10" t="s">
        <v>651</v>
      </c>
      <c r="E109" s="10" t="s">
        <v>36</v>
      </c>
      <c r="F109" s="9"/>
      <c r="G109" s="9">
        <v>130</v>
      </c>
      <c r="H109" s="9">
        <v>15</v>
      </c>
      <c r="I109" s="9">
        <v>115</v>
      </c>
      <c r="J109" s="11">
        <v>0.115384615384615</v>
      </c>
      <c r="K109" s="24">
        <v>1</v>
      </c>
      <c r="L109" s="24">
        <v>15</v>
      </c>
      <c r="M109" s="24">
        <v>210</v>
      </c>
      <c r="N109" s="9">
        <v>14</v>
      </c>
      <c r="O109" s="9">
        <v>16</v>
      </c>
      <c r="P109" s="9">
        <v>7</v>
      </c>
      <c r="Q109" s="11">
        <v>0.123076923076923</v>
      </c>
      <c r="R109" s="10" t="s">
        <v>3075</v>
      </c>
      <c r="S109" s="6"/>
      <c r="T109" s="6"/>
    </row>
    <row r="110" spans="1:20">
      <c r="A110" s="7">
        <v>46216</v>
      </c>
      <c r="B110" s="8">
        <v>46229</v>
      </c>
      <c r="C110" s="9">
        <v>14</v>
      </c>
      <c r="D110" s="10" t="s">
        <v>651</v>
      </c>
      <c r="E110" s="10" t="s">
        <v>244</v>
      </c>
      <c r="F110" s="9"/>
      <c r="G110" s="9">
        <v>50</v>
      </c>
      <c r="H110" s="9">
        <v>2</v>
      </c>
      <c r="I110" s="9">
        <v>48</v>
      </c>
      <c r="J110" s="11">
        <v>0.04</v>
      </c>
      <c r="K110" s="24">
        <v>5</v>
      </c>
      <c r="L110" s="24">
        <v>10</v>
      </c>
      <c r="M110" s="24">
        <v>140</v>
      </c>
      <c r="N110" s="9">
        <v>2</v>
      </c>
      <c r="O110" s="9">
        <v>2</v>
      </c>
      <c r="P110" s="9">
        <v>2</v>
      </c>
      <c r="Q110" s="11">
        <v>0.04</v>
      </c>
      <c r="R110" s="10" t="s">
        <v>3075</v>
      </c>
      <c r="S110" s="6"/>
      <c r="T110" s="6"/>
    </row>
    <row r="111" spans="1:20">
      <c r="A111" s="7">
        <v>46216</v>
      </c>
      <c r="B111" s="8">
        <v>46229</v>
      </c>
      <c r="C111" s="9">
        <v>14</v>
      </c>
      <c r="D111" s="10" t="s">
        <v>651</v>
      </c>
      <c r="E111" s="10" t="s">
        <v>37</v>
      </c>
      <c r="F111" s="9"/>
      <c r="G111" s="9">
        <v>45</v>
      </c>
      <c r="H111" s="9">
        <v>6</v>
      </c>
      <c r="I111" s="9">
        <v>39</v>
      </c>
      <c r="J111" s="11">
        <v>0.133333333333333</v>
      </c>
      <c r="K111" s="24">
        <v>1.56</v>
      </c>
      <c r="L111" s="24">
        <v>9.36</v>
      </c>
      <c r="M111" s="24">
        <v>131.04</v>
      </c>
      <c r="N111" s="9">
        <v>6</v>
      </c>
      <c r="O111" s="9">
        <v>8</v>
      </c>
      <c r="P111" s="9">
        <v>4</v>
      </c>
      <c r="Q111" s="11">
        <v>0.17777777777777801</v>
      </c>
      <c r="R111" s="10" t="s">
        <v>3075</v>
      </c>
      <c r="S111" s="6"/>
      <c r="T111" s="6"/>
    </row>
    <row r="112" spans="1:20">
      <c r="A112" s="7">
        <v>46216</v>
      </c>
      <c r="B112" s="8">
        <v>46229</v>
      </c>
      <c r="C112" s="9">
        <v>14</v>
      </c>
      <c r="D112" s="10" t="s">
        <v>651</v>
      </c>
      <c r="E112" s="10" t="s">
        <v>3769</v>
      </c>
      <c r="F112" s="9"/>
      <c r="G112" s="9">
        <v>1</v>
      </c>
      <c r="H112" s="9">
        <v>1</v>
      </c>
      <c r="I112" s="9">
        <v>0</v>
      </c>
      <c r="J112" s="11">
        <v>1</v>
      </c>
      <c r="K112" s="24">
        <v>9.33</v>
      </c>
      <c r="L112" s="24">
        <v>9.33</v>
      </c>
      <c r="M112" s="24">
        <v>130.62</v>
      </c>
      <c r="N112" s="9">
        <v>1</v>
      </c>
      <c r="O112" s="9">
        <v>2</v>
      </c>
      <c r="P112" s="9">
        <v>2</v>
      </c>
      <c r="Q112" s="11">
        <v>2</v>
      </c>
      <c r="R112" s="10" t="s">
        <v>177</v>
      </c>
      <c r="S112" s="6"/>
      <c r="T112" s="6"/>
    </row>
    <row r="113" spans="1:20">
      <c r="A113" s="7">
        <v>46216</v>
      </c>
      <c r="B113" s="8">
        <v>46229</v>
      </c>
      <c r="C113" s="9">
        <v>14</v>
      </c>
      <c r="D113" s="10" t="s">
        <v>651</v>
      </c>
      <c r="E113" s="10" t="s">
        <v>93</v>
      </c>
      <c r="F113" s="9"/>
      <c r="G113" s="9">
        <v>31</v>
      </c>
      <c r="H113" s="9">
        <v>1</v>
      </c>
      <c r="I113" s="9">
        <v>30</v>
      </c>
      <c r="J113" s="11">
        <v>3.2258064516128997E-2</v>
      </c>
      <c r="K113" s="24">
        <v>7.13</v>
      </c>
      <c r="L113" s="24">
        <v>7.13</v>
      </c>
      <c r="M113" s="24">
        <v>99.82</v>
      </c>
      <c r="N113" s="9">
        <v>1</v>
      </c>
      <c r="O113" s="9">
        <v>1</v>
      </c>
      <c r="P113" s="9">
        <v>2</v>
      </c>
      <c r="Q113" s="11">
        <v>3.2258064516128997E-2</v>
      </c>
      <c r="R113" s="10" t="s">
        <v>3075</v>
      </c>
      <c r="S113" s="6"/>
      <c r="T113" s="6"/>
    </row>
    <row r="114" spans="1:20">
      <c r="A114" s="7">
        <v>46216</v>
      </c>
      <c r="B114" s="8">
        <v>46229</v>
      </c>
      <c r="C114" s="9">
        <v>14</v>
      </c>
      <c r="D114" s="10" t="s">
        <v>651</v>
      </c>
      <c r="E114" s="10" t="s">
        <v>190</v>
      </c>
      <c r="F114" s="9"/>
      <c r="G114" s="9">
        <v>4</v>
      </c>
      <c r="H114" s="9">
        <v>1</v>
      </c>
      <c r="I114" s="9">
        <v>3</v>
      </c>
      <c r="J114" s="11">
        <v>0.25</v>
      </c>
      <c r="K114" s="24">
        <v>6</v>
      </c>
      <c r="L114" s="24">
        <v>6</v>
      </c>
      <c r="M114" s="24">
        <v>84</v>
      </c>
      <c r="N114" s="9">
        <v>0</v>
      </c>
      <c r="O114" s="9">
        <v>1</v>
      </c>
      <c r="P114" s="9">
        <v>1</v>
      </c>
      <c r="Q114" s="11">
        <v>0.25</v>
      </c>
      <c r="R114" s="10" t="s">
        <v>176</v>
      </c>
      <c r="S114" s="6"/>
      <c r="T114" s="6"/>
    </row>
    <row r="115" spans="1:20">
      <c r="A115" s="7">
        <v>46216</v>
      </c>
      <c r="B115" s="8">
        <v>46229</v>
      </c>
      <c r="C115" s="9">
        <v>14</v>
      </c>
      <c r="D115" s="10" t="s">
        <v>651</v>
      </c>
      <c r="E115" s="10" t="s">
        <v>809</v>
      </c>
      <c r="F115" s="9"/>
      <c r="G115" s="9">
        <v>2</v>
      </c>
      <c r="H115" s="9">
        <v>1</v>
      </c>
      <c r="I115" s="9">
        <v>1</v>
      </c>
      <c r="J115" s="11">
        <v>0.5</v>
      </c>
      <c r="K115" s="24">
        <v>5</v>
      </c>
      <c r="L115" s="24">
        <v>5</v>
      </c>
      <c r="M115" s="24">
        <v>70</v>
      </c>
      <c r="N115" s="9">
        <v>1</v>
      </c>
      <c r="O115" s="9">
        <v>1</v>
      </c>
      <c r="P115" s="9">
        <v>2</v>
      </c>
      <c r="Q115" s="11">
        <v>0.5</v>
      </c>
      <c r="R115" s="10" t="s">
        <v>3698</v>
      </c>
      <c r="S115" s="6"/>
      <c r="T115" s="6"/>
    </row>
    <row r="116" spans="1:20">
      <c r="A116" s="7">
        <v>46216</v>
      </c>
      <c r="B116" s="8">
        <v>46229</v>
      </c>
      <c r="C116" s="9">
        <v>14</v>
      </c>
      <c r="D116" s="10" t="s">
        <v>651</v>
      </c>
      <c r="E116" s="10" t="s">
        <v>42</v>
      </c>
      <c r="F116" s="9"/>
      <c r="G116" s="9">
        <v>20</v>
      </c>
      <c r="H116" s="9">
        <v>1</v>
      </c>
      <c r="I116" s="9">
        <v>19</v>
      </c>
      <c r="J116" s="11">
        <v>0.05</v>
      </c>
      <c r="K116" s="24">
        <v>5</v>
      </c>
      <c r="L116" s="24">
        <v>5</v>
      </c>
      <c r="M116" s="24">
        <v>70</v>
      </c>
      <c r="N116" s="9">
        <v>1</v>
      </c>
      <c r="O116" s="9">
        <v>1</v>
      </c>
      <c r="P116" s="9">
        <v>2</v>
      </c>
      <c r="Q116" s="11">
        <v>0.05</v>
      </c>
      <c r="R116" s="10" t="s">
        <v>3075</v>
      </c>
      <c r="S116" s="6"/>
      <c r="T116" s="6"/>
    </row>
    <row r="117" spans="1:20">
      <c r="A117" s="7">
        <v>46216</v>
      </c>
      <c r="B117" s="8">
        <v>46229</v>
      </c>
      <c r="C117" s="9">
        <v>14</v>
      </c>
      <c r="D117" s="10" t="s">
        <v>651</v>
      </c>
      <c r="E117" s="10" t="s">
        <v>287</v>
      </c>
      <c r="F117" s="9"/>
      <c r="G117" s="9">
        <v>4</v>
      </c>
      <c r="H117" s="9">
        <v>1</v>
      </c>
      <c r="I117" s="9">
        <v>3</v>
      </c>
      <c r="J117" s="11">
        <v>0.25</v>
      </c>
      <c r="K117" s="24">
        <v>5</v>
      </c>
      <c r="L117" s="24">
        <v>5</v>
      </c>
      <c r="M117" s="24">
        <v>70</v>
      </c>
      <c r="N117" s="9">
        <v>1</v>
      </c>
      <c r="O117" s="9">
        <v>2</v>
      </c>
      <c r="P117" s="9">
        <v>2</v>
      </c>
      <c r="Q117" s="11">
        <v>0.5</v>
      </c>
      <c r="R117" s="10" t="s">
        <v>3698</v>
      </c>
      <c r="S117" s="6"/>
      <c r="T117" s="6"/>
    </row>
    <row r="118" spans="1:20">
      <c r="A118" s="7">
        <v>46216</v>
      </c>
      <c r="B118" s="8">
        <v>46229</v>
      </c>
      <c r="C118" s="9">
        <v>14</v>
      </c>
      <c r="D118" s="10" t="s">
        <v>651</v>
      </c>
      <c r="E118" s="10" t="s">
        <v>2004</v>
      </c>
      <c r="F118" s="9"/>
      <c r="G118" s="9">
        <v>1</v>
      </c>
      <c r="H118" s="9">
        <v>1</v>
      </c>
      <c r="I118" s="9">
        <v>0</v>
      </c>
      <c r="J118" s="11">
        <v>1</v>
      </c>
      <c r="K118" s="24">
        <v>5</v>
      </c>
      <c r="L118" s="24">
        <v>5</v>
      </c>
      <c r="M118" s="24">
        <v>70</v>
      </c>
      <c r="N118" s="9">
        <v>1</v>
      </c>
      <c r="O118" s="9">
        <v>1</v>
      </c>
      <c r="P118" s="9">
        <v>2</v>
      </c>
      <c r="Q118" s="11">
        <v>1</v>
      </c>
      <c r="R118" s="10" t="s">
        <v>177</v>
      </c>
      <c r="S118" s="6"/>
      <c r="T118" s="6"/>
    </row>
    <row r="119" spans="1:20">
      <c r="A119" s="7">
        <v>46216</v>
      </c>
      <c r="B119" s="8">
        <v>46229</v>
      </c>
      <c r="C119" s="9">
        <v>14</v>
      </c>
      <c r="D119" s="10" t="s">
        <v>651</v>
      </c>
      <c r="E119" s="10" t="s">
        <v>162</v>
      </c>
      <c r="F119" s="9"/>
      <c r="G119" s="9">
        <v>68</v>
      </c>
      <c r="H119" s="9">
        <v>4</v>
      </c>
      <c r="I119" s="9">
        <v>64</v>
      </c>
      <c r="J119" s="11">
        <v>5.8823529411764698E-2</v>
      </c>
      <c r="K119" s="24">
        <v>1</v>
      </c>
      <c r="L119" s="24">
        <v>4</v>
      </c>
      <c r="M119" s="24">
        <v>56</v>
      </c>
      <c r="N119" s="9">
        <v>18</v>
      </c>
      <c r="O119" s="9">
        <v>14</v>
      </c>
      <c r="P119" s="9">
        <v>10</v>
      </c>
      <c r="Q119" s="11">
        <v>0.20588235294117599</v>
      </c>
      <c r="R119" s="10" t="s">
        <v>3698</v>
      </c>
      <c r="S119" s="6"/>
      <c r="T119" s="6"/>
    </row>
    <row r="120" spans="1:20">
      <c r="A120" s="7">
        <v>46216</v>
      </c>
      <c r="B120" s="8">
        <v>46229</v>
      </c>
      <c r="C120" s="9">
        <v>14</v>
      </c>
      <c r="D120" s="10" t="s">
        <v>651</v>
      </c>
      <c r="E120" s="10" t="s">
        <v>34</v>
      </c>
      <c r="F120" s="9"/>
      <c r="G120" s="9">
        <v>62</v>
      </c>
      <c r="H120" s="9">
        <v>3</v>
      </c>
      <c r="I120" s="9">
        <v>59</v>
      </c>
      <c r="J120" s="11">
        <v>4.8387096774193603E-2</v>
      </c>
      <c r="K120" s="24">
        <v>1</v>
      </c>
      <c r="L120" s="24">
        <v>3</v>
      </c>
      <c r="M120" s="24">
        <v>42</v>
      </c>
      <c r="N120" s="9">
        <v>3</v>
      </c>
      <c r="O120" s="9">
        <v>3</v>
      </c>
      <c r="P120" s="9">
        <v>2</v>
      </c>
      <c r="Q120" s="11">
        <v>4.8387096774193603E-2</v>
      </c>
      <c r="R120" s="10" t="s">
        <v>3075</v>
      </c>
      <c r="S120" s="6"/>
      <c r="T120" s="6"/>
    </row>
    <row r="121" spans="1:20">
      <c r="A121" s="7">
        <v>46216</v>
      </c>
      <c r="B121" s="8">
        <v>46229</v>
      </c>
      <c r="C121" s="9">
        <v>14</v>
      </c>
      <c r="D121" s="10" t="s">
        <v>651</v>
      </c>
      <c r="E121" s="10" t="s">
        <v>1890</v>
      </c>
      <c r="F121" s="9"/>
      <c r="G121" s="9">
        <v>3</v>
      </c>
      <c r="H121" s="9">
        <v>1</v>
      </c>
      <c r="I121" s="9">
        <v>2</v>
      </c>
      <c r="J121" s="11">
        <v>0.33333333333333298</v>
      </c>
      <c r="K121" s="24">
        <v>1</v>
      </c>
      <c r="L121" s="24">
        <v>1</v>
      </c>
      <c r="M121" s="24">
        <v>14</v>
      </c>
      <c r="N121" s="9">
        <v>0</v>
      </c>
      <c r="O121" s="9">
        <v>1</v>
      </c>
      <c r="P121" s="9">
        <v>1</v>
      </c>
      <c r="Q121" s="11">
        <v>0.33333333333333298</v>
      </c>
      <c r="R121" s="10" t="s">
        <v>176</v>
      </c>
      <c r="S121" s="6"/>
      <c r="T121" s="6"/>
    </row>
    <row r="122" spans="1:20">
      <c r="A122" s="7">
        <v>46216</v>
      </c>
      <c r="B122" s="8">
        <v>46229</v>
      </c>
      <c r="C122" s="9">
        <v>14</v>
      </c>
      <c r="D122" s="10" t="s">
        <v>651</v>
      </c>
      <c r="E122" s="10" t="s">
        <v>164</v>
      </c>
      <c r="F122" s="9"/>
      <c r="G122" s="9">
        <v>80</v>
      </c>
      <c r="H122" s="9">
        <v>1</v>
      </c>
      <c r="I122" s="9">
        <v>79</v>
      </c>
      <c r="J122" s="11">
        <v>1.2500000000000001E-2</v>
      </c>
      <c r="K122" s="24">
        <v>1</v>
      </c>
      <c r="L122" s="24">
        <v>1</v>
      </c>
      <c r="M122" s="24">
        <v>14</v>
      </c>
      <c r="N122" s="9">
        <v>5</v>
      </c>
      <c r="O122" s="9">
        <v>5</v>
      </c>
      <c r="P122" s="9">
        <v>5</v>
      </c>
      <c r="Q122" s="11">
        <v>6.25E-2</v>
      </c>
      <c r="R122" s="10" t="s">
        <v>3075</v>
      </c>
      <c r="S122" s="6"/>
      <c r="T122" s="6"/>
    </row>
    <row r="123" spans="1:20">
      <c r="A123" s="7">
        <v>46216</v>
      </c>
      <c r="B123" s="8">
        <v>46229</v>
      </c>
      <c r="C123" s="9">
        <v>14</v>
      </c>
      <c r="D123" s="10" t="s">
        <v>651</v>
      </c>
      <c r="E123" s="10" t="s">
        <v>3770</v>
      </c>
      <c r="F123" s="9"/>
      <c r="G123" s="9">
        <v>3</v>
      </c>
      <c r="H123" s="9">
        <v>0</v>
      </c>
      <c r="I123" s="9">
        <v>3</v>
      </c>
      <c r="J123" s="11">
        <v>0</v>
      </c>
      <c r="K123" s="24">
        <v>9.33</v>
      </c>
      <c r="L123" s="24">
        <v>0</v>
      </c>
      <c r="M123" s="24">
        <v>0</v>
      </c>
      <c r="N123" s="9">
        <v>0</v>
      </c>
      <c r="O123" s="9">
        <v>0</v>
      </c>
      <c r="P123" s="9">
        <v>0</v>
      </c>
      <c r="Q123" s="11">
        <v>0</v>
      </c>
      <c r="R123" s="10" t="s">
        <v>176</v>
      </c>
      <c r="S123" s="6"/>
      <c r="T123" s="6"/>
    </row>
    <row r="124" spans="1:20">
      <c r="A124" s="7">
        <v>46216</v>
      </c>
      <c r="B124" s="8">
        <v>46229</v>
      </c>
      <c r="C124" s="9">
        <v>14</v>
      </c>
      <c r="D124" s="10" t="s">
        <v>651</v>
      </c>
      <c r="E124" s="10" t="s">
        <v>1891</v>
      </c>
      <c r="F124" s="9"/>
      <c r="G124" s="9">
        <v>7</v>
      </c>
      <c r="H124" s="9">
        <v>0</v>
      </c>
      <c r="I124" s="9">
        <v>7</v>
      </c>
      <c r="J124" s="11">
        <v>0</v>
      </c>
      <c r="K124" s="24">
        <v>1</v>
      </c>
      <c r="L124" s="24">
        <v>0</v>
      </c>
      <c r="M124" s="24">
        <v>0</v>
      </c>
      <c r="N124" s="9">
        <v>0</v>
      </c>
      <c r="O124" s="9">
        <v>0</v>
      </c>
      <c r="P124" s="9">
        <v>0</v>
      </c>
      <c r="Q124" s="11">
        <v>0</v>
      </c>
      <c r="R124" s="10" t="s">
        <v>176</v>
      </c>
      <c r="S124" s="6"/>
      <c r="T124" s="6"/>
    </row>
    <row r="125" spans="1:20">
      <c r="A125" s="7">
        <v>46216</v>
      </c>
      <c r="B125" s="8">
        <v>46229</v>
      </c>
      <c r="C125" s="9">
        <v>14</v>
      </c>
      <c r="D125" s="10" t="s">
        <v>651</v>
      </c>
      <c r="E125" s="10" t="s">
        <v>184</v>
      </c>
      <c r="F125" s="9"/>
      <c r="G125" s="9">
        <v>1</v>
      </c>
      <c r="H125" s="9">
        <v>0</v>
      </c>
      <c r="I125" s="9">
        <v>1</v>
      </c>
      <c r="J125" s="11">
        <v>0</v>
      </c>
      <c r="K125" s="24">
        <v>0</v>
      </c>
      <c r="L125" s="24">
        <v>0</v>
      </c>
      <c r="M125" s="24">
        <v>0</v>
      </c>
      <c r="N125" s="9">
        <v>0</v>
      </c>
      <c r="O125" s="9">
        <v>0</v>
      </c>
      <c r="P125" s="9">
        <v>0</v>
      </c>
      <c r="Q125" s="11">
        <v>0</v>
      </c>
      <c r="R125" s="10" t="s">
        <v>176</v>
      </c>
      <c r="S125" s="6"/>
      <c r="T125" s="6"/>
    </row>
    <row r="126" spans="1:20">
      <c r="A126" s="7">
        <v>46216</v>
      </c>
      <c r="B126" s="8">
        <v>46229</v>
      </c>
      <c r="C126" s="9">
        <v>14</v>
      </c>
      <c r="D126" s="10" t="s">
        <v>651</v>
      </c>
      <c r="E126" s="10" t="s">
        <v>3913</v>
      </c>
      <c r="F126" s="9"/>
      <c r="G126" s="9">
        <v>1</v>
      </c>
      <c r="H126" s="9">
        <v>0</v>
      </c>
      <c r="I126" s="9">
        <v>1</v>
      </c>
      <c r="J126" s="11">
        <v>0</v>
      </c>
      <c r="K126" s="24">
        <v>0</v>
      </c>
      <c r="L126" s="24">
        <v>0</v>
      </c>
      <c r="M126" s="24">
        <v>0</v>
      </c>
      <c r="N126" s="9">
        <v>0</v>
      </c>
      <c r="O126" s="9">
        <v>0</v>
      </c>
      <c r="P126" s="9">
        <v>0</v>
      </c>
      <c r="Q126" s="11">
        <v>0</v>
      </c>
      <c r="R126" s="10" t="s">
        <v>176</v>
      </c>
      <c r="S126" s="6"/>
      <c r="T126" s="6"/>
    </row>
    <row r="127" spans="1:20">
      <c r="A127" s="7">
        <v>46216</v>
      </c>
      <c r="B127" s="8">
        <v>46229</v>
      </c>
      <c r="C127" s="9">
        <v>14</v>
      </c>
      <c r="D127" s="10" t="s">
        <v>651</v>
      </c>
      <c r="E127" s="10" t="s">
        <v>1892</v>
      </c>
      <c r="F127" s="9"/>
      <c r="G127" s="9">
        <v>2</v>
      </c>
      <c r="H127" s="9">
        <v>0</v>
      </c>
      <c r="I127" s="9">
        <v>2</v>
      </c>
      <c r="J127" s="11">
        <v>0</v>
      </c>
      <c r="K127" s="24">
        <v>1</v>
      </c>
      <c r="L127" s="24">
        <v>0</v>
      </c>
      <c r="M127" s="24">
        <v>0</v>
      </c>
      <c r="N127" s="9">
        <v>0</v>
      </c>
      <c r="O127" s="9">
        <v>0</v>
      </c>
      <c r="P127" s="9">
        <v>0</v>
      </c>
      <c r="Q127" s="11">
        <v>0</v>
      </c>
      <c r="R127" s="10" t="s">
        <v>176</v>
      </c>
      <c r="S127" s="6"/>
      <c r="T127" s="6"/>
    </row>
    <row r="128" spans="1:20">
      <c r="A128" s="7">
        <v>46216</v>
      </c>
      <c r="B128" s="8">
        <v>46229</v>
      </c>
      <c r="C128" s="9">
        <v>14</v>
      </c>
      <c r="D128" s="10" t="s">
        <v>651</v>
      </c>
      <c r="E128" s="10" t="s">
        <v>185</v>
      </c>
      <c r="F128" s="9"/>
      <c r="G128" s="9">
        <v>4</v>
      </c>
      <c r="H128" s="9">
        <v>0</v>
      </c>
      <c r="I128" s="9">
        <v>4</v>
      </c>
      <c r="J128" s="11">
        <v>0</v>
      </c>
      <c r="K128" s="24">
        <v>5</v>
      </c>
      <c r="L128" s="24">
        <v>0</v>
      </c>
      <c r="M128" s="24">
        <v>0</v>
      </c>
      <c r="N128" s="9">
        <v>0</v>
      </c>
      <c r="O128" s="9">
        <v>0</v>
      </c>
      <c r="P128" s="9">
        <v>0</v>
      </c>
      <c r="Q128" s="11">
        <v>0</v>
      </c>
      <c r="R128" s="10" t="s">
        <v>176</v>
      </c>
      <c r="S128" s="6"/>
      <c r="T128" s="6"/>
    </row>
    <row r="129" spans="1:20">
      <c r="A129" s="7">
        <v>46216</v>
      </c>
      <c r="B129" s="8">
        <v>46229</v>
      </c>
      <c r="C129" s="9">
        <v>14</v>
      </c>
      <c r="D129" s="10" t="s">
        <v>651</v>
      </c>
      <c r="E129" s="10" t="s">
        <v>1908</v>
      </c>
      <c r="F129" s="9"/>
      <c r="G129" s="9">
        <v>2</v>
      </c>
      <c r="H129" s="9">
        <v>1</v>
      </c>
      <c r="I129" s="9">
        <v>1</v>
      </c>
      <c r="J129" s="11">
        <v>0.5</v>
      </c>
      <c r="K129" s="24">
        <v>0</v>
      </c>
      <c r="L129" s="24">
        <v>0</v>
      </c>
      <c r="M129" s="24">
        <v>0</v>
      </c>
      <c r="N129" s="9">
        <v>1</v>
      </c>
      <c r="O129" s="9">
        <v>1</v>
      </c>
      <c r="P129" s="9">
        <v>2</v>
      </c>
      <c r="Q129" s="11">
        <v>0.5</v>
      </c>
      <c r="R129" s="10" t="s">
        <v>3698</v>
      </c>
      <c r="S129" s="6"/>
      <c r="T129" s="6"/>
    </row>
    <row r="130" spans="1:20">
      <c r="A130" s="7">
        <v>46216</v>
      </c>
      <c r="B130" s="8">
        <v>46229</v>
      </c>
      <c r="C130" s="9">
        <v>14</v>
      </c>
      <c r="D130" s="10" t="s">
        <v>651</v>
      </c>
      <c r="E130" s="10" t="s">
        <v>1909</v>
      </c>
      <c r="F130" s="9"/>
      <c r="G130" s="9">
        <v>6</v>
      </c>
      <c r="H130" s="9">
        <v>2</v>
      </c>
      <c r="I130" s="9">
        <v>4</v>
      </c>
      <c r="J130" s="11">
        <v>0.33333333333333298</v>
      </c>
      <c r="K130" s="24">
        <v>0</v>
      </c>
      <c r="L130" s="24">
        <v>0</v>
      </c>
      <c r="M130" s="24">
        <v>0</v>
      </c>
      <c r="N130" s="9">
        <v>1</v>
      </c>
      <c r="O130" s="9">
        <v>2</v>
      </c>
      <c r="P130" s="9">
        <v>3</v>
      </c>
      <c r="Q130" s="11">
        <v>0.33333333333333298</v>
      </c>
      <c r="R130" s="10" t="s">
        <v>3698</v>
      </c>
      <c r="S130" s="6"/>
      <c r="T130" s="6"/>
    </row>
    <row r="131" spans="1:20">
      <c r="A131" s="7">
        <v>46216</v>
      </c>
      <c r="B131" s="8">
        <v>46229</v>
      </c>
      <c r="C131" s="9">
        <v>14</v>
      </c>
      <c r="D131" s="10" t="s">
        <v>651</v>
      </c>
      <c r="E131" s="10" t="s">
        <v>188</v>
      </c>
      <c r="F131" s="9"/>
      <c r="G131" s="9">
        <v>2</v>
      </c>
      <c r="H131" s="9">
        <v>0</v>
      </c>
      <c r="I131" s="9">
        <v>2</v>
      </c>
      <c r="J131" s="11">
        <v>0</v>
      </c>
      <c r="K131" s="24">
        <v>6</v>
      </c>
      <c r="L131" s="24">
        <v>0</v>
      </c>
      <c r="M131" s="24">
        <v>0</v>
      </c>
      <c r="N131" s="9">
        <v>0</v>
      </c>
      <c r="O131" s="9">
        <v>0</v>
      </c>
      <c r="P131" s="9">
        <v>0</v>
      </c>
      <c r="Q131" s="11">
        <v>0</v>
      </c>
      <c r="R131" s="10" t="s">
        <v>176</v>
      </c>
      <c r="S131" s="6"/>
      <c r="T131" s="6"/>
    </row>
    <row r="132" spans="1:20">
      <c r="A132" s="7">
        <v>46216</v>
      </c>
      <c r="B132" s="8">
        <v>46229</v>
      </c>
      <c r="C132" s="9">
        <v>14</v>
      </c>
      <c r="D132" s="10" t="s">
        <v>651</v>
      </c>
      <c r="E132" s="10" t="s">
        <v>1914</v>
      </c>
      <c r="F132" s="9"/>
      <c r="G132" s="9">
        <v>2</v>
      </c>
      <c r="H132" s="9">
        <v>0</v>
      </c>
      <c r="I132" s="9">
        <v>2</v>
      </c>
      <c r="J132" s="11">
        <v>0</v>
      </c>
      <c r="K132" s="24">
        <v>6</v>
      </c>
      <c r="L132" s="24">
        <v>0</v>
      </c>
      <c r="M132" s="24">
        <v>0</v>
      </c>
      <c r="N132" s="9">
        <v>0</v>
      </c>
      <c r="O132" s="9">
        <v>0</v>
      </c>
      <c r="P132" s="9">
        <v>0</v>
      </c>
      <c r="Q132" s="11">
        <v>0</v>
      </c>
      <c r="R132" s="10" t="s">
        <v>176</v>
      </c>
      <c r="S132" s="6"/>
      <c r="T132" s="6"/>
    </row>
    <row r="133" spans="1:20">
      <c r="A133" s="7">
        <v>46216</v>
      </c>
      <c r="B133" s="8">
        <v>46229</v>
      </c>
      <c r="C133" s="9">
        <v>14</v>
      </c>
      <c r="D133" s="10" t="s">
        <v>651</v>
      </c>
      <c r="E133" s="10" t="s">
        <v>1917</v>
      </c>
      <c r="F133" s="9"/>
      <c r="G133" s="9">
        <v>1</v>
      </c>
      <c r="H133" s="9">
        <v>0</v>
      </c>
      <c r="I133" s="9">
        <v>1</v>
      </c>
      <c r="J133" s="11">
        <v>0</v>
      </c>
      <c r="K133" s="24">
        <v>0</v>
      </c>
      <c r="L133" s="24">
        <v>0</v>
      </c>
      <c r="M133" s="24">
        <v>0</v>
      </c>
      <c r="N133" s="9">
        <v>0</v>
      </c>
      <c r="O133" s="9">
        <v>0</v>
      </c>
      <c r="P133" s="9">
        <v>0</v>
      </c>
      <c r="Q133" s="11">
        <v>0</v>
      </c>
      <c r="R133" s="10" t="s">
        <v>176</v>
      </c>
      <c r="S133" s="6"/>
      <c r="T133" s="6"/>
    </row>
    <row r="134" spans="1:20">
      <c r="A134" s="7">
        <v>46216</v>
      </c>
      <c r="B134" s="8">
        <v>46229</v>
      </c>
      <c r="C134" s="9">
        <v>14</v>
      </c>
      <c r="D134" s="10" t="s">
        <v>651</v>
      </c>
      <c r="E134" s="10" t="s">
        <v>33</v>
      </c>
      <c r="F134" s="9"/>
      <c r="G134" s="9">
        <v>7</v>
      </c>
      <c r="H134" s="9">
        <v>0</v>
      </c>
      <c r="I134" s="9">
        <v>7</v>
      </c>
      <c r="J134" s="11">
        <v>0</v>
      </c>
      <c r="K134" s="24">
        <v>7.13</v>
      </c>
      <c r="L134" s="24">
        <v>0</v>
      </c>
      <c r="M134" s="24">
        <v>0</v>
      </c>
      <c r="N134" s="9">
        <v>0</v>
      </c>
      <c r="O134" s="9">
        <v>0</v>
      </c>
      <c r="P134" s="9">
        <v>0</v>
      </c>
      <c r="Q134" s="11">
        <v>0</v>
      </c>
      <c r="R134" s="10" t="s">
        <v>176</v>
      </c>
      <c r="S134" s="6"/>
      <c r="T134" s="6"/>
    </row>
    <row r="135" spans="1:20">
      <c r="A135" s="7">
        <v>46216</v>
      </c>
      <c r="B135" s="8">
        <v>46229</v>
      </c>
      <c r="C135" s="9">
        <v>14</v>
      </c>
      <c r="D135" s="10" t="s">
        <v>651</v>
      </c>
      <c r="E135" s="10" t="s">
        <v>220</v>
      </c>
      <c r="F135" s="9"/>
      <c r="G135" s="9">
        <v>12</v>
      </c>
      <c r="H135" s="9">
        <v>0</v>
      </c>
      <c r="I135" s="9">
        <v>12</v>
      </c>
      <c r="J135" s="11">
        <v>0</v>
      </c>
      <c r="K135" s="24">
        <v>7.13</v>
      </c>
      <c r="L135" s="24">
        <v>0</v>
      </c>
      <c r="M135" s="24">
        <v>0</v>
      </c>
      <c r="N135" s="9">
        <v>0</v>
      </c>
      <c r="O135" s="9">
        <v>0</v>
      </c>
      <c r="P135" s="9">
        <v>0</v>
      </c>
      <c r="Q135" s="11">
        <v>0</v>
      </c>
      <c r="R135" s="10" t="s">
        <v>176</v>
      </c>
      <c r="S135" s="6"/>
      <c r="T135" s="6"/>
    </row>
    <row r="136" spans="1:20">
      <c r="A136" s="7">
        <v>46216</v>
      </c>
      <c r="B136" s="8">
        <v>46229</v>
      </c>
      <c r="C136" s="9">
        <v>14</v>
      </c>
      <c r="D136" s="10" t="s">
        <v>651</v>
      </c>
      <c r="E136" s="10" t="s">
        <v>824</v>
      </c>
      <c r="F136" s="9"/>
      <c r="G136" s="9">
        <v>1</v>
      </c>
      <c r="H136" s="9">
        <v>0</v>
      </c>
      <c r="I136" s="9">
        <v>1</v>
      </c>
      <c r="J136" s="11">
        <v>0</v>
      </c>
      <c r="K136" s="24">
        <v>5</v>
      </c>
      <c r="L136" s="24">
        <v>0</v>
      </c>
      <c r="M136" s="24">
        <v>0</v>
      </c>
      <c r="N136" s="9">
        <v>0</v>
      </c>
      <c r="O136" s="9">
        <v>0</v>
      </c>
      <c r="P136" s="9">
        <v>0</v>
      </c>
      <c r="Q136" s="11">
        <v>0</v>
      </c>
      <c r="R136" s="10" t="s">
        <v>176</v>
      </c>
      <c r="S136" s="6"/>
      <c r="T136" s="6"/>
    </row>
    <row r="137" spans="1:20">
      <c r="A137" s="7">
        <v>46216</v>
      </c>
      <c r="B137" s="8">
        <v>46229</v>
      </c>
      <c r="C137" s="9">
        <v>14</v>
      </c>
      <c r="D137" s="10" t="s">
        <v>651</v>
      </c>
      <c r="E137" s="10" t="s">
        <v>791</v>
      </c>
      <c r="F137" s="9"/>
      <c r="G137" s="9">
        <v>1</v>
      </c>
      <c r="H137" s="9">
        <v>0</v>
      </c>
      <c r="I137" s="9">
        <v>1</v>
      </c>
      <c r="J137" s="11">
        <v>0</v>
      </c>
      <c r="K137" s="24">
        <v>5</v>
      </c>
      <c r="L137" s="24">
        <v>0</v>
      </c>
      <c r="M137" s="24">
        <v>0</v>
      </c>
      <c r="N137" s="9">
        <v>0</v>
      </c>
      <c r="O137" s="9">
        <v>0</v>
      </c>
      <c r="P137" s="9">
        <v>0</v>
      </c>
      <c r="Q137" s="11">
        <v>0</v>
      </c>
      <c r="R137" s="10" t="s">
        <v>176</v>
      </c>
      <c r="S137" s="6"/>
      <c r="T137" s="6"/>
    </row>
    <row r="138" spans="1:20">
      <c r="A138" s="7">
        <v>46216</v>
      </c>
      <c r="B138" s="8">
        <v>46229</v>
      </c>
      <c r="C138" s="9">
        <v>14</v>
      </c>
      <c r="D138" s="10" t="s">
        <v>651</v>
      </c>
      <c r="E138" s="10" t="s">
        <v>222</v>
      </c>
      <c r="F138" s="9"/>
      <c r="G138" s="9">
        <v>2</v>
      </c>
      <c r="H138" s="9">
        <v>0</v>
      </c>
      <c r="I138" s="9">
        <v>2</v>
      </c>
      <c r="J138" s="11">
        <v>0</v>
      </c>
      <c r="K138" s="24">
        <v>5</v>
      </c>
      <c r="L138" s="24">
        <v>0</v>
      </c>
      <c r="M138" s="24">
        <v>0</v>
      </c>
      <c r="N138" s="9">
        <v>2</v>
      </c>
      <c r="O138" s="9">
        <v>2</v>
      </c>
      <c r="P138" s="9">
        <v>1</v>
      </c>
      <c r="Q138" s="11">
        <v>1</v>
      </c>
      <c r="R138" s="10" t="s">
        <v>3449</v>
      </c>
      <c r="S138" s="6"/>
      <c r="T138" s="6"/>
    </row>
    <row r="139" spans="1:20">
      <c r="A139" s="7">
        <v>46216</v>
      </c>
      <c r="B139" s="8">
        <v>46229</v>
      </c>
      <c r="C139" s="9">
        <v>14</v>
      </c>
      <c r="D139" s="10" t="s">
        <v>651</v>
      </c>
      <c r="E139" s="10" t="s">
        <v>223</v>
      </c>
      <c r="F139" s="9"/>
      <c r="G139" s="9">
        <v>2</v>
      </c>
      <c r="H139" s="9">
        <v>0</v>
      </c>
      <c r="I139" s="9">
        <v>2</v>
      </c>
      <c r="J139" s="11">
        <v>0</v>
      </c>
      <c r="K139" s="24">
        <v>26</v>
      </c>
      <c r="L139" s="24">
        <v>0</v>
      </c>
      <c r="M139" s="24">
        <v>0</v>
      </c>
      <c r="N139" s="9">
        <v>0</v>
      </c>
      <c r="O139" s="9">
        <v>0</v>
      </c>
      <c r="P139" s="9">
        <v>0</v>
      </c>
      <c r="Q139" s="11">
        <v>0</v>
      </c>
      <c r="R139" s="10" t="s">
        <v>176</v>
      </c>
      <c r="S139" s="6"/>
      <c r="T139" s="6"/>
    </row>
    <row r="140" spans="1:20">
      <c r="A140" s="7">
        <v>46216</v>
      </c>
      <c r="B140" s="8">
        <v>46229</v>
      </c>
      <c r="C140" s="9">
        <v>14</v>
      </c>
      <c r="D140" s="10" t="s">
        <v>651</v>
      </c>
      <c r="E140" s="10" t="s">
        <v>224</v>
      </c>
      <c r="F140" s="9"/>
      <c r="G140" s="9">
        <v>1</v>
      </c>
      <c r="H140" s="9">
        <v>0</v>
      </c>
      <c r="I140" s="9">
        <v>1</v>
      </c>
      <c r="J140" s="11">
        <v>0</v>
      </c>
      <c r="K140" s="24">
        <v>26</v>
      </c>
      <c r="L140" s="24">
        <v>0</v>
      </c>
      <c r="M140" s="24">
        <v>0</v>
      </c>
      <c r="N140" s="9">
        <v>0</v>
      </c>
      <c r="O140" s="9">
        <v>0</v>
      </c>
      <c r="P140" s="9">
        <v>0</v>
      </c>
      <c r="Q140" s="11">
        <v>0</v>
      </c>
      <c r="R140" s="10" t="s">
        <v>176</v>
      </c>
      <c r="S140" s="6"/>
      <c r="T140" s="6"/>
    </row>
    <row r="141" spans="1:20">
      <c r="A141" s="7">
        <v>46216</v>
      </c>
      <c r="B141" s="8">
        <v>46229</v>
      </c>
      <c r="C141" s="9">
        <v>14</v>
      </c>
      <c r="D141" s="10" t="s">
        <v>651</v>
      </c>
      <c r="E141" s="10" t="s">
        <v>3914</v>
      </c>
      <c r="F141" s="9"/>
      <c r="G141" s="9">
        <v>1</v>
      </c>
      <c r="H141" s="9">
        <v>0</v>
      </c>
      <c r="I141" s="9">
        <v>1</v>
      </c>
      <c r="J141" s="11">
        <v>0</v>
      </c>
      <c r="K141" s="24">
        <v>0</v>
      </c>
      <c r="L141" s="24">
        <v>0</v>
      </c>
      <c r="M141" s="24">
        <v>0</v>
      </c>
      <c r="N141" s="9">
        <v>0</v>
      </c>
      <c r="O141" s="9">
        <v>0</v>
      </c>
      <c r="P141" s="9">
        <v>0</v>
      </c>
      <c r="Q141" s="11">
        <v>0</v>
      </c>
      <c r="R141" s="10" t="s">
        <v>176</v>
      </c>
      <c r="S141" s="6"/>
      <c r="T141" s="6"/>
    </row>
    <row r="142" spans="1:20">
      <c r="A142" s="7">
        <v>46216</v>
      </c>
      <c r="B142" s="8">
        <v>46229</v>
      </c>
      <c r="C142" s="9">
        <v>14</v>
      </c>
      <c r="D142" s="10" t="s">
        <v>651</v>
      </c>
      <c r="E142" s="10" t="s">
        <v>85</v>
      </c>
      <c r="F142" s="9"/>
      <c r="G142" s="9">
        <v>28</v>
      </c>
      <c r="H142" s="9">
        <v>0</v>
      </c>
      <c r="I142" s="9">
        <v>28</v>
      </c>
      <c r="J142" s="11">
        <v>0</v>
      </c>
      <c r="K142" s="24">
        <v>2.5</v>
      </c>
      <c r="L142" s="24">
        <v>0</v>
      </c>
      <c r="M142" s="24">
        <v>0</v>
      </c>
      <c r="N142" s="9">
        <v>0</v>
      </c>
      <c r="O142" s="9">
        <v>0</v>
      </c>
      <c r="P142" s="9">
        <v>0</v>
      </c>
      <c r="Q142" s="11">
        <v>0</v>
      </c>
      <c r="R142" s="10" t="s">
        <v>176</v>
      </c>
      <c r="S142" s="6"/>
      <c r="T142" s="6"/>
    </row>
    <row r="143" spans="1:20">
      <c r="A143" s="7">
        <v>46216</v>
      </c>
      <c r="B143" s="8">
        <v>46229</v>
      </c>
      <c r="C143" s="9">
        <v>14</v>
      </c>
      <c r="D143" s="10" t="s">
        <v>651</v>
      </c>
      <c r="E143" s="10" t="s">
        <v>1944</v>
      </c>
      <c r="F143" s="9"/>
      <c r="G143" s="9">
        <v>1</v>
      </c>
      <c r="H143" s="9">
        <v>0</v>
      </c>
      <c r="I143" s="9">
        <v>1</v>
      </c>
      <c r="J143" s="11">
        <v>0</v>
      </c>
      <c r="K143" s="24">
        <v>7</v>
      </c>
      <c r="L143" s="24">
        <v>0</v>
      </c>
      <c r="M143" s="24">
        <v>0</v>
      </c>
      <c r="N143" s="9">
        <v>0</v>
      </c>
      <c r="O143" s="9">
        <v>0</v>
      </c>
      <c r="P143" s="9">
        <v>0</v>
      </c>
      <c r="Q143" s="11">
        <v>0</v>
      </c>
      <c r="R143" s="10" t="s">
        <v>176</v>
      </c>
      <c r="S143" s="6"/>
      <c r="T143" s="6"/>
    </row>
    <row r="144" spans="1:20">
      <c r="A144" s="7">
        <v>46216</v>
      </c>
      <c r="B144" s="8">
        <v>46229</v>
      </c>
      <c r="C144" s="9">
        <v>14</v>
      </c>
      <c r="D144" s="10" t="s">
        <v>651</v>
      </c>
      <c r="E144" s="10" t="s">
        <v>793</v>
      </c>
      <c r="F144" s="9"/>
      <c r="G144" s="9">
        <v>3</v>
      </c>
      <c r="H144" s="9">
        <v>0</v>
      </c>
      <c r="I144" s="9">
        <v>3</v>
      </c>
      <c r="J144" s="11">
        <v>0</v>
      </c>
      <c r="K144" s="24">
        <v>5</v>
      </c>
      <c r="L144" s="24">
        <v>0</v>
      </c>
      <c r="M144" s="24">
        <v>0</v>
      </c>
      <c r="N144" s="9">
        <v>0</v>
      </c>
      <c r="O144" s="9">
        <v>0</v>
      </c>
      <c r="P144" s="9">
        <v>0</v>
      </c>
      <c r="Q144" s="11">
        <v>0</v>
      </c>
      <c r="R144" s="10" t="s">
        <v>176</v>
      </c>
      <c r="S144" s="6"/>
      <c r="T144" s="6"/>
    </row>
    <row r="145" spans="1:20">
      <c r="A145" s="7">
        <v>46216</v>
      </c>
      <c r="B145" s="8">
        <v>46229</v>
      </c>
      <c r="C145" s="9">
        <v>14</v>
      </c>
      <c r="D145" s="10" t="s">
        <v>651</v>
      </c>
      <c r="E145" s="10" t="s">
        <v>230</v>
      </c>
      <c r="F145" s="9"/>
      <c r="G145" s="9">
        <v>1</v>
      </c>
      <c r="H145" s="9">
        <v>0</v>
      </c>
      <c r="I145" s="9">
        <v>1</v>
      </c>
      <c r="J145" s="11">
        <v>0</v>
      </c>
      <c r="K145" s="24">
        <v>7</v>
      </c>
      <c r="L145" s="24">
        <v>0</v>
      </c>
      <c r="M145" s="24">
        <v>0</v>
      </c>
      <c r="N145" s="9">
        <v>0</v>
      </c>
      <c r="O145" s="9">
        <v>0</v>
      </c>
      <c r="P145" s="9">
        <v>0</v>
      </c>
      <c r="Q145" s="11">
        <v>0</v>
      </c>
      <c r="R145" s="10" t="s">
        <v>176</v>
      </c>
      <c r="S145" s="6"/>
      <c r="T145" s="6"/>
    </row>
    <row r="146" spans="1:20">
      <c r="A146" s="7">
        <v>46216</v>
      </c>
      <c r="B146" s="8">
        <v>46229</v>
      </c>
      <c r="C146" s="9">
        <v>14</v>
      </c>
      <c r="D146" s="10" t="s">
        <v>651</v>
      </c>
      <c r="E146" s="10" t="s">
        <v>231</v>
      </c>
      <c r="F146" s="9"/>
      <c r="G146" s="9">
        <v>1</v>
      </c>
      <c r="H146" s="9">
        <v>0</v>
      </c>
      <c r="I146" s="9">
        <v>1</v>
      </c>
      <c r="J146" s="11">
        <v>0</v>
      </c>
      <c r="K146" s="24">
        <v>7</v>
      </c>
      <c r="L146" s="24">
        <v>0</v>
      </c>
      <c r="M146" s="24">
        <v>0</v>
      </c>
      <c r="N146" s="9">
        <v>0</v>
      </c>
      <c r="O146" s="9">
        <v>0</v>
      </c>
      <c r="P146" s="9">
        <v>0</v>
      </c>
      <c r="Q146" s="11">
        <v>0</v>
      </c>
      <c r="R146" s="10" t="s">
        <v>176</v>
      </c>
      <c r="S146" s="6"/>
      <c r="T146" s="6"/>
    </row>
    <row r="147" spans="1:20">
      <c r="A147" s="7">
        <v>46216</v>
      </c>
      <c r="B147" s="8">
        <v>46229</v>
      </c>
      <c r="C147" s="9">
        <v>14</v>
      </c>
      <c r="D147" s="10" t="s">
        <v>651</v>
      </c>
      <c r="E147" s="10" t="s">
        <v>245</v>
      </c>
      <c r="F147" s="9"/>
      <c r="G147" s="9">
        <v>4</v>
      </c>
      <c r="H147" s="9">
        <v>0</v>
      </c>
      <c r="I147" s="9">
        <v>4</v>
      </c>
      <c r="J147" s="11">
        <v>0</v>
      </c>
      <c r="K147" s="24">
        <v>6</v>
      </c>
      <c r="L147" s="24">
        <v>0</v>
      </c>
      <c r="M147" s="24">
        <v>0</v>
      </c>
      <c r="N147" s="9">
        <v>0</v>
      </c>
      <c r="O147" s="9">
        <v>0</v>
      </c>
      <c r="P147" s="9">
        <v>0</v>
      </c>
      <c r="Q147" s="11">
        <v>0</v>
      </c>
      <c r="R147" s="10" t="s">
        <v>176</v>
      </c>
      <c r="S147" s="6"/>
      <c r="T147" s="6"/>
    </row>
    <row r="148" spans="1:20">
      <c r="A148" s="7">
        <v>46216</v>
      </c>
      <c r="B148" s="8">
        <v>46229</v>
      </c>
      <c r="C148" s="9">
        <v>14</v>
      </c>
      <c r="D148" s="10" t="s">
        <v>651</v>
      </c>
      <c r="E148" s="10" t="s">
        <v>39</v>
      </c>
      <c r="F148" s="9"/>
      <c r="G148" s="9">
        <v>13</v>
      </c>
      <c r="H148" s="9">
        <v>0</v>
      </c>
      <c r="I148" s="9">
        <v>13</v>
      </c>
      <c r="J148" s="11">
        <v>0</v>
      </c>
      <c r="K148" s="24">
        <v>5</v>
      </c>
      <c r="L148" s="24">
        <v>0</v>
      </c>
      <c r="M148" s="24">
        <v>0</v>
      </c>
      <c r="N148" s="9">
        <v>0</v>
      </c>
      <c r="O148" s="9">
        <v>0</v>
      </c>
      <c r="P148" s="9">
        <v>0</v>
      </c>
      <c r="Q148" s="11">
        <v>0</v>
      </c>
      <c r="R148" s="10" t="s">
        <v>176</v>
      </c>
      <c r="S148" s="6"/>
      <c r="T148" s="6"/>
    </row>
    <row r="149" spans="1:20">
      <c r="A149" s="7">
        <v>46216</v>
      </c>
      <c r="B149" s="8">
        <v>46229</v>
      </c>
      <c r="C149" s="9">
        <v>14</v>
      </c>
      <c r="D149" s="10" t="s">
        <v>651</v>
      </c>
      <c r="E149" s="10" t="s">
        <v>246</v>
      </c>
      <c r="F149" s="9"/>
      <c r="G149" s="9">
        <v>5</v>
      </c>
      <c r="H149" s="9">
        <v>0</v>
      </c>
      <c r="I149" s="9">
        <v>5</v>
      </c>
      <c r="J149" s="11">
        <v>0</v>
      </c>
      <c r="K149" s="24">
        <v>5</v>
      </c>
      <c r="L149" s="24">
        <v>0</v>
      </c>
      <c r="M149" s="24">
        <v>0</v>
      </c>
      <c r="N149" s="9">
        <v>0</v>
      </c>
      <c r="O149" s="9">
        <v>0</v>
      </c>
      <c r="P149" s="9">
        <v>0</v>
      </c>
      <c r="Q149" s="11">
        <v>0</v>
      </c>
      <c r="R149" s="10" t="s">
        <v>176</v>
      </c>
      <c r="S149" s="6"/>
      <c r="T149" s="6"/>
    </row>
    <row r="150" spans="1:20">
      <c r="A150" s="7">
        <v>46216</v>
      </c>
      <c r="B150" s="8">
        <v>46229</v>
      </c>
      <c r="C150" s="9">
        <v>14</v>
      </c>
      <c r="D150" s="10" t="s">
        <v>651</v>
      </c>
      <c r="E150" s="10" t="s">
        <v>1999</v>
      </c>
      <c r="F150" s="9"/>
      <c r="G150" s="9">
        <v>1</v>
      </c>
      <c r="H150" s="9">
        <v>0</v>
      </c>
      <c r="I150" s="9">
        <v>1</v>
      </c>
      <c r="J150" s="11">
        <v>0</v>
      </c>
      <c r="K150" s="24">
        <v>5</v>
      </c>
      <c r="L150" s="24">
        <v>0</v>
      </c>
      <c r="M150" s="24">
        <v>0</v>
      </c>
      <c r="N150" s="9">
        <v>0</v>
      </c>
      <c r="O150" s="9">
        <v>0</v>
      </c>
      <c r="P150" s="9">
        <v>0</v>
      </c>
      <c r="Q150" s="11">
        <v>0</v>
      </c>
      <c r="R150" s="10" t="s">
        <v>176</v>
      </c>
      <c r="S150" s="6"/>
      <c r="T150" s="6"/>
    </row>
    <row r="151" spans="1:20">
      <c r="A151" s="7">
        <v>46216</v>
      </c>
      <c r="B151" s="8">
        <v>46229</v>
      </c>
      <c r="C151" s="9">
        <v>14</v>
      </c>
      <c r="D151" s="10" t="s">
        <v>651</v>
      </c>
      <c r="E151" s="10" t="s">
        <v>2000</v>
      </c>
      <c r="F151" s="9"/>
      <c r="G151" s="9">
        <v>3</v>
      </c>
      <c r="H151" s="9">
        <v>3</v>
      </c>
      <c r="I151" s="9">
        <v>0</v>
      </c>
      <c r="J151" s="11">
        <v>1</v>
      </c>
      <c r="K151" s="24">
        <v>0</v>
      </c>
      <c r="L151" s="24">
        <v>0</v>
      </c>
      <c r="M151" s="24">
        <v>0</v>
      </c>
      <c r="N151" s="9">
        <v>4</v>
      </c>
      <c r="O151" s="9">
        <v>3</v>
      </c>
      <c r="P151" s="9">
        <v>3</v>
      </c>
      <c r="Q151" s="11">
        <v>1</v>
      </c>
      <c r="R151" s="10" t="s">
        <v>177</v>
      </c>
      <c r="S151" s="6"/>
      <c r="T151" s="6"/>
    </row>
    <row r="152" spans="1:20">
      <c r="A152" s="7">
        <v>46216</v>
      </c>
      <c r="B152" s="8">
        <v>46229</v>
      </c>
      <c r="C152" s="9">
        <v>14</v>
      </c>
      <c r="D152" s="10" t="s">
        <v>651</v>
      </c>
      <c r="E152" s="10" t="s">
        <v>278</v>
      </c>
      <c r="F152" s="9"/>
      <c r="G152" s="9">
        <v>8</v>
      </c>
      <c r="H152" s="9">
        <v>0</v>
      </c>
      <c r="I152" s="9">
        <v>8</v>
      </c>
      <c r="J152" s="11">
        <v>0</v>
      </c>
      <c r="K152" s="24">
        <v>7.5</v>
      </c>
      <c r="L152" s="24">
        <v>0</v>
      </c>
      <c r="M152" s="24">
        <v>0</v>
      </c>
      <c r="N152" s="9">
        <v>0</v>
      </c>
      <c r="O152" s="9">
        <v>0</v>
      </c>
      <c r="P152" s="9">
        <v>0</v>
      </c>
      <c r="Q152" s="11">
        <v>0</v>
      </c>
      <c r="R152" s="10" t="s">
        <v>176</v>
      </c>
      <c r="S152" s="6"/>
      <c r="T152" s="6"/>
    </row>
    <row r="153" spans="1:20">
      <c r="A153" s="7">
        <v>46216</v>
      </c>
      <c r="B153" s="8">
        <v>46229</v>
      </c>
      <c r="C153" s="9">
        <v>14</v>
      </c>
      <c r="D153" s="10" t="s">
        <v>651</v>
      </c>
      <c r="E153" s="10" t="s">
        <v>279</v>
      </c>
      <c r="F153" s="9"/>
      <c r="G153" s="9">
        <v>3</v>
      </c>
      <c r="H153" s="9">
        <v>0</v>
      </c>
      <c r="I153" s="9">
        <v>3</v>
      </c>
      <c r="J153" s="11">
        <v>0</v>
      </c>
      <c r="K153" s="24">
        <v>5</v>
      </c>
      <c r="L153" s="24">
        <v>0</v>
      </c>
      <c r="M153" s="24">
        <v>0</v>
      </c>
      <c r="N153" s="9">
        <v>0</v>
      </c>
      <c r="O153" s="9">
        <v>0</v>
      </c>
      <c r="P153" s="9">
        <v>0</v>
      </c>
      <c r="Q153" s="11">
        <v>0</v>
      </c>
      <c r="R153" s="10" t="s">
        <v>176</v>
      </c>
      <c r="S153" s="6"/>
      <c r="T153" s="6"/>
    </row>
    <row r="154" spans="1:20">
      <c r="A154" s="7">
        <v>46216</v>
      </c>
      <c r="B154" s="8">
        <v>46229</v>
      </c>
      <c r="C154" s="9">
        <v>14</v>
      </c>
      <c r="D154" s="10" t="s">
        <v>651</v>
      </c>
      <c r="E154" s="10" t="s">
        <v>285</v>
      </c>
      <c r="F154" s="9"/>
      <c r="G154" s="9">
        <v>6</v>
      </c>
      <c r="H154" s="9">
        <v>0</v>
      </c>
      <c r="I154" s="9">
        <v>6</v>
      </c>
      <c r="J154" s="11">
        <v>0</v>
      </c>
      <c r="K154" s="24">
        <v>7</v>
      </c>
      <c r="L154" s="24">
        <v>0</v>
      </c>
      <c r="M154" s="24">
        <v>0</v>
      </c>
      <c r="N154" s="9">
        <v>0</v>
      </c>
      <c r="O154" s="9">
        <v>0</v>
      </c>
      <c r="P154" s="9">
        <v>0</v>
      </c>
      <c r="Q154" s="11">
        <v>0</v>
      </c>
      <c r="R154" s="10" t="s">
        <v>176</v>
      </c>
      <c r="S154" s="6"/>
      <c r="T154" s="6"/>
    </row>
    <row r="155" spans="1:20">
      <c r="A155" s="7">
        <v>46216</v>
      </c>
      <c r="B155" s="8">
        <v>46229</v>
      </c>
      <c r="C155" s="9">
        <v>14</v>
      </c>
      <c r="D155" s="10" t="s">
        <v>651</v>
      </c>
      <c r="E155" s="10" t="s">
        <v>286</v>
      </c>
      <c r="F155" s="9"/>
      <c r="G155" s="9">
        <v>1</v>
      </c>
      <c r="H155" s="9">
        <v>0</v>
      </c>
      <c r="I155" s="9">
        <v>1</v>
      </c>
      <c r="J155" s="11">
        <v>0</v>
      </c>
      <c r="K155" s="24">
        <v>5</v>
      </c>
      <c r="L155" s="24">
        <v>0</v>
      </c>
      <c r="M155" s="24">
        <v>0</v>
      </c>
      <c r="N155" s="9">
        <v>2</v>
      </c>
      <c r="O155" s="9">
        <v>1</v>
      </c>
      <c r="P155" s="9">
        <v>2</v>
      </c>
      <c r="Q155" s="11">
        <v>1</v>
      </c>
      <c r="R155" s="10" t="s">
        <v>3449</v>
      </c>
      <c r="S155" s="6"/>
      <c r="T155" s="6"/>
    </row>
    <row r="156" spans="1:20">
      <c r="A156" s="7">
        <v>46216</v>
      </c>
      <c r="B156" s="8">
        <v>46229</v>
      </c>
      <c r="C156" s="9">
        <v>14</v>
      </c>
      <c r="D156" s="10" t="s">
        <v>651</v>
      </c>
      <c r="E156" s="10" t="s">
        <v>289</v>
      </c>
      <c r="F156" s="9"/>
      <c r="G156" s="9">
        <v>2</v>
      </c>
      <c r="H156" s="9">
        <v>0</v>
      </c>
      <c r="I156" s="9">
        <v>2</v>
      </c>
      <c r="J156" s="11">
        <v>0</v>
      </c>
      <c r="K156" s="24">
        <v>5</v>
      </c>
      <c r="L156" s="24">
        <v>0</v>
      </c>
      <c r="M156" s="24">
        <v>0</v>
      </c>
      <c r="N156" s="9">
        <v>0</v>
      </c>
      <c r="O156" s="9">
        <v>0</v>
      </c>
      <c r="P156" s="9">
        <v>0</v>
      </c>
      <c r="Q156" s="11">
        <v>0</v>
      </c>
      <c r="R156" s="10" t="s">
        <v>176</v>
      </c>
      <c r="S156" s="6"/>
      <c r="T156" s="6"/>
    </row>
    <row r="157" spans="1:20">
      <c r="A157" s="7">
        <v>46216</v>
      </c>
      <c r="B157" s="8">
        <v>46229</v>
      </c>
      <c r="C157" s="9">
        <v>14</v>
      </c>
      <c r="D157" s="10" t="s">
        <v>651</v>
      </c>
      <c r="E157" s="10" t="s">
        <v>290</v>
      </c>
      <c r="F157" s="9"/>
      <c r="G157" s="9">
        <v>13</v>
      </c>
      <c r="H157" s="9">
        <v>0</v>
      </c>
      <c r="I157" s="9">
        <v>13</v>
      </c>
      <c r="J157" s="11">
        <v>0</v>
      </c>
      <c r="K157" s="24">
        <v>5</v>
      </c>
      <c r="L157" s="24">
        <v>0</v>
      </c>
      <c r="M157" s="24">
        <v>0</v>
      </c>
      <c r="N157" s="9">
        <v>0</v>
      </c>
      <c r="O157" s="9">
        <v>0</v>
      </c>
      <c r="P157" s="9">
        <v>0</v>
      </c>
      <c r="Q157" s="11">
        <v>0</v>
      </c>
      <c r="R157" s="10" t="s">
        <v>176</v>
      </c>
      <c r="S157" s="6"/>
      <c r="T157" s="6"/>
    </row>
    <row r="158" spans="1:20">
      <c r="A158" s="7">
        <v>46216</v>
      </c>
      <c r="B158" s="8">
        <v>46229</v>
      </c>
      <c r="C158" s="9">
        <v>14</v>
      </c>
      <c r="D158" s="10" t="s">
        <v>651</v>
      </c>
      <c r="E158" s="10" t="s">
        <v>291</v>
      </c>
      <c r="F158" s="9"/>
      <c r="G158" s="9">
        <v>17</v>
      </c>
      <c r="H158" s="9">
        <v>0</v>
      </c>
      <c r="I158" s="9">
        <v>17</v>
      </c>
      <c r="J158" s="11">
        <v>0</v>
      </c>
      <c r="K158" s="24">
        <v>5</v>
      </c>
      <c r="L158" s="24">
        <v>0</v>
      </c>
      <c r="M158" s="24">
        <v>0</v>
      </c>
      <c r="N158" s="9">
        <v>0</v>
      </c>
      <c r="O158" s="9">
        <v>0</v>
      </c>
      <c r="P158" s="9">
        <v>0</v>
      </c>
      <c r="Q158" s="11">
        <v>0</v>
      </c>
      <c r="R158" s="10" t="s">
        <v>176</v>
      </c>
      <c r="S158" s="6"/>
      <c r="T158" s="6"/>
    </row>
    <row r="159" spans="1:20">
      <c r="A159" s="7">
        <v>46216</v>
      </c>
      <c r="B159" s="8">
        <v>46229</v>
      </c>
      <c r="C159" s="9">
        <v>14</v>
      </c>
      <c r="D159" s="10" t="s">
        <v>651</v>
      </c>
      <c r="E159" s="10" t="s">
        <v>2007</v>
      </c>
      <c r="F159" s="9"/>
      <c r="G159" s="9">
        <v>1</v>
      </c>
      <c r="H159" s="9">
        <v>0</v>
      </c>
      <c r="I159" s="9">
        <v>1</v>
      </c>
      <c r="J159" s="11">
        <v>0</v>
      </c>
      <c r="K159" s="24">
        <v>0</v>
      </c>
      <c r="L159" s="24">
        <v>0</v>
      </c>
      <c r="M159" s="24">
        <v>0</v>
      </c>
      <c r="N159" s="9">
        <v>0</v>
      </c>
      <c r="O159" s="9">
        <v>0</v>
      </c>
      <c r="P159" s="9">
        <v>0</v>
      </c>
      <c r="Q159" s="11">
        <v>0</v>
      </c>
      <c r="R159" s="10" t="s">
        <v>176</v>
      </c>
      <c r="S159" s="6"/>
      <c r="T159" s="6"/>
    </row>
    <row r="160" spans="1:20">
      <c r="A160" s="7">
        <v>46216</v>
      </c>
      <c r="B160" s="8">
        <v>46229</v>
      </c>
      <c r="C160" s="9">
        <v>14</v>
      </c>
      <c r="D160" s="10" t="s">
        <v>651</v>
      </c>
      <c r="E160" s="10" t="s">
        <v>3668</v>
      </c>
      <c r="F160" s="9"/>
      <c r="G160" s="9">
        <v>4</v>
      </c>
      <c r="H160" s="9">
        <v>0</v>
      </c>
      <c r="I160" s="9">
        <v>4</v>
      </c>
      <c r="J160" s="11">
        <v>0</v>
      </c>
      <c r="K160" s="24">
        <v>0</v>
      </c>
      <c r="L160" s="24">
        <v>0</v>
      </c>
      <c r="M160" s="24">
        <v>0</v>
      </c>
      <c r="N160" s="9">
        <v>0</v>
      </c>
      <c r="O160" s="9">
        <v>0</v>
      </c>
      <c r="P160" s="9">
        <v>0</v>
      </c>
      <c r="Q160" s="11">
        <v>0</v>
      </c>
      <c r="R160" s="10" t="s">
        <v>176</v>
      </c>
      <c r="S160" s="6"/>
      <c r="T160" s="6"/>
    </row>
    <row r="161" spans="1:20">
      <c r="A161" s="7">
        <v>46216</v>
      </c>
      <c r="B161" s="8">
        <v>46229</v>
      </c>
      <c r="C161" s="9">
        <v>14</v>
      </c>
      <c r="D161" s="10" t="s">
        <v>651</v>
      </c>
      <c r="E161" s="10" t="s">
        <v>812</v>
      </c>
      <c r="F161" s="9"/>
      <c r="G161" s="9">
        <v>2</v>
      </c>
      <c r="H161" s="9">
        <v>0</v>
      </c>
      <c r="I161" s="9">
        <v>2</v>
      </c>
      <c r="J161" s="11">
        <v>0</v>
      </c>
      <c r="K161" s="24">
        <v>5</v>
      </c>
      <c r="L161" s="24">
        <v>0</v>
      </c>
      <c r="M161" s="24">
        <v>0</v>
      </c>
      <c r="N161" s="9">
        <v>0</v>
      </c>
      <c r="O161" s="9">
        <v>0</v>
      </c>
      <c r="P161" s="9">
        <v>0</v>
      </c>
      <c r="Q161" s="11">
        <v>0</v>
      </c>
      <c r="R161" s="10" t="s">
        <v>176</v>
      </c>
      <c r="S161" s="6"/>
      <c r="T161" s="6"/>
    </row>
    <row r="162" spans="1:20">
      <c r="A162" s="7">
        <v>46216</v>
      </c>
      <c r="B162" s="8">
        <v>46229</v>
      </c>
      <c r="C162" s="9">
        <v>14</v>
      </c>
      <c r="D162" s="10" t="s">
        <v>651</v>
      </c>
      <c r="E162" s="10" t="s">
        <v>308</v>
      </c>
      <c r="F162" s="9"/>
      <c r="G162" s="9">
        <v>2</v>
      </c>
      <c r="H162" s="9">
        <v>0</v>
      </c>
      <c r="I162" s="9">
        <v>2</v>
      </c>
      <c r="J162" s="11">
        <v>0</v>
      </c>
      <c r="K162" s="24">
        <v>5</v>
      </c>
      <c r="L162" s="24">
        <v>0</v>
      </c>
      <c r="M162" s="24">
        <v>0</v>
      </c>
      <c r="N162" s="9">
        <v>0</v>
      </c>
      <c r="O162" s="9">
        <v>0</v>
      </c>
      <c r="P162" s="9">
        <v>0</v>
      </c>
      <c r="Q162" s="11">
        <v>0</v>
      </c>
      <c r="R162" s="10" t="s">
        <v>176</v>
      </c>
      <c r="S162" s="6"/>
      <c r="T162" s="6"/>
    </row>
    <row r="163" spans="1:20">
      <c r="A163" s="7">
        <v>46216</v>
      </c>
      <c r="B163" s="8">
        <v>46229</v>
      </c>
      <c r="C163" s="9">
        <v>14</v>
      </c>
      <c r="D163" s="10" t="s">
        <v>651</v>
      </c>
      <c r="E163" s="10" t="s">
        <v>2016</v>
      </c>
      <c r="F163" s="9"/>
      <c r="G163" s="9">
        <v>3</v>
      </c>
      <c r="H163" s="9">
        <v>0</v>
      </c>
      <c r="I163" s="9">
        <v>3</v>
      </c>
      <c r="J163" s="11">
        <v>0</v>
      </c>
      <c r="K163" s="24">
        <v>44.56</v>
      </c>
      <c r="L163" s="24">
        <v>0</v>
      </c>
      <c r="M163" s="24">
        <v>0</v>
      </c>
      <c r="N163" s="9">
        <v>0</v>
      </c>
      <c r="O163" s="9">
        <v>0</v>
      </c>
      <c r="P163" s="9">
        <v>0</v>
      </c>
      <c r="Q163" s="11">
        <v>0</v>
      </c>
      <c r="R163" s="10" t="s">
        <v>176</v>
      </c>
      <c r="S163" s="6"/>
      <c r="T163" s="6"/>
    </row>
    <row r="164" spans="1:20">
      <c r="A164" s="7">
        <v>46216</v>
      </c>
      <c r="B164" s="8">
        <v>46229</v>
      </c>
      <c r="C164" s="9">
        <v>14</v>
      </c>
      <c r="D164" s="10" t="s">
        <v>651</v>
      </c>
      <c r="E164" s="10" t="s">
        <v>818</v>
      </c>
      <c r="F164" s="9"/>
      <c r="G164" s="9">
        <v>1</v>
      </c>
      <c r="H164" s="9">
        <v>0</v>
      </c>
      <c r="I164" s="9">
        <v>1</v>
      </c>
      <c r="J164" s="11">
        <v>0</v>
      </c>
      <c r="K164" s="24">
        <v>7</v>
      </c>
      <c r="L164" s="24">
        <v>0</v>
      </c>
      <c r="M164" s="24">
        <v>0</v>
      </c>
      <c r="N164" s="9">
        <v>0</v>
      </c>
      <c r="O164" s="9">
        <v>0</v>
      </c>
      <c r="P164" s="9">
        <v>0</v>
      </c>
      <c r="Q164" s="11">
        <v>0</v>
      </c>
      <c r="R164" s="10" t="s">
        <v>176</v>
      </c>
      <c r="S164" s="6"/>
      <c r="T164" s="6"/>
    </row>
    <row r="165" spans="1:20">
      <c r="A165" s="7">
        <v>46216</v>
      </c>
      <c r="B165" s="8">
        <v>46229</v>
      </c>
      <c r="C165" s="9">
        <v>14</v>
      </c>
      <c r="D165" s="10" t="s">
        <v>651</v>
      </c>
      <c r="E165" s="10" t="s">
        <v>820</v>
      </c>
      <c r="F165" s="9"/>
      <c r="G165" s="9">
        <v>1</v>
      </c>
      <c r="H165" s="9">
        <v>0</v>
      </c>
      <c r="I165" s="9">
        <v>1</v>
      </c>
      <c r="J165" s="11">
        <v>0</v>
      </c>
      <c r="K165" s="24">
        <v>7</v>
      </c>
      <c r="L165" s="24">
        <v>0</v>
      </c>
      <c r="M165" s="24">
        <v>0</v>
      </c>
      <c r="N165" s="9">
        <v>0</v>
      </c>
      <c r="O165" s="9">
        <v>0</v>
      </c>
      <c r="P165" s="9">
        <v>0</v>
      </c>
      <c r="Q165" s="11">
        <v>0</v>
      </c>
      <c r="R165" s="10" t="s">
        <v>176</v>
      </c>
      <c r="S165" s="6"/>
      <c r="T165" s="6"/>
    </row>
    <row r="166" spans="1:20">
      <c r="A166" s="7">
        <v>46216</v>
      </c>
      <c r="B166" s="8">
        <v>46229</v>
      </c>
      <c r="C166" s="9">
        <v>14</v>
      </c>
      <c r="D166" s="10" t="s">
        <v>651</v>
      </c>
      <c r="E166" s="10" t="s">
        <v>317</v>
      </c>
      <c r="F166" s="9"/>
      <c r="G166" s="9">
        <v>4</v>
      </c>
      <c r="H166" s="9">
        <v>0</v>
      </c>
      <c r="I166" s="9">
        <v>4</v>
      </c>
      <c r="J166" s="11">
        <v>0</v>
      </c>
      <c r="K166" s="24">
        <v>5</v>
      </c>
      <c r="L166" s="24">
        <v>0</v>
      </c>
      <c r="M166" s="24">
        <v>0</v>
      </c>
      <c r="N166" s="9">
        <v>0</v>
      </c>
      <c r="O166" s="9">
        <v>0</v>
      </c>
      <c r="P166" s="9">
        <v>0</v>
      </c>
      <c r="Q166" s="11">
        <v>0</v>
      </c>
      <c r="R166" s="10" t="s">
        <v>176</v>
      </c>
      <c r="S166" s="6"/>
      <c r="T166" s="6"/>
    </row>
    <row r="167" spans="1:20">
      <c r="A167" s="7">
        <v>46216</v>
      </c>
      <c r="B167" s="8">
        <v>46229</v>
      </c>
      <c r="C167" s="9">
        <v>14</v>
      </c>
      <c r="D167" s="10" t="s">
        <v>651</v>
      </c>
      <c r="E167" s="10" t="s">
        <v>829</v>
      </c>
      <c r="F167" s="9"/>
      <c r="G167" s="9">
        <v>1</v>
      </c>
      <c r="H167" s="9">
        <v>0</v>
      </c>
      <c r="I167" s="9">
        <v>1</v>
      </c>
      <c r="J167" s="11">
        <v>0</v>
      </c>
      <c r="K167" s="24">
        <v>5</v>
      </c>
      <c r="L167" s="24">
        <v>0</v>
      </c>
      <c r="M167" s="24">
        <v>0</v>
      </c>
      <c r="N167" s="9">
        <v>0</v>
      </c>
      <c r="O167" s="9">
        <v>0</v>
      </c>
      <c r="P167" s="9">
        <v>0</v>
      </c>
      <c r="Q167" s="11">
        <v>0</v>
      </c>
      <c r="R167" s="10" t="s">
        <v>176</v>
      </c>
      <c r="S167" s="6"/>
      <c r="T167" s="6"/>
    </row>
    <row r="168" spans="1:20">
      <c r="A168" s="7">
        <v>46216</v>
      </c>
      <c r="B168" s="8">
        <v>46229</v>
      </c>
      <c r="C168" s="9">
        <v>14</v>
      </c>
      <c r="D168" s="10" t="s">
        <v>651</v>
      </c>
      <c r="E168" s="10" t="s">
        <v>831</v>
      </c>
      <c r="F168" s="9"/>
      <c r="G168" s="9">
        <v>1</v>
      </c>
      <c r="H168" s="9">
        <v>0</v>
      </c>
      <c r="I168" s="9">
        <v>1</v>
      </c>
      <c r="J168" s="11">
        <v>0</v>
      </c>
      <c r="K168" s="24">
        <v>5</v>
      </c>
      <c r="L168" s="24">
        <v>0</v>
      </c>
      <c r="M168" s="24">
        <v>0</v>
      </c>
      <c r="N168" s="9">
        <v>0</v>
      </c>
      <c r="O168" s="9">
        <v>0</v>
      </c>
      <c r="P168" s="9">
        <v>0</v>
      </c>
      <c r="Q168" s="11">
        <v>0</v>
      </c>
      <c r="R168" s="10" t="s">
        <v>176</v>
      </c>
      <c r="S168" s="6"/>
      <c r="T168" s="6"/>
    </row>
    <row r="169" spans="1:20">
      <c r="A169" s="7">
        <v>46216</v>
      </c>
      <c r="B169" s="8">
        <v>46229</v>
      </c>
      <c r="C169" s="9">
        <v>14</v>
      </c>
      <c r="D169" s="10" t="s">
        <v>651</v>
      </c>
      <c r="E169" s="10" t="s">
        <v>318</v>
      </c>
      <c r="F169" s="9"/>
      <c r="G169" s="9">
        <v>6</v>
      </c>
      <c r="H169" s="9">
        <v>0</v>
      </c>
      <c r="I169" s="9">
        <v>6</v>
      </c>
      <c r="J169" s="11">
        <v>0</v>
      </c>
      <c r="K169" s="24">
        <v>5</v>
      </c>
      <c r="L169" s="24">
        <v>0</v>
      </c>
      <c r="M169" s="24">
        <v>0</v>
      </c>
      <c r="N169" s="9">
        <v>1</v>
      </c>
      <c r="O169" s="9">
        <v>1</v>
      </c>
      <c r="P169" s="9">
        <v>1</v>
      </c>
      <c r="Q169" s="11">
        <v>0.16666666666666699</v>
      </c>
      <c r="R169" s="10" t="s">
        <v>3075</v>
      </c>
      <c r="S169" s="6"/>
      <c r="T169" s="6"/>
    </row>
    <row r="170" spans="1:20">
      <c r="A170" s="7">
        <v>46216</v>
      </c>
      <c r="B170" s="8">
        <v>46229</v>
      </c>
      <c r="C170" s="9">
        <v>14</v>
      </c>
      <c r="D170" s="10" t="s">
        <v>651</v>
      </c>
      <c r="E170" s="10" t="s">
        <v>804</v>
      </c>
      <c r="F170" s="9"/>
      <c r="G170" s="9">
        <v>1</v>
      </c>
      <c r="H170" s="9">
        <v>0</v>
      </c>
      <c r="I170" s="9">
        <v>1</v>
      </c>
      <c r="J170" s="11">
        <v>0</v>
      </c>
      <c r="K170" s="24">
        <v>11.5</v>
      </c>
      <c r="L170" s="24">
        <v>0</v>
      </c>
      <c r="M170" s="24">
        <v>0</v>
      </c>
      <c r="N170" s="9">
        <v>0</v>
      </c>
      <c r="O170" s="9">
        <v>0</v>
      </c>
      <c r="P170" s="9">
        <v>0</v>
      </c>
      <c r="Q170" s="11">
        <v>0</v>
      </c>
      <c r="R170" s="10" t="s">
        <v>176</v>
      </c>
      <c r="S170" s="6"/>
      <c r="T170" s="6"/>
    </row>
    <row r="171" spans="1:20">
      <c r="A171" s="7">
        <v>46216</v>
      </c>
      <c r="B171" s="8">
        <v>46229</v>
      </c>
      <c r="C171" s="9">
        <v>14</v>
      </c>
      <c r="D171" s="10" t="s">
        <v>651</v>
      </c>
      <c r="E171" s="10" t="s">
        <v>833</v>
      </c>
      <c r="F171" s="9"/>
      <c r="G171" s="9">
        <v>1</v>
      </c>
      <c r="H171" s="9">
        <v>0</v>
      </c>
      <c r="I171" s="9">
        <v>1</v>
      </c>
      <c r="J171" s="11">
        <v>0</v>
      </c>
      <c r="K171" s="24">
        <v>5</v>
      </c>
      <c r="L171" s="24">
        <v>0</v>
      </c>
      <c r="M171" s="24">
        <v>0</v>
      </c>
      <c r="N171" s="9">
        <v>0</v>
      </c>
      <c r="O171" s="9">
        <v>0</v>
      </c>
      <c r="P171" s="9">
        <v>0</v>
      </c>
      <c r="Q171" s="11">
        <v>0</v>
      </c>
      <c r="R171" s="10" t="s">
        <v>176</v>
      </c>
      <c r="S171" s="6"/>
      <c r="T171" s="6"/>
    </row>
    <row r="172" spans="1:20">
      <c r="A172" s="7">
        <v>46216</v>
      </c>
      <c r="B172" s="8">
        <v>46229</v>
      </c>
      <c r="C172" s="9">
        <v>14</v>
      </c>
      <c r="D172" s="10" t="s">
        <v>651</v>
      </c>
      <c r="E172" s="10" t="s">
        <v>650</v>
      </c>
      <c r="F172" s="9"/>
      <c r="G172" s="9">
        <v>7</v>
      </c>
      <c r="H172" s="9">
        <v>0</v>
      </c>
      <c r="I172" s="9">
        <v>7</v>
      </c>
      <c r="J172" s="11">
        <v>0</v>
      </c>
      <c r="K172" s="24">
        <v>2.5</v>
      </c>
      <c r="L172" s="24">
        <v>0</v>
      </c>
      <c r="M172" s="24">
        <v>0</v>
      </c>
      <c r="N172" s="9">
        <v>0</v>
      </c>
      <c r="O172" s="9">
        <v>0</v>
      </c>
      <c r="P172" s="9">
        <v>0</v>
      </c>
      <c r="Q172" s="11">
        <v>0</v>
      </c>
      <c r="R172" s="10" t="s">
        <v>176</v>
      </c>
      <c r="S172" s="6"/>
      <c r="T172" s="6"/>
    </row>
    <row r="173" spans="1:20">
      <c r="A173" s="7">
        <v>46216</v>
      </c>
      <c r="B173" s="8">
        <v>46229</v>
      </c>
      <c r="C173" s="9">
        <v>14</v>
      </c>
      <c r="D173" s="10" t="s">
        <v>651</v>
      </c>
      <c r="E173" s="10" t="s">
        <v>3771</v>
      </c>
      <c r="F173" s="9"/>
      <c r="G173" s="9">
        <v>13</v>
      </c>
      <c r="H173" s="9">
        <v>0</v>
      </c>
      <c r="I173" s="9">
        <v>13</v>
      </c>
      <c r="J173" s="11">
        <v>0</v>
      </c>
      <c r="K173" s="24">
        <v>5</v>
      </c>
      <c r="L173" s="24">
        <v>0</v>
      </c>
      <c r="M173" s="24">
        <v>0</v>
      </c>
      <c r="N173" s="9">
        <v>0</v>
      </c>
      <c r="O173" s="9">
        <v>0</v>
      </c>
      <c r="P173" s="9">
        <v>0</v>
      </c>
      <c r="Q173" s="11">
        <v>0</v>
      </c>
      <c r="R173" s="10" t="s">
        <v>176</v>
      </c>
      <c r="S173" s="6"/>
      <c r="T173" s="6"/>
    </row>
    <row r="174" spans="1:20">
      <c r="A174" s="7">
        <v>46216</v>
      </c>
      <c r="B174" s="8">
        <v>46229</v>
      </c>
      <c r="C174" s="9">
        <v>14</v>
      </c>
      <c r="D174" s="10" t="s">
        <v>651</v>
      </c>
      <c r="E174" s="10" t="s">
        <v>71</v>
      </c>
      <c r="F174" s="9"/>
      <c r="G174" s="9">
        <v>3</v>
      </c>
      <c r="H174" s="9">
        <v>0</v>
      </c>
      <c r="I174" s="9">
        <v>3</v>
      </c>
      <c r="J174" s="11">
        <v>0</v>
      </c>
      <c r="K174" s="24">
        <v>18</v>
      </c>
      <c r="L174" s="24">
        <v>0</v>
      </c>
      <c r="M174" s="24">
        <v>0</v>
      </c>
      <c r="N174" s="9">
        <v>0</v>
      </c>
      <c r="O174" s="9">
        <v>0</v>
      </c>
      <c r="P174" s="9">
        <v>0</v>
      </c>
      <c r="Q174" s="11">
        <v>0</v>
      </c>
      <c r="R174" s="10" t="s">
        <v>176</v>
      </c>
      <c r="S174" s="6"/>
      <c r="T174" s="6"/>
    </row>
    <row r="175" spans="1:20">
      <c r="A175" s="7">
        <v>46216</v>
      </c>
      <c r="B175" s="8">
        <v>46229</v>
      </c>
      <c r="C175" s="9">
        <v>14</v>
      </c>
      <c r="D175" s="10" t="s">
        <v>2264</v>
      </c>
      <c r="E175" s="10" t="s">
        <v>236</v>
      </c>
      <c r="F175" s="9"/>
      <c r="G175" s="9">
        <v>30</v>
      </c>
      <c r="H175" s="9">
        <v>8</v>
      </c>
      <c r="I175" s="9">
        <v>22</v>
      </c>
      <c r="J175" s="11">
        <v>0.266666666666667</v>
      </c>
      <c r="K175" s="24">
        <v>29.75</v>
      </c>
      <c r="L175" s="24">
        <v>892.5</v>
      </c>
      <c r="M175" s="24">
        <v>12495</v>
      </c>
      <c r="N175" s="9">
        <v>20</v>
      </c>
      <c r="O175" s="9">
        <v>18</v>
      </c>
      <c r="P175" s="9">
        <v>19</v>
      </c>
      <c r="Q175" s="11">
        <v>0.6</v>
      </c>
      <c r="R175" s="10" t="s">
        <v>3698</v>
      </c>
      <c r="S175" s="6"/>
      <c r="T175" s="6"/>
    </row>
    <row r="176" spans="1:20">
      <c r="A176" s="7">
        <v>46216</v>
      </c>
      <c r="B176" s="8">
        <v>46229</v>
      </c>
      <c r="C176" s="9">
        <v>14</v>
      </c>
      <c r="D176" s="10" t="s">
        <v>842</v>
      </c>
      <c r="E176" s="10" t="s">
        <v>40</v>
      </c>
      <c r="F176" s="9"/>
      <c r="G176" s="9">
        <v>4</v>
      </c>
      <c r="H176" s="9">
        <v>4</v>
      </c>
      <c r="I176" s="9">
        <v>0</v>
      </c>
      <c r="J176" s="11">
        <v>1</v>
      </c>
      <c r="K176" s="24">
        <v>15</v>
      </c>
      <c r="L176" s="24">
        <v>60</v>
      </c>
      <c r="M176" s="24">
        <v>840</v>
      </c>
      <c r="N176" s="9">
        <v>3</v>
      </c>
      <c r="O176" s="9">
        <v>7</v>
      </c>
      <c r="P176" s="9">
        <v>5</v>
      </c>
      <c r="Q176" s="11">
        <v>1.75</v>
      </c>
      <c r="R176" s="10" t="s">
        <v>177</v>
      </c>
      <c r="S176" s="6"/>
      <c r="T176" s="6"/>
    </row>
    <row r="177" spans="1:20">
      <c r="A177" s="7">
        <v>46216</v>
      </c>
      <c r="B177" s="8">
        <v>46229</v>
      </c>
      <c r="C177" s="9">
        <v>14</v>
      </c>
      <c r="D177" s="10" t="s">
        <v>842</v>
      </c>
      <c r="E177" s="10" t="s">
        <v>269</v>
      </c>
      <c r="F177" s="9"/>
      <c r="G177" s="9">
        <v>2</v>
      </c>
      <c r="H177" s="9">
        <v>2</v>
      </c>
      <c r="I177" s="9">
        <v>0</v>
      </c>
      <c r="J177" s="11">
        <v>1</v>
      </c>
      <c r="K177" s="24">
        <v>22</v>
      </c>
      <c r="L177" s="24">
        <v>44</v>
      </c>
      <c r="M177" s="24">
        <v>616</v>
      </c>
      <c r="N177" s="9">
        <v>2</v>
      </c>
      <c r="O177" s="9">
        <v>4</v>
      </c>
      <c r="P177" s="9">
        <v>2</v>
      </c>
      <c r="Q177" s="11">
        <v>2</v>
      </c>
      <c r="R177" s="10" t="s">
        <v>177</v>
      </c>
      <c r="S177" s="6"/>
      <c r="T177" s="6"/>
    </row>
    <row r="178" spans="1:20">
      <c r="A178" s="7">
        <v>46216</v>
      </c>
      <c r="B178" s="8">
        <v>46229</v>
      </c>
      <c r="C178" s="9">
        <v>14</v>
      </c>
      <c r="D178" s="10" t="s">
        <v>842</v>
      </c>
      <c r="E178" s="10" t="s">
        <v>1985</v>
      </c>
      <c r="F178" s="9"/>
      <c r="G178" s="9">
        <v>2</v>
      </c>
      <c r="H178" s="9">
        <v>1</v>
      </c>
      <c r="I178" s="9">
        <v>1</v>
      </c>
      <c r="J178" s="11">
        <v>0.5</v>
      </c>
      <c r="K178" s="24">
        <v>12</v>
      </c>
      <c r="L178" s="24">
        <v>12</v>
      </c>
      <c r="M178" s="24">
        <v>168</v>
      </c>
      <c r="N178" s="9">
        <v>1</v>
      </c>
      <c r="O178" s="9">
        <v>2</v>
      </c>
      <c r="P178" s="9">
        <v>2</v>
      </c>
      <c r="Q178" s="11">
        <v>1</v>
      </c>
      <c r="R178" s="10" t="s">
        <v>3449</v>
      </c>
      <c r="S178" s="6"/>
      <c r="T178" s="6"/>
    </row>
    <row r="179" spans="1:20">
      <c r="A179" s="7">
        <v>46216</v>
      </c>
      <c r="B179" s="8">
        <v>46229</v>
      </c>
      <c r="C179" s="9">
        <v>14</v>
      </c>
      <c r="D179" s="10" t="s">
        <v>842</v>
      </c>
      <c r="E179" s="10" t="s">
        <v>32</v>
      </c>
      <c r="F179" s="9"/>
      <c r="G179" s="9">
        <v>15</v>
      </c>
      <c r="H179" s="9">
        <v>4</v>
      </c>
      <c r="I179" s="9">
        <v>11</v>
      </c>
      <c r="J179" s="11">
        <v>0.266666666666667</v>
      </c>
      <c r="K179" s="24">
        <v>1</v>
      </c>
      <c r="L179" s="24">
        <v>4</v>
      </c>
      <c r="M179" s="24">
        <v>56</v>
      </c>
      <c r="N179" s="9">
        <v>3</v>
      </c>
      <c r="O179" s="9">
        <v>4</v>
      </c>
      <c r="P179" s="9">
        <v>5</v>
      </c>
      <c r="Q179" s="11">
        <v>0.266666666666667</v>
      </c>
      <c r="R179" s="10" t="s">
        <v>3698</v>
      </c>
      <c r="S179" s="6"/>
      <c r="T179" s="6"/>
    </row>
    <row r="180" spans="1:20">
      <c r="A180" s="7">
        <v>46216</v>
      </c>
      <c r="B180" s="8">
        <v>46229</v>
      </c>
      <c r="C180" s="9">
        <v>14</v>
      </c>
      <c r="D180" s="10" t="s">
        <v>842</v>
      </c>
      <c r="E180" s="10" t="s">
        <v>914</v>
      </c>
      <c r="F180" s="9"/>
      <c r="G180" s="9">
        <v>1</v>
      </c>
      <c r="H180" s="9">
        <v>1</v>
      </c>
      <c r="I180" s="9">
        <v>0</v>
      </c>
      <c r="J180" s="11">
        <v>1</v>
      </c>
      <c r="K180" s="24">
        <v>2.5</v>
      </c>
      <c r="L180" s="24">
        <v>2.5</v>
      </c>
      <c r="M180" s="24">
        <v>35</v>
      </c>
      <c r="N180" s="9">
        <v>0</v>
      </c>
      <c r="O180" s="9">
        <v>1</v>
      </c>
      <c r="P180" s="9">
        <v>1</v>
      </c>
      <c r="Q180" s="11">
        <v>1</v>
      </c>
      <c r="R180" s="10" t="s">
        <v>177</v>
      </c>
      <c r="S180" s="6"/>
      <c r="T180" s="6"/>
    </row>
    <row r="181" spans="1:20">
      <c r="A181" s="7">
        <v>46216</v>
      </c>
      <c r="B181" s="8">
        <v>46229</v>
      </c>
      <c r="C181" s="9">
        <v>14</v>
      </c>
      <c r="D181" s="10" t="s">
        <v>842</v>
      </c>
      <c r="E181" s="10" t="s">
        <v>261</v>
      </c>
      <c r="F181" s="9"/>
      <c r="G181" s="9">
        <v>2</v>
      </c>
      <c r="H181" s="9">
        <v>0</v>
      </c>
      <c r="I181" s="9">
        <v>2</v>
      </c>
      <c r="J181" s="11">
        <v>0</v>
      </c>
      <c r="K181" s="24">
        <v>12</v>
      </c>
      <c r="L181" s="24">
        <v>0</v>
      </c>
      <c r="M181" s="24">
        <v>0</v>
      </c>
      <c r="N181" s="9">
        <v>0</v>
      </c>
      <c r="O181" s="9">
        <v>0</v>
      </c>
      <c r="P181" s="9">
        <v>0</v>
      </c>
      <c r="Q181" s="11">
        <v>0</v>
      </c>
      <c r="R181" s="10" t="s">
        <v>176</v>
      </c>
      <c r="S181" s="6"/>
      <c r="T181" s="6"/>
    </row>
    <row r="182" spans="1:20">
      <c r="A182" s="7">
        <v>46216</v>
      </c>
      <c r="B182" s="8">
        <v>46229</v>
      </c>
      <c r="C182" s="9">
        <v>14</v>
      </c>
      <c r="D182" s="10" t="s">
        <v>842</v>
      </c>
      <c r="E182" s="10" t="s">
        <v>262</v>
      </c>
      <c r="F182" s="9"/>
      <c r="G182" s="9">
        <v>1</v>
      </c>
      <c r="H182" s="9">
        <v>0</v>
      </c>
      <c r="I182" s="9">
        <v>1</v>
      </c>
      <c r="J182" s="11">
        <v>0</v>
      </c>
      <c r="K182" s="24">
        <v>22</v>
      </c>
      <c r="L182" s="24">
        <v>0</v>
      </c>
      <c r="M182" s="24">
        <v>0</v>
      </c>
      <c r="N182" s="9">
        <v>0</v>
      </c>
      <c r="O182" s="9">
        <v>0</v>
      </c>
      <c r="P182" s="9">
        <v>0</v>
      </c>
      <c r="Q182" s="11">
        <v>0</v>
      </c>
      <c r="R182" s="10" t="s">
        <v>176</v>
      </c>
      <c r="S182" s="6"/>
      <c r="T182" s="6"/>
    </row>
    <row r="183" spans="1:20">
      <c r="A183" s="7">
        <v>46216</v>
      </c>
      <c r="B183" s="8">
        <v>46229</v>
      </c>
      <c r="C183" s="9">
        <v>14</v>
      </c>
      <c r="D183" s="10" t="s">
        <v>842</v>
      </c>
      <c r="E183" s="10" t="s">
        <v>263</v>
      </c>
      <c r="F183" s="9"/>
      <c r="G183" s="9">
        <v>2</v>
      </c>
      <c r="H183" s="9">
        <v>0</v>
      </c>
      <c r="I183" s="9">
        <v>2</v>
      </c>
      <c r="J183" s="11">
        <v>0</v>
      </c>
      <c r="K183" s="24">
        <v>24.13</v>
      </c>
      <c r="L183" s="24">
        <v>0</v>
      </c>
      <c r="M183" s="24">
        <v>0</v>
      </c>
      <c r="N183" s="9">
        <v>0</v>
      </c>
      <c r="O183" s="9">
        <v>0</v>
      </c>
      <c r="P183" s="9">
        <v>0</v>
      </c>
      <c r="Q183" s="11">
        <v>0</v>
      </c>
      <c r="R183" s="10" t="s">
        <v>176</v>
      </c>
      <c r="S183" s="6"/>
      <c r="T183" s="6"/>
    </row>
    <row r="184" spans="1:20">
      <c r="A184" s="7">
        <v>46216</v>
      </c>
      <c r="B184" s="8">
        <v>46229</v>
      </c>
      <c r="C184" s="9">
        <v>14</v>
      </c>
      <c r="D184" s="10" t="s">
        <v>842</v>
      </c>
      <c r="E184" s="10" t="s">
        <v>1983</v>
      </c>
      <c r="F184" s="9"/>
      <c r="G184" s="9">
        <v>2</v>
      </c>
      <c r="H184" s="9">
        <v>0</v>
      </c>
      <c r="I184" s="9">
        <v>2</v>
      </c>
      <c r="J184" s="11">
        <v>0</v>
      </c>
      <c r="K184" s="24">
        <v>34</v>
      </c>
      <c r="L184" s="24">
        <v>0</v>
      </c>
      <c r="M184" s="24">
        <v>0</v>
      </c>
      <c r="N184" s="9">
        <v>0</v>
      </c>
      <c r="O184" s="9">
        <v>0</v>
      </c>
      <c r="P184" s="9">
        <v>0</v>
      </c>
      <c r="Q184" s="11">
        <v>0</v>
      </c>
      <c r="R184" s="10" t="s">
        <v>176</v>
      </c>
      <c r="S184" s="6"/>
      <c r="T184" s="6"/>
    </row>
    <row r="185" spans="1:20">
      <c r="A185" s="7">
        <v>46216</v>
      </c>
      <c r="B185" s="8">
        <v>46229</v>
      </c>
      <c r="C185" s="9">
        <v>14</v>
      </c>
      <c r="D185" s="10" t="s">
        <v>842</v>
      </c>
      <c r="E185" s="10" t="s">
        <v>264</v>
      </c>
      <c r="F185" s="9"/>
      <c r="G185" s="9">
        <v>2</v>
      </c>
      <c r="H185" s="9">
        <v>0</v>
      </c>
      <c r="I185" s="9">
        <v>2</v>
      </c>
      <c r="J185" s="11">
        <v>0</v>
      </c>
      <c r="K185" s="24">
        <v>12</v>
      </c>
      <c r="L185" s="24">
        <v>0</v>
      </c>
      <c r="M185" s="24">
        <v>0</v>
      </c>
      <c r="N185" s="9">
        <v>0</v>
      </c>
      <c r="O185" s="9">
        <v>0</v>
      </c>
      <c r="P185" s="9">
        <v>0</v>
      </c>
      <c r="Q185" s="11">
        <v>0</v>
      </c>
      <c r="R185" s="10" t="s">
        <v>176</v>
      </c>
      <c r="S185" s="6"/>
      <c r="T185" s="6"/>
    </row>
    <row r="186" spans="1:20">
      <c r="A186" s="7">
        <v>46216</v>
      </c>
      <c r="B186" s="8">
        <v>46229</v>
      </c>
      <c r="C186" s="9">
        <v>14</v>
      </c>
      <c r="D186" s="10" t="s">
        <v>842</v>
      </c>
      <c r="E186" s="10" t="s">
        <v>265</v>
      </c>
      <c r="F186" s="9"/>
      <c r="G186" s="9">
        <v>3</v>
      </c>
      <c r="H186" s="9">
        <v>0</v>
      </c>
      <c r="I186" s="9">
        <v>3</v>
      </c>
      <c r="J186" s="11">
        <v>0</v>
      </c>
      <c r="K186" s="24">
        <v>12</v>
      </c>
      <c r="L186" s="24">
        <v>0</v>
      </c>
      <c r="M186" s="24">
        <v>0</v>
      </c>
      <c r="N186" s="9">
        <v>0</v>
      </c>
      <c r="O186" s="9">
        <v>0</v>
      </c>
      <c r="P186" s="9">
        <v>0</v>
      </c>
      <c r="Q186" s="11">
        <v>0</v>
      </c>
      <c r="R186" s="10" t="s">
        <v>176</v>
      </c>
      <c r="S186" s="6"/>
      <c r="T186" s="6"/>
    </row>
    <row r="187" spans="1:20">
      <c r="A187" s="7">
        <v>46216</v>
      </c>
      <c r="B187" s="8">
        <v>46229</v>
      </c>
      <c r="C187" s="9">
        <v>14</v>
      </c>
      <c r="D187" s="10" t="s">
        <v>842</v>
      </c>
      <c r="E187" s="10" t="s">
        <v>266</v>
      </c>
      <c r="F187" s="9"/>
      <c r="G187" s="9">
        <v>2</v>
      </c>
      <c r="H187" s="9">
        <v>0</v>
      </c>
      <c r="I187" s="9">
        <v>2</v>
      </c>
      <c r="J187" s="11">
        <v>0</v>
      </c>
      <c r="K187" s="24">
        <v>12</v>
      </c>
      <c r="L187" s="24">
        <v>0</v>
      </c>
      <c r="M187" s="24">
        <v>0</v>
      </c>
      <c r="N187" s="9">
        <v>0</v>
      </c>
      <c r="O187" s="9">
        <v>0</v>
      </c>
      <c r="P187" s="9">
        <v>0</v>
      </c>
      <c r="Q187" s="11">
        <v>0</v>
      </c>
      <c r="R187" s="10" t="s">
        <v>176</v>
      </c>
      <c r="S187" s="6"/>
      <c r="T187" s="6"/>
    </row>
    <row r="188" spans="1:20">
      <c r="A188" s="7">
        <v>46216</v>
      </c>
      <c r="B188" s="8">
        <v>46229</v>
      </c>
      <c r="C188" s="9">
        <v>14</v>
      </c>
      <c r="D188" s="10" t="s">
        <v>842</v>
      </c>
      <c r="E188" s="10" t="s">
        <v>267</v>
      </c>
      <c r="F188" s="9"/>
      <c r="G188" s="9">
        <v>2</v>
      </c>
      <c r="H188" s="9">
        <v>0</v>
      </c>
      <c r="I188" s="9">
        <v>2</v>
      </c>
      <c r="J188" s="11">
        <v>0</v>
      </c>
      <c r="K188" s="24">
        <v>12</v>
      </c>
      <c r="L188" s="24">
        <v>0</v>
      </c>
      <c r="M188" s="24">
        <v>0</v>
      </c>
      <c r="N188" s="9">
        <v>0</v>
      </c>
      <c r="O188" s="9">
        <v>0</v>
      </c>
      <c r="P188" s="9">
        <v>0</v>
      </c>
      <c r="Q188" s="11">
        <v>0</v>
      </c>
      <c r="R188" s="10" t="s">
        <v>176</v>
      </c>
      <c r="S188" s="6"/>
      <c r="T188" s="6"/>
    </row>
    <row r="189" spans="1:20">
      <c r="A189" s="7">
        <v>46216</v>
      </c>
      <c r="B189" s="8">
        <v>46229</v>
      </c>
      <c r="C189" s="9">
        <v>14</v>
      </c>
      <c r="D189" s="10" t="s">
        <v>842</v>
      </c>
      <c r="E189" s="10" t="s">
        <v>1984</v>
      </c>
      <c r="F189" s="9"/>
      <c r="G189" s="9">
        <v>2</v>
      </c>
      <c r="H189" s="9">
        <v>0</v>
      </c>
      <c r="I189" s="9">
        <v>2</v>
      </c>
      <c r="J189" s="11">
        <v>0</v>
      </c>
      <c r="K189" s="24">
        <v>22</v>
      </c>
      <c r="L189" s="24">
        <v>0</v>
      </c>
      <c r="M189" s="24">
        <v>0</v>
      </c>
      <c r="N189" s="9">
        <v>0</v>
      </c>
      <c r="O189" s="9">
        <v>0</v>
      </c>
      <c r="P189" s="9">
        <v>0</v>
      </c>
      <c r="Q189" s="11">
        <v>0</v>
      </c>
      <c r="R189" s="10" t="s">
        <v>176</v>
      </c>
      <c r="S189" s="6"/>
      <c r="T189" s="6"/>
    </row>
    <row r="190" spans="1:20">
      <c r="A190" s="7">
        <v>46216</v>
      </c>
      <c r="B190" s="8">
        <v>46229</v>
      </c>
      <c r="C190" s="9">
        <v>14</v>
      </c>
      <c r="D190" s="10" t="s">
        <v>842</v>
      </c>
      <c r="E190" s="10" t="s">
        <v>268</v>
      </c>
      <c r="F190" s="9"/>
      <c r="G190" s="9">
        <v>2</v>
      </c>
      <c r="H190" s="9">
        <v>0</v>
      </c>
      <c r="I190" s="9">
        <v>2</v>
      </c>
      <c r="J190" s="11">
        <v>0</v>
      </c>
      <c r="K190" s="24">
        <v>22</v>
      </c>
      <c r="L190" s="24">
        <v>0</v>
      </c>
      <c r="M190" s="24">
        <v>0</v>
      </c>
      <c r="N190" s="9">
        <v>0</v>
      </c>
      <c r="O190" s="9">
        <v>0</v>
      </c>
      <c r="P190" s="9">
        <v>0</v>
      </c>
      <c r="Q190" s="11">
        <v>0</v>
      </c>
      <c r="R190" s="10" t="s">
        <v>176</v>
      </c>
      <c r="S190" s="6"/>
      <c r="T190" s="6"/>
    </row>
    <row r="191" spans="1:20">
      <c r="A191" s="7">
        <v>46216</v>
      </c>
      <c r="B191" s="8">
        <v>46229</v>
      </c>
      <c r="C191" s="9">
        <v>14</v>
      </c>
      <c r="D191" s="10" t="s">
        <v>842</v>
      </c>
      <c r="E191" s="10" t="s">
        <v>1986</v>
      </c>
      <c r="F191" s="9"/>
      <c r="G191" s="9">
        <v>1</v>
      </c>
      <c r="H191" s="9">
        <v>0</v>
      </c>
      <c r="I191" s="9">
        <v>1</v>
      </c>
      <c r="J191" s="11">
        <v>0</v>
      </c>
      <c r="K191" s="24">
        <v>22</v>
      </c>
      <c r="L191" s="24">
        <v>0</v>
      </c>
      <c r="M191" s="24">
        <v>0</v>
      </c>
      <c r="N191" s="9">
        <v>0</v>
      </c>
      <c r="O191" s="9">
        <v>0</v>
      </c>
      <c r="P191" s="9">
        <v>0</v>
      </c>
      <c r="Q191" s="11">
        <v>0</v>
      </c>
      <c r="R191" s="10" t="s">
        <v>176</v>
      </c>
      <c r="S191" s="6"/>
      <c r="T191" s="6"/>
    </row>
    <row r="192" spans="1:20">
      <c r="A192" s="7">
        <v>46216</v>
      </c>
      <c r="B192" s="8">
        <v>46229</v>
      </c>
      <c r="C192" s="9">
        <v>14</v>
      </c>
      <c r="D192" s="10" t="s">
        <v>842</v>
      </c>
      <c r="E192" s="10" t="s">
        <v>270</v>
      </c>
      <c r="F192" s="9"/>
      <c r="G192" s="9">
        <v>1</v>
      </c>
      <c r="H192" s="9">
        <v>0</v>
      </c>
      <c r="I192" s="9">
        <v>1</v>
      </c>
      <c r="J192" s="11">
        <v>0</v>
      </c>
      <c r="K192" s="24">
        <v>29</v>
      </c>
      <c r="L192" s="24">
        <v>0</v>
      </c>
      <c r="M192" s="24">
        <v>0</v>
      </c>
      <c r="N192" s="9">
        <v>0</v>
      </c>
      <c r="O192" s="9">
        <v>0</v>
      </c>
      <c r="P192" s="9">
        <v>0</v>
      </c>
      <c r="Q192" s="11">
        <v>0</v>
      </c>
      <c r="R192" s="10" t="s">
        <v>176</v>
      </c>
      <c r="S192" s="6"/>
      <c r="T192" s="6"/>
    </row>
    <row r="193" spans="1:20">
      <c r="A193" s="7">
        <v>46216</v>
      </c>
      <c r="B193" s="8">
        <v>46229</v>
      </c>
      <c r="C193" s="9">
        <v>14</v>
      </c>
      <c r="D193" s="10" t="s">
        <v>842</v>
      </c>
      <c r="E193" s="10" t="s">
        <v>271</v>
      </c>
      <c r="F193" s="9"/>
      <c r="G193" s="9">
        <v>3</v>
      </c>
      <c r="H193" s="9">
        <v>0</v>
      </c>
      <c r="I193" s="9">
        <v>3</v>
      </c>
      <c r="J193" s="11">
        <v>0</v>
      </c>
      <c r="K193" s="24">
        <v>34</v>
      </c>
      <c r="L193" s="24">
        <v>0</v>
      </c>
      <c r="M193" s="24">
        <v>0</v>
      </c>
      <c r="N193" s="9">
        <v>0</v>
      </c>
      <c r="O193" s="9">
        <v>0</v>
      </c>
      <c r="P193" s="9">
        <v>0</v>
      </c>
      <c r="Q193" s="11">
        <v>0</v>
      </c>
      <c r="R193" s="10" t="s">
        <v>176</v>
      </c>
      <c r="S193" s="6"/>
      <c r="T193" s="6"/>
    </row>
    <row r="194" spans="1:20">
      <c r="A194" s="7">
        <v>46216</v>
      </c>
      <c r="B194" s="8">
        <v>46229</v>
      </c>
      <c r="C194" s="9">
        <v>14</v>
      </c>
      <c r="D194" s="10" t="s">
        <v>842</v>
      </c>
      <c r="E194" s="10" t="s">
        <v>1987</v>
      </c>
      <c r="F194" s="9"/>
      <c r="G194" s="9">
        <v>2</v>
      </c>
      <c r="H194" s="9">
        <v>0</v>
      </c>
      <c r="I194" s="9">
        <v>2</v>
      </c>
      <c r="J194" s="11">
        <v>0</v>
      </c>
      <c r="K194" s="24">
        <v>34</v>
      </c>
      <c r="L194" s="24">
        <v>0</v>
      </c>
      <c r="M194" s="24">
        <v>0</v>
      </c>
      <c r="N194" s="9">
        <v>0</v>
      </c>
      <c r="O194" s="9">
        <v>0</v>
      </c>
      <c r="P194" s="9">
        <v>0</v>
      </c>
      <c r="Q194" s="11">
        <v>0</v>
      </c>
      <c r="R194" s="10" t="s">
        <v>176</v>
      </c>
      <c r="S194" s="6"/>
      <c r="T194" s="6"/>
    </row>
    <row r="195" spans="1:20">
      <c r="A195" s="7">
        <v>46216</v>
      </c>
      <c r="B195" s="8">
        <v>46229</v>
      </c>
      <c r="C195" s="9">
        <v>14</v>
      </c>
      <c r="D195" s="10" t="s">
        <v>842</v>
      </c>
      <c r="E195" s="10" t="s">
        <v>272</v>
      </c>
      <c r="F195" s="9"/>
      <c r="G195" s="9">
        <v>3</v>
      </c>
      <c r="H195" s="9">
        <v>0</v>
      </c>
      <c r="I195" s="9">
        <v>3</v>
      </c>
      <c r="J195" s="11">
        <v>0</v>
      </c>
      <c r="K195" s="24">
        <v>74</v>
      </c>
      <c r="L195" s="24">
        <v>0</v>
      </c>
      <c r="M195" s="24">
        <v>0</v>
      </c>
      <c r="N195" s="9">
        <v>0</v>
      </c>
      <c r="O195" s="9">
        <v>0</v>
      </c>
      <c r="P195" s="9">
        <v>0</v>
      </c>
      <c r="Q195" s="11">
        <v>0</v>
      </c>
      <c r="R195" s="10" t="s">
        <v>176</v>
      </c>
      <c r="S195" s="6"/>
      <c r="T195" s="6"/>
    </row>
    <row r="196" spans="1:20">
      <c r="A196" s="7">
        <v>46216</v>
      </c>
      <c r="B196" s="8">
        <v>46229</v>
      </c>
      <c r="C196" s="9">
        <v>14</v>
      </c>
      <c r="D196" s="10" t="s">
        <v>842</v>
      </c>
      <c r="E196" s="10" t="s">
        <v>1988</v>
      </c>
      <c r="F196" s="9"/>
      <c r="G196" s="9">
        <v>1</v>
      </c>
      <c r="H196" s="9">
        <v>0</v>
      </c>
      <c r="I196" s="9">
        <v>1</v>
      </c>
      <c r="J196" s="11">
        <v>0</v>
      </c>
      <c r="K196" s="24">
        <v>55.69</v>
      </c>
      <c r="L196" s="24">
        <v>0</v>
      </c>
      <c r="M196" s="24">
        <v>0</v>
      </c>
      <c r="N196" s="9">
        <v>0</v>
      </c>
      <c r="O196" s="9">
        <v>0</v>
      </c>
      <c r="P196" s="9">
        <v>0</v>
      </c>
      <c r="Q196" s="11">
        <v>0</v>
      </c>
      <c r="R196" s="10" t="s">
        <v>176</v>
      </c>
      <c r="S196" s="6"/>
      <c r="T196" s="6"/>
    </row>
    <row r="197" spans="1:20">
      <c r="A197" s="7">
        <v>46216</v>
      </c>
      <c r="B197" s="8">
        <v>46229</v>
      </c>
      <c r="C197" s="9">
        <v>14</v>
      </c>
      <c r="D197" s="10" t="s">
        <v>842</v>
      </c>
      <c r="E197" s="10" t="s">
        <v>273</v>
      </c>
      <c r="F197" s="9"/>
      <c r="G197" s="9">
        <v>2</v>
      </c>
      <c r="H197" s="9">
        <v>0</v>
      </c>
      <c r="I197" s="9">
        <v>2</v>
      </c>
      <c r="J197" s="11">
        <v>0</v>
      </c>
      <c r="K197" s="24">
        <v>59.49</v>
      </c>
      <c r="L197" s="24">
        <v>0</v>
      </c>
      <c r="M197" s="24">
        <v>0</v>
      </c>
      <c r="N197" s="9">
        <v>0</v>
      </c>
      <c r="O197" s="9">
        <v>0</v>
      </c>
      <c r="P197" s="9">
        <v>0</v>
      </c>
      <c r="Q197" s="11">
        <v>0</v>
      </c>
      <c r="R197" s="10" t="s">
        <v>176</v>
      </c>
      <c r="S197" s="6"/>
      <c r="T197" s="6"/>
    </row>
    <row r="198" spans="1:20">
      <c r="A198" s="7">
        <v>46216</v>
      </c>
      <c r="B198" s="8">
        <v>46229</v>
      </c>
      <c r="C198" s="9">
        <v>14</v>
      </c>
      <c r="D198" s="10" t="s">
        <v>842</v>
      </c>
      <c r="E198" s="10" t="s">
        <v>274</v>
      </c>
      <c r="F198" s="9"/>
      <c r="G198" s="9">
        <v>1</v>
      </c>
      <c r="H198" s="9">
        <v>0</v>
      </c>
      <c r="I198" s="9">
        <v>1</v>
      </c>
      <c r="J198" s="11">
        <v>0</v>
      </c>
      <c r="K198" s="24">
        <v>3.48</v>
      </c>
      <c r="L198" s="24">
        <v>0</v>
      </c>
      <c r="M198" s="24">
        <v>0</v>
      </c>
      <c r="N198" s="9">
        <v>0</v>
      </c>
      <c r="O198" s="9">
        <v>0</v>
      </c>
      <c r="P198" s="9">
        <v>0</v>
      </c>
      <c r="Q198" s="11">
        <v>0</v>
      </c>
      <c r="R198" s="10" t="s">
        <v>176</v>
      </c>
      <c r="S198" s="6"/>
      <c r="T198" s="6"/>
    </row>
    <row r="199" spans="1:20">
      <c r="A199" s="7">
        <v>46216</v>
      </c>
      <c r="B199" s="8">
        <v>46229</v>
      </c>
      <c r="C199" s="9">
        <v>14</v>
      </c>
      <c r="D199" s="10" t="s">
        <v>842</v>
      </c>
      <c r="E199" s="10" t="s">
        <v>646</v>
      </c>
      <c r="F199" s="9"/>
      <c r="G199" s="9">
        <v>1</v>
      </c>
      <c r="H199" s="9">
        <v>0</v>
      </c>
      <c r="I199" s="9">
        <v>1</v>
      </c>
      <c r="J199" s="11">
        <v>0</v>
      </c>
      <c r="K199" s="24">
        <v>55.69</v>
      </c>
      <c r="L199" s="24">
        <v>0</v>
      </c>
      <c r="M199" s="24">
        <v>0</v>
      </c>
      <c r="N199" s="9">
        <v>0</v>
      </c>
      <c r="O199" s="9">
        <v>0</v>
      </c>
      <c r="P199" s="9">
        <v>0</v>
      </c>
      <c r="Q199" s="11">
        <v>0</v>
      </c>
      <c r="R199" s="10" t="s">
        <v>176</v>
      </c>
      <c r="S199" s="6"/>
      <c r="T199" s="6"/>
    </row>
    <row r="200" spans="1:20">
      <c r="A200" s="7">
        <v>46216</v>
      </c>
      <c r="B200" s="8">
        <v>46229</v>
      </c>
      <c r="C200" s="9">
        <v>14</v>
      </c>
      <c r="D200" s="10" t="s">
        <v>842</v>
      </c>
      <c r="E200" s="10" t="s">
        <v>275</v>
      </c>
      <c r="F200" s="9"/>
      <c r="G200" s="9">
        <v>1</v>
      </c>
      <c r="H200" s="9">
        <v>0</v>
      </c>
      <c r="I200" s="9">
        <v>1</v>
      </c>
      <c r="J200" s="11">
        <v>0</v>
      </c>
      <c r="K200" s="24">
        <v>55.69</v>
      </c>
      <c r="L200" s="24">
        <v>0</v>
      </c>
      <c r="M200" s="24">
        <v>0</v>
      </c>
      <c r="N200" s="9">
        <v>0</v>
      </c>
      <c r="O200" s="9">
        <v>0</v>
      </c>
      <c r="P200" s="9">
        <v>0</v>
      </c>
      <c r="Q200" s="11">
        <v>0</v>
      </c>
      <c r="R200" s="10" t="s">
        <v>176</v>
      </c>
      <c r="S200" s="6"/>
      <c r="T200" s="6"/>
    </row>
    <row r="201" spans="1:20">
      <c r="A201" s="7">
        <v>46216</v>
      </c>
      <c r="B201" s="8">
        <v>46229</v>
      </c>
      <c r="C201" s="9">
        <v>14</v>
      </c>
      <c r="D201" s="10" t="s">
        <v>842</v>
      </c>
      <c r="E201" s="10" t="s">
        <v>1989</v>
      </c>
      <c r="F201" s="9"/>
      <c r="G201" s="9">
        <v>1</v>
      </c>
      <c r="H201" s="9">
        <v>0</v>
      </c>
      <c r="I201" s="9">
        <v>1</v>
      </c>
      <c r="J201" s="11">
        <v>0</v>
      </c>
      <c r="K201" s="24">
        <v>25</v>
      </c>
      <c r="L201" s="24">
        <v>0</v>
      </c>
      <c r="M201" s="24">
        <v>0</v>
      </c>
      <c r="N201" s="9">
        <v>0</v>
      </c>
      <c r="O201" s="9">
        <v>0</v>
      </c>
      <c r="P201" s="9">
        <v>0</v>
      </c>
      <c r="Q201" s="11">
        <v>0</v>
      </c>
      <c r="R201" s="10" t="s">
        <v>176</v>
      </c>
      <c r="S201" s="6"/>
      <c r="T201" s="6"/>
    </row>
    <row r="202" spans="1:20">
      <c r="A202" s="7">
        <v>46216</v>
      </c>
      <c r="B202" s="8">
        <v>46229</v>
      </c>
      <c r="C202" s="9">
        <v>14</v>
      </c>
      <c r="D202" s="10" t="s">
        <v>842</v>
      </c>
      <c r="E202" s="10" t="s">
        <v>1990</v>
      </c>
      <c r="F202" s="9"/>
      <c r="G202" s="9">
        <v>1</v>
      </c>
      <c r="H202" s="9">
        <v>0</v>
      </c>
      <c r="I202" s="9">
        <v>1</v>
      </c>
      <c r="J202" s="11">
        <v>0</v>
      </c>
      <c r="K202" s="24">
        <v>25</v>
      </c>
      <c r="L202" s="24">
        <v>0</v>
      </c>
      <c r="M202" s="24">
        <v>0</v>
      </c>
      <c r="N202" s="9">
        <v>0</v>
      </c>
      <c r="O202" s="9">
        <v>0</v>
      </c>
      <c r="P202" s="9">
        <v>0</v>
      </c>
      <c r="Q202" s="11">
        <v>0</v>
      </c>
      <c r="R202" s="10" t="s">
        <v>176</v>
      </c>
      <c r="S202" s="6"/>
      <c r="T202" s="6"/>
    </row>
    <row r="203" spans="1:20">
      <c r="A203" s="7">
        <v>46216</v>
      </c>
      <c r="B203" s="8">
        <v>46229</v>
      </c>
      <c r="C203" s="9">
        <v>14</v>
      </c>
      <c r="D203" s="10" t="s">
        <v>842</v>
      </c>
      <c r="E203" s="10" t="s">
        <v>276</v>
      </c>
      <c r="F203" s="9"/>
      <c r="G203" s="9">
        <v>2</v>
      </c>
      <c r="H203" s="9">
        <v>0</v>
      </c>
      <c r="I203" s="9">
        <v>2</v>
      </c>
      <c r="J203" s="11">
        <v>0</v>
      </c>
      <c r="K203" s="24">
        <v>65.28</v>
      </c>
      <c r="L203" s="24">
        <v>0</v>
      </c>
      <c r="M203" s="24">
        <v>0</v>
      </c>
      <c r="N203" s="9">
        <v>0</v>
      </c>
      <c r="O203" s="9">
        <v>0</v>
      </c>
      <c r="P203" s="9">
        <v>0</v>
      </c>
      <c r="Q203" s="11">
        <v>0</v>
      </c>
      <c r="R203" s="10" t="s">
        <v>176</v>
      </c>
      <c r="S203" s="6"/>
      <c r="T203" s="6"/>
    </row>
    <row r="204" spans="1:20">
      <c r="A204" s="7">
        <v>46216</v>
      </c>
      <c r="B204" s="8">
        <v>46229</v>
      </c>
      <c r="C204" s="9">
        <v>14</v>
      </c>
      <c r="D204" s="10" t="s">
        <v>842</v>
      </c>
      <c r="E204" s="10" t="s">
        <v>1991</v>
      </c>
      <c r="F204" s="9"/>
      <c r="G204" s="9">
        <v>2</v>
      </c>
      <c r="H204" s="9">
        <v>0</v>
      </c>
      <c r="I204" s="9">
        <v>2</v>
      </c>
      <c r="J204" s="11">
        <v>0</v>
      </c>
      <c r="K204" s="24">
        <v>65.28</v>
      </c>
      <c r="L204" s="24">
        <v>0</v>
      </c>
      <c r="M204" s="24">
        <v>0</v>
      </c>
      <c r="N204" s="9">
        <v>0</v>
      </c>
      <c r="O204" s="9">
        <v>0</v>
      </c>
      <c r="P204" s="9">
        <v>0</v>
      </c>
      <c r="Q204" s="11">
        <v>0</v>
      </c>
      <c r="R204" s="10" t="s">
        <v>176</v>
      </c>
      <c r="S204" s="6"/>
      <c r="T204" s="6"/>
    </row>
    <row r="205" spans="1:20">
      <c r="A205" s="7">
        <v>46216</v>
      </c>
      <c r="B205" s="8">
        <v>46229</v>
      </c>
      <c r="C205" s="9">
        <v>14</v>
      </c>
      <c r="D205" s="10" t="s">
        <v>842</v>
      </c>
      <c r="E205" s="10" t="s">
        <v>1992</v>
      </c>
      <c r="F205" s="9"/>
      <c r="G205" s="9">
        <v>1</v>
      </c>
      <c r="H205" s="9">
        <v>0</v>
      </c>
      <c r="I205" s="9">
        <v>1</v>
      </c>
      <c r="J205" s="11">
        <v>0</v>
      </c>
      <c r="K205" s="24">
        <v>37.08</v>
      </c>
      <c r="L205" s="24">
        <v>0</v>
      </c>
      <c r="M205" s="24">
        <v>0</v>
      </c>
      <c r="N205" s="9">
        <v>0</v>
      </c>
      <c r="O205" s="9">
        <v>0</v>
      </c>
      <c r="P205" s="9">
        <v>0</v>
      </c>
      <c r="Q205" s="11">
        <v>0</v>
      </c>
      <c r="R205" s="10" t="s">
        <v>176</v>
      </c>
      <c r="S205" s="6"/>
      <c r="T205" s="6"/>
    </row>
    <row r="206" spans="1:20">
      <c r="A206" s="7">
        <v>46216</v>
      </c>
      <c r="B206" s="8">
        <v>46229</v>
      </c>
      <c r="C206" s="9">
        <v>14</v>
      </c>
      <c r="D206" s="10" t="s">
        <v>842</v>
      </c>
      <c r="E206" s="10" t="s">
        <v>1993</v>
      </c>
      <c r="F206" s="9"/>
      <c r="G206" s="9">
        <v>1</v>
      </c>
      <c r="H206" s="9">
        <v>0</v>
      </c>
      <c r="I206" s="9">
        <v>1</v>
      </c>
      <c r="J206" s="11">
        <v>0</v>
      </c>
      <c r="K206" s="24">
        <v>37.08</v>
      </c>
      <c r="L206" s="24">
        <v>0</v>
      </c>
      <c r="M206" s="24">
        <v>0</v>
      </c>
      <c r="N206" s="9">
        <v>0</v>
      </c>
      <c r="O206" s="9">
        <v>0</v>
      </c>
      <c r="P206" s="9">
        <v>0</v>
      </c>
      <c r="Q206" s="11">
        <v>0</v>
      </c>
      <c r="R206" s="10" t="s">
        <v>176</v>
      </c>
      <c r="S206" s="6"/>
      <c r="T206" s="6"/>
    </row>
    <row r="207" spans="1:20">
      <c r="A207" s="7">
        <v>46216</v>
      </c>
      <c r="B207" s="8">
        <v>46229</v>
      </c>
      <c r="C207" s="9">
        <v>14</v>
      </c>
      <c r="D207" s="10" t="s">
        <v>842</v>
      </c>
      <c r="E207" s="10" t="s">
        <v>1994</v>
      </c>
      <c r="F207" s="9"/>
      <c r="G207" s="9">
        <v>1</v>
      </c>
      <c r="H207" s="9">
        <v>0</v>
      </c>
      <c r="I207" s="9">
        <v>1</v>
      </c>
      <c r="J207" s="11">
        <v>0</v>
      </c>
      <c r="K207" s="24">
        <v>37.08</v>
      </c>
      <c r="L207" s="24">
        <v>0</v>
      </c>
      <c r="M207" s="24">
        <v>0</v>
      </c>
      <c r="N207" s="9">
        <v>0</v>
      </c>
      <c r="O207" s="9">
        <v>0</v>
      </c>
      <c r="P207" s="9">
        <v>0</v>
      </c>
      <c r="Q207" s="11">
        <v>0</v>
      </c>
      <c r="R207" s="10" t="s">
        <v>176</v>
      </c>
      <c r="S207" s="6"/>
      <c r="T207" s="6"/>
    </row>
    <row r="208" spans="1:20">
      <c r="A208" s="7">
        <v>46216</v>
      </c>
      <c r="B208" s="8">
        <v>46229</v>
      </c>
      <c r="C208" s="9">
        <v>14</v>
      </c>
      <c r="D208" s="10" t="s">
        <v>842</v>
      </c>
      <c r="E208" s="10" t="s">
        <v>1995</v>
      </c>
      <c r="F208" s="9"/>
      <c r="G208" s="9">
        <v>1</v>
      </c>
      <c r="H208" s="9">
        <v>0</v>
      </c>
      <c r="I208" s="9">
        <v>1</v>
      </c>
      <c r="J208" s="11">
        <v>0</v>
      </c>
      <c r="K208" s="24">
        <v>41.79</v>
      </c>
      <c r="L208" s="24">
        <v>0</v>
      </c>
      <c r="M208" s="24">
        <v>0</v>
      </c>
      <c r="N208" s="9">
        <v>0</v>
      </c>
      <c r="O208" s="9">
        <v>0</v>
      </c>
      <c r="P208" s="9">
        <v>0</v>
      </c>
      <c r="Q208" s="11">
        <v>0</v>
      </c>
      <c r="R208" s="10" t="s">
        <v>176</v>
      </c>
      <c r="S208" s="6"/>
      <c r="T208" s="6"/>
    </row>
    <row r="209" spans="1:20">
      <c r="A209" s="7">
        <v>46216</v>
      </c>
      <c r="B209" s="8">
        <v>46229</v>
      </c>
      <c r="C209" s="9">
        <v>14</v>
      </c>
      <c r="D209" s="10" t="s">
        <v>842</v>
      </c>
      <c r="E209" s="10" t="s">
        <v>1996</v>
      </c>
      <c r="F209" s="9"/>
      <c r="G209" s="9">
        <v>1</v>
      </c>
      <c r="H209" s="9">
        <v>0</v>
      </c>
      <c r="I209" s="9">
        <v>1</v>
      </c>
      <c r="J209" s="11">
        <v>0</v>
      </c>
      <c r="K209" s="24">
        <v>41.79</v>
      </c>
      <c r="L209" s="24">
        <v>0</v>
      </c>
      <c r="M209" s="24">
        <v>0</v>
      </c>
      <c r="N209" s="9">
        <v>0</v>
      </c>
      <c r="O209" s="9">
        <v>0</v>
      </c>
      <c r="P209" s="9">
        <v>0</v>
      </c>
      <c r="Q209" s="11">
        <v>0</v>
      </c>
      <c r="R209" s="10" t="s">
        <v>176</v>
      </c>
      <c r="S209" s="6"/>
      <c r="T209" s="6"/>
    </row>
    <row r="210" spans="1:20">
      <c r="A210" s="7">
        <v>46216</v>
      </c>
      <c r="B210" s="8">
        <v>46229</v>
      </c>
      <c r="C210" s="9">
        <v>14</v>
      </c>
      <c r="D210" s="10" t="s">
        <v>842</v>
      </c>
      <c r="E210" s="10" t="s">
        <v>277</v>
      </c>
      <c r="F210" s="9"/>
      <c r="G210" s="9">
        <v>1</v>
      </c>
      <c r="H210" s="9">
        <v>0</v>
      </c>
      <c r="I210" s="9">
        <v>1</v>
      </c>
      <c r="J210" s="11">
        <v>0</v>
      </c>
      <c r="K210" s="24">
        <v>44.4</v>
      </c>
      <c r="L210" s="24">
        <v>0</v>
      </c>
      <c r="M210" s="24">
        <v>0</v>
      </c>
      <c r="N210" s="9">
        <v>0</v>
      </c>
      <c r="O210" s="9">
        <v>0</v>
      </c>
      <c r="P210" s="9">
        <v>0</v>
      </c>
      <c r="Q210" s="11">
        <v>0</v>
      </c>
      <c r="R210" s="10" t="s">
        <v>176</v>
      </c>
      <c r="S210" s="6"/>
      <c r="T210" s="6"/>
    </row>
    <row r="211" spans="1:20">
      <c r="A211" s="7">
        <v>46216</v>
      </c>
      <c r="B211" s="8">
        <v>46229</v>
      </c>
      <c r="C211" s="9">
        <v>14</v>
      </c>
      <c r="D211" s="10" t="s">
        <v>842</v>
      </c>
      <c r="E211" s="10" t="s">
        <v>1997</v>
      </c>
      <c r="F211" s="9"/>
      <c r="G211" s="9">
        <v>1</v>
      </c>
      <c r="H211" s="9">
        <v>0</v>
      </c>
      <c r="I211" s="9">
        <v>1</v>
      </c>
      <c r="J211" s="11">
        <v>0</v>
      </c>
      <c r="K211" s="24">
        <v>44.4</v>
      </c>
      <c r="L211" s="24">
        <v>0</v>
      </c>
      <c r="M211" s="24">
        <v>0</v>
      </c>
      <c r="N211" s="9">
        <v>0</v>
      </c>
      <c r="O211" s="9">
        <v>0</v>
      </c>
      <c r="P211" s="9">
        <v>0</v>
      </c>
      <c r="Q211" s="11">
        <v>0</v>
      </c>
      <c r="R211" s="10" t="s">
        <v>176</v>
      </c>
      <c r="S211" s="6"/>
      <c r="T211" s="6"/>
    </row>
    <row r="212" spans="1:20">
      <c r="A212" s="7">
        <v>46216</v>
      </c>
      <c r="B212" s="8">
        <v>46229</v>
      </c>
      <c r="C212" s="9">
        <v>14</v>
      </c>
      <c r="D212" s="10" t="s">
        <v>842</v>
      </c>
      <c r="E212" s="10" t="s">
        <v>1998</v>
      </c>
      <c r="F212" s="9"/>
      <c r="G212" s="9">
        <v>1</v>
      </c>
      <c r="H212" s="9">
        <v>0</v>
      </c>
      <c r="I212" s="9">
        <v>1</v>
      </c>
      <c r="J212" s="11">
        <v>0</v>
      </c>
      <c r="K212" s="24">
        <v>20</v>
      </c>
      <c r="L212" s="24">
        <v>0</v>
      </c>
      <c r="M212" s="24">
        <v>0</v>
      </c>
      <c r="N212" s="9">
        <v>0</v>
      </c>
      <c r="O212" s="9">
        <v>0</v>
      </c>
      <c r="P212" s="9">
        <v>0</v>
      </c>
      <c r="Q212" s="11">
        <v>0</v>
      </c>
      <c r="R212" s="10" t="s">
        <v>176</v>
      </c>
      <c r="S212" s="6"/>
      <c r="T212" s="6"/>
    </row>
    <row r="213" spans="1:20">
      <c r="A213" s="7">
        <v>46216</v>
      </c>
      <c r="B213" s="8">
        <v>46229</v>
      </c>
      <c r="C213" s="9">
        <v>14</v>
      </c>
      <c r="D213" s="10" t="s">
        <v>842</v>
      </c>
      <c r="E213" s="10" t="s">
        <v>531</v>
      </c>
      <c r="F213" s="9"/>
      <c r="G213" s="9">
        <v>2</v>
      </c>
      <c r="H213" s="9">
        <v>0</v>
      </c>
      <c r="I213" s="9">
        <v>2</v>
      </c>
      <c r="J213" s="11">
        <v>0</v>
      </c>
      <c r="K213" s="24">
        <v>15.6</v>
      </c>
      <c r="L213" s="24">
        <v>0</v>
      </c>
      <c r="M213" s="24">
        <v>0</v>
      </c>
      <c r="N213" s="9">
        <v>0</v>
      </c>
      <c r="O213" s="9">
        <v>0</v>
      </c>
      <c r="P213" s="9">
        <v>0</v>
      </c>
      <c r="Q213" s="11">
        <v>0</v>
      </c>
      <c r="R213" s="10" t="s">
        <v>176</v>
      </c>
      <c r="S213" s="6"/>
      <c r="T213" s="6"/>
    </row>
    <row r="214" spans="1:20">
      <c r="A214" s="7">
        <v>46216</v>
      </c>
      <c r="B214" s="8">
        <v>46229</v>
      </c>
      <c r="C214" s="9">
        <v>14</v>
      </c>
      <c r="D214" s="10" t="s">
        <v>842</v>
      </c>
      <c r="E214" s="10" t="s">
        <v>532</v>
      </c>
      <c r="F214" s="9"/>
      <c r="G214" s="9">
        <v>2</v>
      </c>
      <c r="H214" s="9">
        <v>0</v>
      </c>
      <c r="I214" s="9">
        <v>2</v>
      </c>
      <c r="J214" s="11">
        <v>0</v>
      </c>
      <c r="K214" s="24">
        <v>13.6</v>
      </c>
      <c r="L214" s="24">
        <v>0</v>
      </c>
      <c r="M214" s="24">
        <v>0</v>
      </c>
      <c r="N214" s="9">
        <v>0</v>
      </c>
      <c r="O214" s="9">
        <v>0</v>
      </c>
      <c r="P214" s="9">
        <v>0</v>
      </c>
      <c r="Q214" s="11">
        <v>0</v>
      </c>
      <c r="R214" s="10" t="s">
        <v>176</v>
      </c>
      <c r="S214" s="6"/>
      <c r="T214" s="6"/>
    </row>
    <row r="215" spans="1:20">
      <c r="A215" s="7">
        <v>46216</v>
      </c>
      <c r="B215" s="8">
        <v>46229</v>
      </c>
      <c r="C215" s="9">
        <v>14</v>
      </c>
      <c r="D215" s="10" t="s">
        <v>842</v>
      </c>
      <c r="E215" s="10" t="s">
        <v>2169</v>
      </c>
      <c r="F215" s="9"/>
      <c r="G215" s="9">
        <v>1</v>
      </c>
      <c r="H215" s="9">
        <v>0</v>
      </c>
      <c r="I215" s="9">
        <v>1</v>
      </c>
      <c r="J215" s="11">
        <v>0</v>
      </c>
      <c r="K215" s="24">
        <v>15.6</v>
      </c>
      <c r="L215" s="24">
        <v>0</v>
      </c>
      <c r="M215" s="24">
        <v>0</v>
      </c>
      <c r="N215" s="9">
        <v>0</v>
      </c>
      <c r="O215" s="9">
        <v>0</v>
      </c>
      <c r="P215" s="9">
        <v>0</v>
      </c>
      <c r="Q215" s="11">
        <v>0</v>
      </c>
      <c r="R215" s="10" t="s">
        <v>176</v>
      </c>
      <c r="S215" s="6"/>
      <c r="T215" s="6"/>
    </row>
    <row r="216" spans="1:20">
      <c r="A216" s="7">
        <v>46216</v>
      </c>
      <c r="B216" s="8">
        <v>46229</v>
      </c>
      <c r="C216" s="9">
        <v>14</v>
      </c>
      <c r="D216" s="10" t="s">
        <v>842</v>
      </c>
      <c r="E216" s="10" t="s">
        <v>533</v>
      </c>
      <c r="F216" s="9"/>
      <c r="G216" s="9">
        <v>2</v>
      </c>
      <c r="H216" s="9">
        <v>0</v>
      </c>
      <c r="I216" s="9">
        <v>2</v>
      </c>
      <c r="J216" s="11">
        <v>0</v>
      </c>
      <c r="K216" s="24">
        <v>13.6</v>
      </c>
      <c r="L216" s="24">
        <v>0</v>
      </c>
      <c r="M216" s="24">
        <v>0</v>
      </c>
      <c r="N216" s="9">
        <v>0</v>
      </c>
      <c r="O216" s="9">
        <v>0</v>
      </c>
      <c r="P216" s="9">
        <v>0</v>
      </c>
      <c r="Q216" s="11">
        <v>0</v>
      </c>
      <c r="R216" s="10" t="s">
        <v>176</v>
      </c>
      <c r="S216" s="6"/>
      <c r="T216" s="6"/>
    </row>
    <row r="217" spans="1:20">
      <c r="A217" s="7">
        <v>46216</v>
      </c>
      <c r="B217" s="8">
        <v>46229</v>
      </c>
      <c r="C217" s="9">
        <v>14</v>
      </c>
      <c r="D217" s="10" t="s">
        <v>915</v>
      </c>
      <c r="E217" s="10" t="s">
        <v>3854</v>
      </c>
      <c r="F217" s="9"/>
      <c r="G217" s="9">
        <v>1</v>
      </c>
      <c r="H217" s="9">
        <v>1</v>
      </c>
      <c r="I217" s="9">
        <v>0</v>
      </c>
      <c r="J217" s="11">
        <v>1</v>
      </c>
      <c r="K217" s="24">
        <v>34.22</v>
      </c>
      <c r="L217" s="24">
        <v>34.22</v>
      </c>
      <c r="M217" s="24">
        <v>479.08</v>
      </c>
      <c r="N217" s="9">
        <v>1</v>
      </c>
      <c r="O217" s="9">
        <v>2</v>
      </c>
      <c r="P217" s="9">
        <v>2</v>
      </c>
      <c r="Q217" s="11">
        <v>2</v>
      </c>
      <c r="R217" s="10" t="s">
        <v>177</v>
      </c>
      <c r="S217" s="6"/>
      <c r="T217" s="6"/>
    </row>
    <row r="218" spans="1:20">
      <c r="A218" s="7">
        <v>46216</v>
      </c>
      <c r="B218" s="8">
        <v>46229</v>
      </c>
      <c r="C218" s="9">
        <v>14</v>
      </c>
      <c r="D218" s="10" t="s">
        <v>915</v>
      </c>
      <c r="E218" s="10" t="s">
        <v>325</v>
      </c>
      <c r="F218" s="9"/>
      <c r="G218" s="9">
        <v>7</v>
      </c>
      <c r="H218" s="9">
        <v>5</v>
      </c>
      <c r="I218" s="9">
        <v>2</v>
      </c>
      <c r="J218" s="11">
        <v>0.71428571428571397</v>
      </c>
      <c r="K218" s="24">
        <v>2</v>
      </c>
      <c r="L218" s="24">
        <v>10</v>
      </c>
      <c r="M218" s="24">
        <v>140</v>
      </c>
      <c r="N218" s="9">
        <v>5</v>
      </c>
      <c r="O218" s="9">
        <v>10</v>
      </c>
      <c r="P218" s="9">
        <v>6</v>
      </c>
      <c r="Q218" s="11">
        <v>1.4285714285714299</v>
      </c>
      <c r="R218" s="10" t="s">
        <v>3449</v>
      </c>
      <c r="S218" s="6"/>
      <c r="T218" s="6"/>
    </row>
    <row r="219" spans="1:20">
      <c r="A219" s="7">
        <v>46216</v>
      </c>
      <c r="B219" s="8">
        <v>46229</v>
      </c>
      <c r="C219" s="9">
        <v>14</v>
      </c>
      <c r="D219" s="10" t="s">
        <v>915</v>
      </c>
      <c r="E219" s="10" t="s">
        <v>282</v>
      </c>
      <c r="F219" s="9"/>
      <c r="G219" s="9">
        <v>6</v>
      </c>
      <c r="H219" s="9">
        <v>2</v>
      </c>
      <c r="I219" s="9">
        <v>4</v>
      </c>
      <c r="J219" s="11">
        <v>0.33333333333333298</v>
      </c>
      <c r="K219" s="24">
        <v>0.1</v>
      </c>
      <c r="L219" s="24">
        <v>0.2</v>
      </c>
      <c r="M219" s="24">
        <v>2.8</v>
      </c>
      <c r="N219" s="9">
        <v>2</v>
      </c>
      <c r="O219" s="9">
        <v>2</v>
      </c>
      <c r="P219" s="9">
        <v>2</v>
      </c>
      <c r="Q219" s="11">
        <v>0.33333333333333298</v>
      </c>
      <c r="R219" s="10" t="s">
        <v>3698</v>
      </c>
      <c r="S219" s="6"/>
      <c r="T219" s="6"/>
    </row>
    <row r="220" spans="1:20">
      <c r="A220" s="7">
        <v>46216</v>
      </c>
      <c r="B220" s="8">
        <v>46229</v>
      </c>
      <c r="C220" s="9">
        <v>14</v>
      </c>
      <c r="D220" s="10" t="s">
        <v>915</v>
      </c>
      <c r="E220" s="10" t="s">
        <v>929</v>
      </c>
      <c r="F220" s="9"/>
      <c r="G220" s="9">
        <v>2</v>
      </c>
      <c r="H220" s="9">
        <v>0</v>
      </c>
      <c r="I220" s="9">
        <v>2</v>
      </c>
      <c r="J220" s="11">
        <v>0</v>
      </c>
      <c r="K220" s="24">
        <v>0.1</v>
      </c>
      <c r="L220" s="24">
        <v>0</v>
      </c>
      <c r="M220" s="24">
        <v>0</v>
      </c>
      <c r="N220" s="9">
        <v>0</v>
      </c>
      <c r="O220" s="9">
        <v>0</v>
      </c>
      <c r="P220" s="9">
        <v>0</v>
      </c>
      <c r="Q220" s="11">
        <v>0</v>
      </c>
      <c r="R220" s="10" t="s">
        <v>176</v>
      </c>
      <c r="S220" s="6"/>
      <c r="T220" s="6"/>
    </row>
    <row r="221" spans="1:20">
      <c r="A221" s="7">
        <v>46216</v>
      </c>
      <c r="B221" s="8">
        <v>46229</v>
      </c>
      <c r="C221" s="9">
        <v>14</v>
      </c>
      <c r="D221" s="10" t="s">
        <v>915</v>
      </c>
      <c r="E221" s="10" t="s">
        <v>1918</v>
      </c>
      <c r="F221" s="9"/>
      <c r="G221" s="9">
        <v>2</v>
      </c>
      <c r="H221" s="9">
        <v>0</v>
      </c>
      <c r="I221" s="9">
        <v>2</v>
      </c>
      <c r="J221" s="11">
        <v>0</v>
      </c>
      <c r="K221" s="24">
        <v>0</v>
      </c>
      <c r="L221" s="24">
        <v>0</v>
      </c>
      <c r="M221" s="24">
        <v>0</v>
      </c>
      <c r="N221" s="9">
        <v>0</v>
      </c>
      <c r="O221" s="9">
        <v>0</v>
      </c>
      <c r="P221" s="9">
        <v>0</v>
      </c>
      <c r="Q221" s="11">
        <v>0</v>
      </c>
      <c r="R221" s="10" t="s">
        <v>176</v>
      </c>
      <c r="S221" s="6"/>
      <c r="T221" s="6"/>
    </row>
    <row r="222" spans="1:20">
      <c r="A222" s="7">
        <v>46216</v>
      </c>
      <c r="B222" s="8">
        <v>46229</v>
      </c>
      <c r="C222" s="9">
        <v>14</v>
      </c>
      <c r="D222" s="10" t="s">
        <v>915</v>
      </c>
      <c r="E222" s="10" t="s">
        <v>227</v>
      </c>
      <c r="F222" s="9"/>
      <c r="G222" s="9">
        <v>17</v>
      </c>
      <c r="H222" s="9">
        <v>0</v>
      </c>
      <c r="I222" s="9">
        <v>17</v>
      </c>
      <c r="J222" s="11">
        <v>0</v>
      </c>
      <c r="K222" s="24">
        <v>1</v>
      </c>
      <c r="L222" s="24">
        <v>0</v>
      </c>
      <c r="M222" s="24">
        <v>0</v>
      </c>
      <c r="N222" s="9">
        <v>0</v>
      </c>
      <c r="O222" s="9">
        <v>0</v>
      </c>
      <c r="P222" s="9">
        <v>0</v>
      </c>
      <c r="Q222" s="11">
        <v>0</v>
      </c>
      <c r="R222" s="10" t="s">
        <v>176</v>
      </c>
      <c r="S222" s="6"/>
      <c r="T222" s="6"/>
    </row>
    <row r="223" spans="1:20">
      <c r="A223" s="7">
        <v>46216</v>
      </c>
      <c r="B223" s="8">
        <v>46229</v>
      </c>
      <c r="C223" s="9">
        <v>14</v>
      </c>
      <c r="D223" s="10" t="s">
        <v>915</v>
      </c>
      <c r="E223" s="10" t="s">
        <v>256</v>
      </c>
      <c r="F223" s="9"/>
      <c r="G223" s="9">
        <v>7</v>
      </c>
      <c r="H223" s="9">
        <v>0</v>
      </c>
      <c r="I223" s="9">
        <v>7</v>
      </c>
      <c r="J223" s="11">
        <v>0</v>
      </c>
      <c r="K223" s="24">
        <v>1</v>
      </c>
      <c r="L223" s="24">
        <v>0</v>
      </c>
      <c r="M223" s="24">
        <v>0</v>
      </c>
      <c r="N223" s="9">
        <v>0</v>
      </c>
      <c r="O223" s="9">
        <v>0</v>
      </c>
      <c r="P223" s="9">
        <v>0</v>
      </c>
      <c r="Q223" s="11">
        <v>0</v>
      </c>
      <c r="R223" s="10" t="s">
        <v>176</v>
      </c>
      <c r="S223" s="6"/>
      <c r="T223" s="6"/>
    </row>
    <row r="224" spans="1:20">
      <c r="A224" s="7">
        <v>46216</v>
      </c>
      <c r="B224" s="8">
        <v>46229</v>
      </c>
      <c r="C224" s="9">
        <v>14</v>
      </c>
      <c r="D224" s="10" t="s">
        <v>915</v>
      </c>
      <c r="E224" s="10" t="s">
        <v>918</v>
      </c>
      <c r="F224" s="9"/>
      <c r="G224" s="9">
        <v>3</v>
      </c>
      <c r="H224" s="9">
        <v>0</v>
      </c>
      <c r="I224" s="9">
        <v>3</v>
      </c>
      <c r="J224" s="11">
        <v>0</v>
      </c>
      <c r="K224" s="24">
        <v>11.07</v>
      </c>
      <c r="L224" s="24">
        <v>0</v>
      </c>
      <c r="M224" s="24">
        <v>0</v>
      </c>
      <c r="N224" s="9">
        <v>0</v>
      </c>
      <c r="O224" s="9">
        <v>0</v>
      </c>
      <c r="P224" s="9">
        <v>0</v>
      </c>
      <c r="Q224" s="11">
        <v>0</v>
      </c>
      <c r="R224" s="10" t="s">
        <v>176</v>
      </c>
      <c r="S224" s="6"/>
      <c r="T224" s="6"/>
    </row>
    <row r="225" spans="1:20">
      <c r="A225" s="7">
        <v>46216</v>
      </c>
      <c r="B225" s="8">
        <v>46229</v>
      </c>
      <c r="C225" s="9">
        <v>14</v>
      </c>
      <c r="D225" s="10" t="s">
        <v>915</v>
      </c>
      <c r="E225" s="10" t="s">
        <v>35</v>
      </c>
      <c r="F225" s="9"/>
      <c r="G225" s="9">
        <v>1</v>
      </c>
      <c r="H225" s="9">
        <v>0</v>
      </c>
      <c r="I225" s="9">
        <v>1</v>
      </c>
      <c r="J225" s="11">
        <v>0</v>
      </c>
      <c r="K225" s="24">
        <v>11.07</v>
      </c>
      <c r="L225" s="24">
        <v>0</v>
      </c>
      <c r="M225" s="24">
        <v>0</v>
      </c>
      <c r="N225" s="9">
        <v>0</v>
      </c>
      <c r="O225" s="9">
        <v>0</v>
      </c>
      <c r="P225" s="9">
        <v>0</v>
      </c>
      <c r="Q225" s="11">
        <v>0</v>
      </c>
      <c r="R225" s="10" t="s">
        <v>176</v>
      </c>
      <c r="S225" s="6"/>
      <c r="T225" s="6"/>
    </row>
    <row r="226" spans="1:20">
      <c r="A226" s="7">
        <v>46216</v>
      </c>
      <c r="B226" s="8">
        <v>46229</v>
      </c>
      <c r="C226" s="9">
        <v>14</v>
      </c>
      <c r="D226" s="10" t="s">
        <v>915</v>
      </c>
      <c r="E226" s="10" t="s">
        <v>924</v>
      </c>
      <c r="F226" s="9"/>
      <c r="G226" s="9">
        <v>1</v>
      </c>
      <c r="H226" s="9">
        <v>0</v>
      </c>
      <c r="I226" s="9">
        <v>1</v>
      </c>
      <c r="J226" s="11">
        <v>0</v>
      </c>
      <c r="K226" s="24">
        <v>11.07</v>
      </c>
      <c r="L226" s="24">
        <v>0</v>
      </c>
      <c r="M226" s="24">
        <v>0</v>
      </c>
      <c r="N226" s="9">
        <v>0</v>
      </c>
      <c r="O226" s="9">
        <v>0</v>
      </c>
      <c r="P226" s="9">
        <v>0</v>
      </c>
      <c r="Q226" s="11">
        <v>0</v>
      </c>
      <c r="R226" s="10" t="s">
        <v>176</v>
      </c>
      <c r="S226" s="6"/>
      <c r="T226" s="6"/>
    </row>
    <row r="227" spans="1:20">
      <c r="A227" s="7">
        <v>46216</v>
      </c>
      <c r="B227" s="8">
        <v>46229</v>
      </c>
      <c r="C227" s="9">
        <v>14</v>
      </c>
      <c r="D227" s="10" t="s">
        <v>915</v>
      </c>
      <c r="E227" s="10" t="s">
        <v>23</v>
      </c>
      <c r="F227" s="9"/>
      <c r="G227" s="9">
        <v>9</v>
      </c>
      <c r="H227" s="9">
        <v>0</v>
      </c>
      <c r="I227" s="9">
        <v>1</v>
      </c>
      <c r="J227" s="11">
        <v>0</v>
      </c>
      <c r="K227" s="24">
        <v>5</v>
      </c>
      <c r="L227" s="24">
        <v>0</v>
      </c>
      <c r="M227" s="24">
        <v>0</v>
      </c>
      <c r="N227" s="9">
        <v>0</v>
      </c>
      <c r="O227" s="9">
        <v>0</v>
      </c>
      <c r="P227" s="9">
        <v>0</v>
      </c>
      <c r="Q227" s="11">
        <v>0</v>
      </c>
      <c r="R227" s="10" t="s">
        <v>176</v>
      </c>
      <c r="S227" s="6"/>
      <c r="T227" s="6"/>
    </row>
    <row r="228" spans="1:20">
      <c r="A228" s="7">
        <v>46216</v>
      </c>
      <c r="B228" s="8">
        <v>46229</v>
      </c>
      <c r="C228" s="9">
        <v>14</v>
      </c>
      <c r="D228" s="10" t="s">
        <v>915</v>
      </c>
      <c r="E228" s="10" t="s">
        <v>3772</v>
      </c>
      <c r="F228" s="9"/>
      <c r="G228" s="9">
        <v>1</v>
      </c>
      <c r="H228" s="9">
        <v>0</v>
      </c>
      <c r="I228" s="9">
        <v>1</v>
      </c>
      <c r="J228" s="11">
        <v>0</v>
      </c>
      <c r="K228" s="24">
        <v>0.1</v>
      </c>
      <c r="L228" s="24">
        <v>0</v>
      </c>
      <c r="M228" s="24">
        <v>0</v>
      </c>
      <c r="N228" s="9">
        <v>1</v>
      </c>
      <c r="O228" s="9">
        <v>1</v>
      </c>
      <c r="P228" s="9">
        <v>1</v>
      </c>
      <c r="Q228" s="11">
        <v>1</v>
      </c>
      <c r="R228" s="10" t="s">
        <v>3449</v>
      </c>
      <c r="S228" s="6"/>
      <c r="T228" s="6"/>
    </row>
    <row r="229" spans="1:20">
      <c r="A229" s="7">
        <v>46216</v>
      </c>
      <c r="B229" s="8">
        <v>46229</v>
      </c>
      <c r="C229" s="9">
        <v>14</v>
      </c>
      <c r="D229" s="10" t="s">
        <v>915</v>
      </c>
      <c r="E229" s="10" t="s">
        <v>84</v>
      </c>
      <c r="F229" s="9"/>
      <c r="G229" s="9">
        <v>13</v>
      </c>
      <c r="H229" s="9">
        <v>0</v>
      </c>
      <c r="I229" s="9">
        <v>13</v>
      </c>
      <c r="J229" s="11">
        <v>0</v>
      </c>
      <c r="K229" s="24">
        <v>4</v>
      </c>
      <c r="L229" s="24">
        <v>0</v>
      </c>
      <c r="M229" s="24">
        <v>0</v>
      </c>
      <c r="N229" s="9">
        <v>0</v>
      </c>
      <c r="O229" s="9">
        <v>0</v>
      </c>
      <c r="P229" s="9">
        <v>0</v>
      </c>
      <c r="Q229" s="11">
        <v>0</v>
      </c>
      <c r="R229" s="10" t="s">
        <v>176</v>
      </c>
      <c r="S229" s="6"/>
      <c r="T229" s="6"/>
    </row>
    <row r="230" spans="1:20">
      <c r="A230" s="7">
        <v>46216</v>
      </c>
      <c r="B230" s="8">
        <v>46229</v>
      </c>
      <c r="C230" s="9">
        <v>14</v>
      </c>
      <c r="D230" s="10" t="s">
        <v>915</v>
      </c>
      <c r="E230" s="10" t="s">
        <v>3773</v>
      </c>
      <c r="F230" s="9"/>
      <c r="G230" s="9">
        <v>1</v>
      </c>
      <c r="H230" s="9">
        <v>0</v>
      </c>
      <c r="I230" s="9">
        <v>1</v>
      </c>
      <c r="J230" s="11">
        <v>0</v>
      </c>
      <c r="K230" s="24">
        <v>0</v>
      </c>
      <c r="L230" s="24">
        <v>0</v>
      </c>
      <c r="M230" s="24">
        <v>0</v>
      </c>
      <c r="N230" s="9">
        <v>0</v>
      </c>
      <c r="O230" s="9">
        <v>0</v>
      </c>
      <c r="P230" s="9">
        <v>0</v>
      </c>
      <c r="Q230" s="11">
        <v>0</v>
      </c>
      <c r="R230" s="10" t="s">
        <v>176</v>
      </c>
      <c r="S230" s="6"/>
      <c r="T230" s="6"/>
    </row>
    <row r="231" spans="1:20">
      <c r="A231" s="7">
        <v>46216</v>
      </c>
      <c r="B231" s="8">
        <v>46229</v>
      </c>
      <c r="C231" s="9">
        <v>14</v>
      </c>
      <c r="D231" s="10" t="s">
        <v>2259</v>
      </c>
      <c r="E231" s="10" t="s">
        <v>295</v>
      </c>
      <c r="F231" s="9" t="s">
        <v>2705</v>
      </c>
      <c r="G231" s="9">
        <v>72</v>
      </c>
      <c r="H231" s="9">
        <v>37</v>
      </c>
      <c r="I231" s="9">
        <v>35</v>
      </c>
      <c r="J231" s="11">
        <v>0.51388888888888895</v>
      </c>
      <c r="K231" s="24">
        <v>12.81</v>
      </c>
      <c r="L231" s="24">
        <v>922.32</v>
      </c>
      <c r="M231" s="24">
        <v>12912.48</v>
      </c>
      <c r="N231" s="9">
        <v>98</v>
      </c>
      <c r="O231" s="9">
        <v>57</v>
      </c>
      <c r="P231" s="9">
        <v>83</v>
      </c>
      <c r="Q231" s="11">
        <v>0.79166666666666596</v>
      </c>
      <c r="R231" s="10" t="s">
        <v>3449</v>
      </c>
      <c r="S231" s="6"/>
      <c r="T231" s="6"/>
    </row>
    <row r="232" spans="1:20">
      <c r="A232" s="7">
        <v>46216</v>
      </c>
      <c r="B232" s="8">
        <v>46229</v>
      </c>
      <c r="C232" s="9">
        <v>14</v>
      </c>
      <c r="D232" s="10" t="s">
        <v>2259</v>
      </c>
      <c r="E232" s="10" t="s">
        <v>2925</v>
      </c>
      <c r="F232" s="9" t="s">
        <v>2699</v>
      </c>
      <c r="G232" s="9">
        <v>104</v>
      </c>
      <c r="H232" s="9">
        <v>37</v>
      </c>
      <c r="I232" s="9">
        <v>67</v>
      </c>
      <c r="J232" s="11">
        <v>0.355769230769231</v>
      </c>
      <c r="K232" s="24">
        <v>0</v>
      </c>
      <c r="L232" s="24">
        <v>0</v>
      </c>
      <c r="M232" s="24">
        <v>0</v>
      </c>
      <c r="N232" s="9">
        <v>97</v>
      </c>
      <c r="O232" s="9">
        <v>63</v>
      </c>
      <c r="P232" s="9">
        <v>85</v>
      </c>
      <c r="Q232" s="11">
        <v>0.60576923076923095</v>
      </c>
      <c r="R232" s="10" t="s">
        <v>3698</v>
      </c>
      <c r="S232" s="6"/>
      <c r="T232" s="6"/>
    </row>
    <row r="233" spans="1:20">
      <c r="A233" s="7">
        <v>46216</v>
      </c>
      <c r="B233" s="8">
        <v>46229</v>
      </c>
      <c r="C233" s="9">
        <v>14</v>
      </c>
      <c r="D233" s="10" t="s">
        <v>2259</v>
      </c>
      <c r="E233" s="10" t="s">
        <v>927</v>
      </c>
      <c r="F233" s="9"/>
      <c r="G233" s="9">
        <v>37</v>
      </c>
      <c r="H233" s="9">
        <v>0</v>
      </c>
      <c r="I233" s="9">
        <v>37</v>
      </c>
      <c r="J233" s="11">
        <v>0</v>
      </c>
      <c r="K233" s="24">
        <v>0.1</v>
      </c>
      <c r="L233" s="24">
        <v>0</v>
      </c>
      <c r="M233" s="24">
        <v>0</v>
      </c>
      <c r="N233" s="9">
        <v>0</v>
      </c>
      <c r="O233" s="9">
        <v>0</v>
      </c>
      <c r="P233" s="9">
        <v>0</v>
      </c>
      <c r="Q233" s="11">
        <v>0</v>
      </c>
      <c r="R233" s="10" t="s">
        <v>176</v>
      </c>
      <c r="S233" s="6"/>
      <c r="T233" s="6"/>
    </row>
    <row r="234" spans="1:20">
      <c r="A234" s="7">
        <v>46216</v>
      </c>
      <c r="B234" s="8">
        <v>46229</v>
      </c>
      <c r="C234" s="9">
        <v>14</v>
      </c>
      <c r="D234" s="10" t="s">
        <v>644</v>
      </c>
      <c r="E234" s="10" t="s">
        <v>104</v>
      </c>
      <c r="F234" s="9"/>
      <c r="G234" s="9">
        <v>2</v>
      </c>
      <c r="H234" s="9">
        <v>2</v>
      </c>
      <c r="I234" s="9">
        <v>0</v>
      </c>
      <c r="J234" s="11">
        <v>1</v>
      </c>
      <c r="K234" s="24">
        <v>80</v>
      </c>
      <c r="L234" s="24">
        <v>160</v>
      </c>
      <c r="M234" s="24">
        <v>2240</v>
      </c>
      <c r="N234" s="9">
        <v>2</v>
      </c>
      <c r="O234" s="9">
        <v>4</v>
      </c>
      <c r="P234" s="9">
        <v>2</v>
      </c>
      <c r="Q234" s="11">
        <v>2</v>
      </c>
      <c r="R234" s="10" t="s">
        <v>177</v>
      </c>
      <c r="S234" s="6"/>
      <c r="T234" s="6"/>
    </row>
    <row r="235" spans="1:20">
      <c r="A235" s="7">
        <v>46216</v>
      </c>
      <c r="B235" s="8">
        <v>46229</v>
      </c>
      <c r="C235" s="9">
        <v>14</v>
      </c>
      <c r="D235" s="10" t="s">
        <v>644</v>
      </c>
      <c r="E235" s="10" t="s">
        <v>213</v>
      </c>
      <c r="F235" s="9"/>
      <c r="G235" s="9">
        <v>25</v>
      </c>
      <c r="H235" s="9">
        <v>7</v>
      </c>
      <c r="I235" s="9">
        <v>18</v>
      </c>
      <c r="J235" s="11">
        <v>0.28000000000000003</v>
      </c>
      <c r="K235" s="24">
        <v>20</v>
      </c>
      <c r="L235" s="24">
        <v>140</v>
      </c>
      <c r="M235" s="24">
        <v>1960</v>
      </c>
      <c r="N235" s="9">
        <v>3</v>
      </c>
      <c r="O235" s="9">
        <v>7</v>
      </c>
      <c r="P235" s="9">
        <v>5</v>
      </c>
      <c r="Q235" s="11">
        <v>0.28000000000000003</v>
      </c>
      <c r="R235" s="10" t="s">
        <v>3698</v>
      </c>
      <c r="S235" s="6"/>
      <c r="T235" s="6"/>
    </row>
    <row r="236" spans="1:20">
      <c r="A236" s="7">
        <v>46216</v>
      </c>
      <c r="B236" s="8">
        <v>46229</v>
      </c>
      <c r="C236" s="9">
        <v>14</v>
      </c>
      <c r="D236" s="10" t="s">
        <v>644</v>
      </c>
      <c r="E236" s="10" t="s">
        <v>214</v>
      </c>
      <c r="F236" s="9"/>
      <c r="G236" s="9">
        <v>17</v>
      </c>
      <c r="H236" s="9">
        <v>4</v>
      </c>
      <c r="I236" s="9">
        <v>13</v>
      </c>
      <c r="J236" s="11">
        <v>0.23529411764705899</v>
      </c>
      <c r="K236" s="24">
        <v>25</v>
      </c>
      <c r="L236" s="24">
        <v>100</v>
      </c>
      <c r="M236" s="24">
        <v>1400</v>
      </c>
      <c r="N236" s="9">
        <v>3</v>
      </c>
      <c r="O236" s="9">
        <v>4</v>
      </c>
      <c r="P236" s="9">
        <v>3</v>
      </c>
      <c r="Q236" s="11">
        <v>0.23529411764705899</v>
      </c>
      <c r="R236" s="10" t="s">
        <v>3698</v>
      </c>
      <c r="S236" s="6"/>
      <c r="T236" s="6"/>
    </row>
    <row r="237" spans="1:20">
      <c r="A237" s="7">
        <v>46216</v>
      </c>
      <c r="B237" s="8">
        <v>46229</v>
      </c>
      <c r="C237" s="9">
        <v>14</v>
      </c>
      <c r="D237" s="10" t="s">
        <v>644</v>
      </c>
      <c r="E237" s="10" t="s">
        <v>67</v>
      </c>
      <c r="F237" s="9"/>
      <c r="G237" s="9">
        <v>19</v>
      </c>
      <c r="H237" s="9">
        <v>6</v>
      </c>
      <c r="I237" s="9">
        <v>13</v>
      </c>
      <c r="J237" s="11">
        <v>0.31578947368421001</v>
      </c>
      <c r="K237" s="24">
        <v>10</v>
      </c>
      <c r="L237" s="24">
        <v>60</v>
      </c>
      <c r="M237" s="24">
        <v>840</v>
      </c>
      <c r="N237" s="9">
        <v>10</v>
      </c>
      <c r="O237" s="9">
        <v>10</v>
      </c>
      <c r="P237" s="9">
        <v>6</v>
      </c>
      <c r="Q237" s="11">
        <v>0.52631578947368396</v>
      </c>
      <c r="R237" s="10" t="s">
        <v>3698</v>
      </c>
      <c r="S237" s="6"/>
      <c r="T237" s="6"/>
    </row>
    <row r="238" spans="1:20">
      <c r="A238" s="7">
        <v>46216</v>
      </c>
      <c r="B238" s="8">
        <v>46229</v>
      </c>
      <c r="C238" s="9">
        <v>14</v>
      </c>
      <c r="D238" s="10" t="s">
        <v>644</v>
      </c>
      <c r="E238" s="10" t="s">
        <v>212</v>
      </c>
      <c r="F238" s="9"/>
      <c r="G238" s="9">
        <v>22</v>
      </c>
      <c r="H238" s="9">
        <v>3</v>
      </c>
      <c r="I238" s="9">
        <v>19</v>
      </c>
      <c r="J238" s="11">
        <v>0.13636363636363599</v>
      </c>
      <c r="K238" s="24">
        <v>15</v>
      </c>
      <c r="L238" s="24">
        <v>45</v>
      </c>
      <c r="M238" s="24">
        <v>630</v>
      </c>
      <c r="N238" s="9">
        <v>2</v>
      </c>
      <c r="O238" s="9">
        <v>3</v>
      </c>
      <c r="P238" s="9">
        <v>3</v>
      </c>
      <c r="Q238" s="11">
        <v>0.13636363636363599</v>
      </c>
      <c r="R238" s="10" t="s">
        <v>3075</v>
      </c>
      <c r="S238" s="6"/>
      <c r="T238" s="6"/>
    </row>
    <row r="239" spans="1:20">
      <c r="A239" s="7">
        <v>46216</v>
      </c>
      <c r="B239" s="8">
        <v>46229</v>
      </c>
      <c r="C239" s="9">
        <v>14</v>
      </c>
      <c r="D239" s="10" t="s">
        <v>644</v>
      </c>
      <c r="E239" s="10" t="s">
        <v>195</v>
      </c>
      <c r="F239" s="9"/>
      <c r="G239" s="9">
        <v>22</v>
      </c>
      <c r="H239" s="9">
        <v>6</v>
      </c>
      <c r="I239" s="9">
        <v>16</v>
      </c>
      <c r="J239" s="11">
        <v>0.27272727272727298</v>
      </c>
      <c r="K239" s="24">
        <v>7</v>
      </c>
      <c r="L239" s="24">
        <v>42</v>
      </c>
      <c r="M239" s="24">
        <v>588</v>
      </c>
      <c r="N239" s="9">
        <v>6</v>
      </c>
      <c r="O239" s="9">
        <v>6</v>
      </c>
      <c r="P239" s="9">
        <v>2</v>
      </c>
      <c r="Q239" s="11">
        <v>0.27272727272727298</v>
      </c>
      <c r="R239" s="10" t="s">
        <v>3698</v>
      </c>
      <c r="S239" s="6"/>
      <c r="T239" s="6"/>
    </row>
    <row r="240" spans="1:20">
      <c r="A240" s="7">
        <v>46216</v>
      </c>
      <c r="B240" s="8">
        <v>46229</v>
      </c>
      <c r="C240" s="9">
        <v>14</v>
      </c>
      <c r="D240" s="10" t="s">
        <v>644</v>
      </c>
      <c r="E240" s="10" t="s">
        <v>193</v>
      </c>
      <c r="F240" s="9"/>
      <c r="G240" s="9">
        <v>1</v>
      </c>
      <c r="H240" s="9">
        <v>1</v>
      </c>
      <c r="I240" s="9">
        <v>0</v>
      </c>
      <c r="J240" s="11">
        <v>1</v>
      </c>
      <c r="K240" s="24">
        <v>40</v>
      </c>
      <c r="L240" s="24">
        <v>40</v>
      </c>
      <c r="M240" s="24">
        <v>560</v>
      </c>
      <c r="N240" s="9">
        <v>1</v>
      </c>
      <c r="O240" s="9">
        <v>2</v>
      </c>
      <c r="P240" s="9">
        <v>2</v>
      </c>
      <c r="Q240" s="11">
        <v>2</v>
      </c>
      <c r="R240" s="10" t="s">
        <v>177</v>
      </c>
      <c r="S240" s="6"/>
      <c r="T240" s="6"/>
    </row>
    <row r="241" spans="1:20">
      <c r="A241" s="7">
        <v>46216</v>
      </c>
      <c r="B241" s="8">
        <v>46229</v>
      </c>
      <c r="C241" s="9">
        <v>14</v>
      </c>
      <c r="D241" s="10" t="s">
        <v>644</v>
      </c>
      <c r="E241" s="10" t="s">
        <v>198</v>
      </c>
      <c r="F241" s="9"/>
      <c r="G241" s="9">
        <v>14</v>
      </c>
      <c r="H241" s="9">
        <v>4</v>
      </c>
      <c r="I241" s="9">
        <v>10</v>
      </c>
      <c r="J241" s="11">
        <v>0.28571428571428598</v>
      </c>
      <c r="K241" s="24">
        <v>7.62</v>
      </c>
      <c r="L241" s="24">
        <v>30.48</v>
      </c>
      <c r="M241" s="24">
        <v>426.72</v>
      </c>
      <c r="N241" s="9">
        <v>4</v>
      </c>
      <c r="O241" s="9">
        <v>6</v>
      </c>
      <c r="P241" s="9">
        <v>6</v>
      </c>
      <c r="Q241" s="11">
        <v>0.42857142857142899</v>
      </c>
      <c r="R241" s="10" t="s">
        <v>3698</v>
      </c>
      <c r="S241" s="6"/>
      <c r="T241" s="6"/>
    </row>
    <row r="242" spans="1:20">
      <c r="A242" s="7">
        <v>46216</v>
      </c>
      <c r="B242" s="8">
        <v>46229</v>
      </c>
      <c r="C242" s="9">
        <v>14</v>
      </c>
      <c r="D242" s="10" t="s">
        <v>644</v>
      </c>
      <c r="E242" s="10" t="s">
        <v>201</v>
      </c>
      <c r="F242" s="9"/>
      <c r="G242" s="9">
        <v>3</v>
      </c>
      <c r="H242" s="9">
        <v>2</v>
      </c>
      <c r="I242" s="9">
        <v>1</v>
      </c>
      <c r="J242" s="11">
        <v>0.66666666666666696</v>
      </c>
      <c r="K242" s="24">
        <v>12</v>
      </c>
      <c r="L242" s="24">
        <v>24</v>
      </c>
      <c r="M242" s="24">
        <v>336</v>
      </c>
      <c r="N242" s="9">
        <v>4</v>
      </c>
      <c r="O242" s="9">
        <v>5</v>
      </c>
      <c r="P242" s="9">
        <v>2</v>
      </c>
      <c r="Q242" s="11">
        <v>1.6666666666666701</v>
      </c>
      <c r="R242" s="10" t="s">
        <v>3449</v>
      </c>
      <c r="S242" s="6"/>
      <c r="T242" s="6"/>
    </row>
    <row r="243" spans="1:20">
      <c r="A243" s="7">
        <v>46216</v>
      </c>
      <c r="B243" s="8">
        <v>46229</v>
      </c>
      <c r="C243" s="9">
        <v>14</v>
      </c>
      <c r="D243" s="10" t="s">
        <v>644</v>
      </c>
      <c r="E243" s="10" t="s">
        <v>202</v>
      </c>
      <c r="F243" s="9"/>
      <c r="G243" s="9">
        <v>7</v>
      </c>
      <c r="H243" s="9">
        <v>2</v>
      </c>
      <c r="I243" s="9">
        <v>5</v>
      </c>
      <c r="J243" s="11">
        <v>0.28571428571428598</v>
      </c>
      <c r="K243" s="24">
        <v>12</v>
      </c>
      <c r="L243" s="24">
        <v>24</v>
      </c>
      <c r="M243" s="24">
        <v>336</v>
      </c>
      <c r="N243" s="9">
        <v>2</v>
      </c>
      <c r="O243" s="9">
        <v>2</v>
      </c>
      <c r="P243" s="9">
        <v>2</v>
      </c>
      <c r="Q243" s="11">
        <v>0.28571428571428598</v>
      </c>
      <c r="R243" s="10" t="s">
        <v>3698</v>
      </c>
      <c r="S243" s="6"/>
      <c r="T243" s="6"/>
    </row>
    <row r="244" spans="1:20">
      <c r="A244" s="7">
        <v>46216</v>
      </c>
      <c r="B244" s="8">
        <v>46229</v>
      </c>
      <c r="C244" s="9">
        <v>14</v>
      </c>
      <c r="D244" s="10" t="s">
        <v>644</v>
      </c>
      <c r="E244" s="10" t="s">
        <v>281</v>
      </c>
      <c r="F244" s="9"/>
      <c r="G244" s="9">
        <v>24</v>
      </c>
      <c r="H244" s="9">
        <v>4</v>
      </c>
      <c r="I244" s="9">
        <v>20</v>
      </c>
      <c r="J244" s="11">
        <v>0.16666666666666699</v>
      </c>
      <c r="K244" s="24">
        <v>6</v>
      </c>
      <c r="L244" s="24">
        <v>24</v>
      </c>
      <c r="M244" s="24">
        <v>336</v>
      </c>
      <c r="N244" s="9">
        <v>6</v>
      </c>
      <c r="O244" s="9">
        <v>6</v>
      </c>
      <c r="P244" s="9">
        <v>3</v>
      </c>
      <c r="Q244" s="11">
        <v>0.25</v>
      </c>
      <c r="R244" s="10" t="s">
        <v>3698</v>
      </c>
      <c r="S244" s="6"/>
      <c r="T244" s="6"/>
    </row>
    <row r="245" spans="1:20">
      <c r="A245" s="7">
        <v>46216</v>
      </c>
      <c r="B245" s="8">
        <v>46229</v>
      </c>
      <c r="C245" s="9">
        <v>14</v>
      </c>
      <c r="D245" s="10" t="s">
        <v>644</v>
      </c>
      <c r="E245" s="10" t="s">
        <v>200</v>
      </c>
      <c r="F245" s="9"/>
      <c r="G245" s="9">
        <v>2</v>
      </c>
      <c r="H245" s="9">
        <v>2</v>
      </c>
      <c r="I245" s="9">
        <v>0</v>
      </c>
      <c r="J245" s="11">
        <v>1</v>
      </c>
      <c r="K245" s="24">
        <v>9.0399999999999991</v>
      </c>
      <c r="L245" s="24">
        <v>18.079999999999998</v>
      </c>
      <c r="M245" s="24">
        <v>253.12</v>
      </c>
      <c r="N245" s="9">
        <v>0</v>
      </c>
      <c r="O245" s="9">
        <v>2</v>
      </c>
      <c r="P245" s="9">
        <v>1</v>
      </c>
      <c r="Q245" s="11">
        <v>1</v>
      </c>
      <c r="R245" s="10" t="s">
        <v>177</v>
      </c>
      <c r="S245" s="6"/>
      <c r="T245" s="6"/>
    </row>
    <row r="246" spans="1:20">
      <c r="A246" s="7">
        <v>46216</v>
      </c>
      <c r="B246" s="8">
        <v>46229</v>
      </c>
      <c r="C246" s="9">
        <v>14</v>
      </c>
      <c r="D246" s="10" t="s">
        <v>644</v>
      </c>
      <c r="E246" s="10" t="s">
        <v>101</v>
      </c>
      <c r="F246" s="9"/>
      <c r="G246" s="9">
        <v>23</v>
      </c>
      <c r="H246" s="9">
        <v>3</v>
      </c>
      <c r="I246" s="9">
        <v>20</v>
      </c>
      <c r="J246" s="11">
        <v>0.13043478260869601</v>
      </c>
      <c r="K246" s="24">
        <v>5</v>
      </c>
      <c r="L246" s="24">
        <v>15</v>
      </c>
      <c r="M246" s="24">
        <v>210</v>
      </c>
      <c r="N246" s="9">
        <v>0</v>
      </c>
      <c r="O246" s="9">
        <v>3</v>
      </c>
      <c r="P246" s="9">
        <v>1</v>
      </c>
      <c r="Q246" s="11">
        <v>0.13043478260869601</v>
      </c>
      <c r="R246" s="10" t="s">
        <v>176</v>
      </c>
      <c r="S246" s="6"/>
      <c r="T246" s="6"/>
    </row>
    <row r="247" spans="1:20">
      <c r="A247" s="7">
        <v>46216</v>
      </c>
      <c r="B247" s="8">
        <v>46229</v>
      </c>
      <c r="C247" s="9">
        <v>14</v>
      </c>
      <c r="D247" s="10" t="s">
        <v>644</v>
      </c>
      <c r="E247" s="10" t="s">
        <v>196</v>
      </c>
      <c r="F247" s="9"/>
      <c r="G247" s="9">
        <v>30</v>
      </c>
      <c r="H247" s="9">
        <v>2</v>
      </c>
      <c r="I247" s="9">
        <v>28</v>
      </c>
      <c r="J247" s="11">
        <v>6.6666666666666693E-2</v>
      </c>
      <c r="K247" s="24">
        <v>7</v>
      </c>
      <c r="L247" s="24">
        <v>14</v>
      </c>
      <c r="M247" s="24">
        <v>196</v>
      </c>
      <c r="N247" s="9">
        <v>0</v>
      </c>
      <c r="O247" s="9">
        <v>2</v>
      </c>
      <c r="P247" s="9">
        <v>1</v>
      </c>
      <c r="Q247" s="11">
        <v>6.6666666666666693E-2</v>
      </c>
      <c r="R247" s="10" t="s">
        <v>176</v>
      </c>
      <c r="S247" s="6"/>
      <c r="T247" s="6"/>
    </row>
    <row r="248" spans="1:20">
      <c r="A248" s="7">
        <v>46216</v>
      </c>
      <c r="B248" s="8">
        <v>46229</v>
      </c>
      <c r="C248" s="9">
        <v>14</v>
      </c>
      <c r="D248" s="10" t="s">
        <v>644</v>
      </c>
      <c r="E248" s="10" t="s">
        <v>2028</v>
      </c>
      <c r="F248" s="9"/>
      <c r="G248" s="9">
        <v>2</v>
      </c>
      <c r="H248" s="9">
        <v>2</v>
      </c>
      <c r="I248" s="9">
        <v>0</v>
      </c>
      <c r="J248" s="11">
        <v>1</v>
      </c>
      <c r="K248" s="24">
        <v>5</v>
      </c>
      <c r="L248" s="24">
        <v>10</v>
      </c>
      <c r="M248" s="24">
        <v>140</v>
      </c>
      <c r="N248" s="9">
        <v>2</v>
      </c>
      <c r="O248" s="9">
        <v>2</v>
      </c>
      <c r="P248" s="9">
        <v>2</v>
      </c>
      <c r="Q248" s="11">
        <v>1</v>
      </c>
      <c r="R248" s="10" t="s">
        <v>177</v>
      </c>
      <c r="S248" s="6"/>
      <c r="T248" s="6"/>
    </row>
    <row r="249" spans="1:20">
      <c r="A249" s="7">
        <v>46216</v>
      </c>
      <c r="B249" s="8">
        <v>46229</v>
      </c>
      <c r="C249" s="9">
        <v>14</v>
      </c>
      <c r="D249" s="10" t="s">
        <v>644</v>
      </c>
      <c r="E249" s="10" t="s">
        <v>3101</v>
      </c>
      <c r="F249" s="9"/>
      <c r="G249" s="9">
        <v>9</v>
      </c>
      <c r="H249" s="9">
        <v>9</v>
      </c>
      <c r="I249" s="9">
        <v>0</v>
      </c>
      <c r="J249" s="11">
        <v>1</v>
      </c>
      <c r="K249" s="24">
        <v>0.1</v>
      </c>
      <c r="L249" s="24">
        <v>0.9</v>
      </c>
      <c r="M249" s="24">
        <v>12.6</v>
      </c>
      <c r="N249" s="9">
        <v>9</v>
      </c>
      <c r="O249" s="9">
        <v>9</v>
      </c>
      <c r="P249" s="9">
        <v>2</v>
      </c>
      <c r="Q249" s="11">
        <v>1</v>
      </c>
      <c r="R249" s="10" t="s">
        <v>177</v>
      </c>
      <c r="S249" s="6"/>
      <c r="T249" s="6"/>
    </row>
    <row r="250" spans="1:20">
      <c r="A250" s="7">
        <v>46216</v>
      </c>
      <c r="B250" s="8">
        <v>46229</v>
      </c>
      <c r="C250" s="9">
        <v>14</v>
      </c>
      <c r="D250" s="10" t="s">
        <v>644</v>
      </c>
      <c r="E250" s="10" t="s">
        <v>1912</v>
      </c>
      <c r="F250" s="9"/>
      <c r="G250" s="9">
        <v>6</v>
      </c>
      <c r="H250" s="9">
        <v>6</v>
      </c>
      <c r="I250" s="9">
        <v>0</v>
      </c>
      <c r="J250" s="11">
        <v>1</v>
      </c>
      <c r="K250" s="24">
        <v>0.1</v>
      </c>
      <c r="L250" s="24">
        <v>0.6</v>
      </c>
      <c r="M250" s="24">
        <v>8.4</v>
      </c>
      <c r="N250" s="9">
        <v>6</v>
      </c>
      <c r="O250" s="9">
        <v>6</v>
      </c>
      <c r="P250" s="9">
        <v>4</v>
      </c>
      <c r="Q250" s="11">
        <v>1</v>
      </c>
      <c r="R250" s="10" t="s">
        <v>177</v>
      </c>
      <c r="S250" s="6"/>
      <c r="T250" s="6"/>
    </row>
    <row r="251" spans="1:20">
      <c r="A251" s="7">
        <v>46216</v>
      </c>
      <c r="B251" s="8">
        <v>46229</v>
      </c>
      <c r="C251" s="9">
        <v>14</v>
      </c>
      <c r="D251" s="10" t="s">
        <v>644</v>
      </c>
      <c r="E251" s="10" t="s">
        <v>1911</v>
      </c>
      <c r="F251" s="9"/>
      <c r="G251" s="9">
        <v>49</v>
      </c>
      <c r="H251" s="9">
        <v>4</v>
      </c>
      <c r="I251" s="9">
        <v>45</v>
      </c>
      <c r="J251" s="11">
        <v>8.1632653061224497E-2</v>
      </c>
      <c r="K251" s="24">
        <v>0.1</v>
      </c>
      <c r="L251" s="24">
        <v>0.4</v>
      </c>
      <c r="M251" s="24">
        <v>5.6</v>
      </c>
      <c r="N251" s="9">
        <v>4</v>
      </c>
      <c r="O251" s="9">
        <v>4</v>
      </c>
      <c r="P251" s="9">
        <v>2</v>
      </c>
      <c r="Q251" s="11">
        <v>8.1632653061224497E-2</v>
      </c>
      <c r="R251" s="10" t="s">
        <v>3075</v>
      </c>
      <c r="S251" s="6"/>
      <c r="T251" s="6"/>
    </row>
    <row r="252" spans="1:20">
      <c r="A252" s="7">
        <v>46216</v>
      </c>
      <c r="B252" s="8">
        <v>46229</v>
      </c>
      <c r="C252" s="9">
        <v>14</v>
      </c>
      <c r="D252" s="10" t="s">
        <v>644</v>
      </c>
      <c r="E252" s="10" t="s">
        <v>1913</v>
      </c>
      <c r="F252" s="9"/>
      <c r="G252" s="9">
        <v>13</v>
      </c>
      <c r="H252" s="9">
        <v>4</v>
      </c>
      <c r="I252" s="9">
        <v>9</v>
      </c>
      <c r="J252" s="11">
        <v>0.30769230769230799</v>
      </c>
      <c r="K252" s="24">
        <v>0.1</v>
      </c>
      <c r="L252" s="24">
        <v>0.4</v>
      </c>
      <c r="M252" s="24">
        <v>5.6</v>
      </c>
      <c r="N252" s="9">
        <v>2</v>
      </c>
      <c r="O252" s="9">
        <v>5</v>
      </c>
      <c r="P252" s="9">
        <v>2</v>
      </c>
      <c r="Q252" s="11">
        <v>0.38461538461538503</v>
      </c>
      <c r="R252" s="10" t="s">
        <v>3698</v>
      </c>
      <c r="S252" s="6"/>
      <c r="T252" s="6"/>
    </row>
    <row r="253" spans="1:20">
      <c r="A253" s="7">
        <v>46216</v>
      </c>
      <c r="B253" s="8">
        <v>46229</v>
      </c>
      <c r="C253" s="9">
        <v>14</v>
      </c>
      <c r="D253" s="10" t="s">
        <v>644</v>
      </c>
      <c r="E253" s="10" t="s">
        <v>3076</v>
      </c>
      <c r="F253" s="9"/>
      <c r="G253" s="9">
        <v>20</v>
      </c>
      <c r="H253" s="9">
        <v>2</v>
      </c>
      <c r="I253" s="9">
        <v>18</v>
      </c>
      <c r="J253" s="11">
        <v>0.1</v>
      </c>
      <c r="K253" s="24">
        <v>0.1</v>
      </c>
      <c r="L253" s="24">
        <v>0.2</v>
      </c>
      <c r="M253" s="24">
        <v>2.8</v>
      </c>
      <c r="N253" s="9">
        <v>2</v>
      </c>
      <c r="O253" s="9">
        <v>2</v>
      </c>
      <c r="P253" s="9">
        <v>2</v>
      </c>
      <c r="Q253" s="11">
        <v>0.1</v>
      </c>
      <c r="R253" s="10" t="s">
        <v>3075</v>
      </c>
      <c r="S253" s="6"/>
      <c r="T253" s="6"/>
    </row>
    <row r="254" spans="1:20">
      <c r="A254" s="7">
        <v>46216</v>
      </c>
      <c r="B254" s="8">
        <v>46229</v>
      </c>
      <c r="C254" s="9">
        <v>14</v>
      </c>
      <c r="D254" s="10" t="s">
        <v>644</v>
      </c>
      <c r="E254" s="10" t="s">
        <v>3103</v>
      </c>
      <c r="F254" s="9"/>
      <c r="G254" s="9">
        <v>3</v>
      </c>
      <c r="H254" s="9">
        <v>1</v>
      </c>
      <c r="I254" s="9">
        <v>2</v>
      </c>
      <c r="J254" s="11">
        <v>0.33333333333333298</v>
      </c>
      <c r="K254" s="24">
        <v>0.1</v>
      </c>
      <c r="L254" s="24">
        <v>0.1</v>
      </c>
      <c r="M254" s="24">
        <v>1.4</v>
      </c>
      <c r="N254" s="9">
        <v>1</v>
      </c>
      <c r="O254" s="9">
        <v>1</v>
      </c>
      <c r="P254" s="9">
        <v>2</v>
      </c>
      <c r="Q254" s="11">
        <v>0.33333333333333298</v>
      </c>
      <c r="R254" s="10" t="s">
        <v>3698</v>
      </c>
      <c r="S254" s="6"/>
      <c r="T254" s="6"/>
    </row>
    <row r="255" spans="1:20">
      <c r="A255" s="7">
        <v>46216</v>
      </c>
      <c r="B255" s="8">
        <v>46229</v>
      </c>
      <c r="C255" s="9">
        <v>14</v>
      </c>
      <c r="D255" s="10" t="s">
        <v>644</v>
      </c>
      <c r="E255" s="10" t="s">
        <v>1910</v>
      </c>
      <c r="F255" s="9"/>
      <c r="G255" s="9">
        <v>37</v>
      </c>
      <c r="H255" s="9">
        <v>0</v>
      </c>
      <c r="I255" s="9">
        <v>37</v>
      </c>
      <c r="J255" s="11">
        <v>0</v>
      </c>
      <c r="K255" s="24">
        <v>0.1</v>
      </c>
      <c r="L255" s="24">
        <v>0</v>
      </c>
      <c r="M255" s="24">
        <v>0</v>
      </c>
      <c r="N255" s="9">
        <v>0</v>
      </c>
      <c r="O255" s="9">
        <v>0</v>
      </c>
      <c r="P255" s="9">
        <v>0</v>
      </c>
      <c r="Q255" s="11">
        <v>0</v>
      </c>
      <c r="R255" s="10" t="s">
        <v>176</v>
      </c>
      <c r="S255" s="6"/>
      <c r="T255" s="6"/>
    </row>
    <row r="256" spans="1:20">
      <c r="A256" s="7">
        <v>46216</v>
      </c>
      <c r="B256" s="8">
        <v>46229</v>
      </c>
      <c r="C256" s="9">
        <v>14</v>
      </c>
      <c r="D256" s="10" t="s">
        <v>644</v>
      </c>
      <c r="E256" s="10" t="s">
        <v>3102</v>
      </c>
      <c r="F256" s="9"/>
      <c r="G256" s="9">
        <v>2</v>
      </c>
      <c r="H256" s="9">
        <v>0</v>
      </c>
      <c r="I256" s="9">
        <v>2</v>
      </c>
      <c r="J256" s="11">
        <v>0</v>
      </c>
      <c r="K256" s="24">
        <v>0.1</v>
      </c>
      <c r="L256" s="24">
        <v>0</v>
      </c>
      <c r="M256" s="24">
        <v>0</v>
      </c>
      <c r="N256" s="9">
        <v>0</v>
      </c>
      <c r="O256" s="9">
        <v>0</v>
      </c>
      <c r="P256" s="9">
        <v>0</v>
      </c>
      <c r="Q256" s="11">
        <v>0</v>
      </c>
      <c r="R256" s="10" t="s">
        <v>176</v>
      </c>
      <c r="S256" s="6"/>
      <c r="T256" s="6"/>
    </row>
    <row r="257" spans="1:20">
      <c r="A257" s="7">
        <v>46216</v>
      </c>
      <c r="B257" s="8">
        <v>46229</v>
      </c>
      <c r="C257" s="9">
        <v>14</v>
      </c>
      <c r="D257" s="10" t="s">
        <v>644</v>
      </c>
      <c r="E257" s="10" t="s">
        <v>1915</v>
      </c>
      <c r="F257" s="9"/>
      <c r="G257" s="9">
        <v>4</v>
      </c>
      <c r="H257" s="9">
        <v>0</v>
      </c>
      <c r="I257" s="9">
        <v>4</v>
      </c>
      <c r="J257" s="11">
        <v>0</v>
      </c>
      <c r="K257" s="24">
        <v>1</v>
      </c>
      <c r="L257" s="24">
        <v>0</v>
      </c>
      <c r="M257" s="24">
        <v>0</v>
      </c>
      <c r="N257" s="9">
        <v>0</v>
      </c>
      <c r="O257" s="9">
        <v>0</v>
      </c>
      <c r="P257" s="9">
        <v>0</v>
      </c>
      <c r="Q257" s="11">
        <v>0</v>
      </c>
      <c r="R257" s="10" t="s">
        <v>176</v>
      </c>
      <c r="S257" s="6"/>
      <c r="T257" s="6"/>
    </row>
    <row r="258" spans="1:20">
      <c r="A258" s="7">
        <v>46216</v>
      </c>
      <c r="B258" s="8">
        <v>46229</v>
      </c>
      <c r="C258" s="9">
        <v>14</v>
      </c>
      <c r="D258" s="10" t="s">
        <v>644</v>
      </c>
      <c r="E258" s="10" t="s">
        <v>1916</v>
      </c>
      <c r="F258" s="9"/>
      <c r="G258" s="9">
        <v>1</v>
      </c>
      <c r="H258" s="9">
        <v>0</v>
      </c>
      <c r="I258" s="9">
        <v>1</v>
      </c>
      <c r="J258" s="11">
        <v>0</v>
      </c>
      <c r="K258" s="24">
        <v>40</v>
      </c>
      <c r="L258" s="24">
        <v>0</v>
      </c>
      <c r="M258" s="24">
        <v>0</v>
      </c>
      <c r="N258" s="9">
        <v>0</v>
      </c>
      <c r="O258" s="9">
        <v>0</v>
      </c>
      <c r="P258" s="9">
        <v>0</v>
      </c>
      <c r="Q258" s="11">
        <v>0</v>
      </c>
      <c r="R258" s="10" t="s">
        <v>176</v>
      </c>
      <c r="S258" s="6"/>
      <c r="T258" s="6"/>
    </row>
    <row r="259" spans="1:20">
      <c r="A259" s="7">
        <v>46216</v>
      </c>
      <c r="B259" s="8">
        <v>46229</v>
      </c>
      <c r="C259" s="9">
        <v>14</v>
      </c>
      <c r="D259" s="10" t="s">
        <v>644</v>
      </c>
      <c r="E259" s="10" t="s">
        <v>194</v>
      </c>
      <c r="F259" s="9"/>
      <c r="G259" s="9">
        <v>1</v>
      </c>
      <c r="H259" s="9">
        <v>0</v>
      </c>
      <c r="I259" s="9">
        <v>1</v>
      </c>
      <c r="J259" s="11">
        <v>0</v>
      </c>
      <c r="K259" s="24">
        <v>40</v>
      </c>
      <c r="L259" s="24">
        <v>0</v>
      </c>
      <c r="M259" s="24">
        <v>0</v>
      </c>
      <c r="N259" s="9">
        <v>0</v>
      </c>
      <c r="O259" s="9">
        <v>0</v>
      </c>
      <c r="P259" s="9">
        <v>0</v>
      </c>
      <c r="Q259" s="11">
        <v>0</v>
      </c>
      <c r="R259" s="10" t="s">
        <v>176</v>
      </c>
      <c r="S259" s="6"/>
      <c r="T259" s="6"/>
    </row>
    <row r="260" spans="1:20">
      <c r="A260" s="7">
        <v>46216</v>
      </c>
      <c r="B260" s="8">
        <v>46229</v>
      </c>
      <c r="C260" s="9">
        <v>14</v>
      </c>
      <c r="D260" s="10" t="s">
        <v>644</v>
      </c>
      <c r="E260" s="10" t="s">
        <v>197</v>
      </c>
      <c r="F260" s="9"/>
      <c r="G260" s="9">
        <v>4</v>
      </c>
      <c r="H260" s="9">
        <v>0</v>
      </c>
      <c r="I260" s="9">
        <v>4</v>
      </c>
      <c r="J260" s="11">
        <v>0</v>
      </c>
      <c r="K260" s="24">
        <v>20</v>
      </c>
      <c r="L260" s="24">
        <v>0</v>
      </c>
      <c r="M260" s="24">
        <v>0</v>
      </c>
      <c r="N260" s="9">
        <v>0</v>
      </c>
      <c r="O260" s="9">
        <v>0</v>
      </c>
      <c r="P260" s="9">
        <v>0</v>
      </c>
      <c r="Q260" s="11">
        <v>0</v>
      </c>
      <c r="R260" s="10" t="s">
        <v>176</v>
      </c>
      <c r="S260" s="6"/>
      <c r="T260" s="6"/>
    </row>
    <row r="261" spans="1:20">
      <c r="A261" s="7">
        <v>46216</v>
      </c>
      <c r="B261" s="8">
        <v>46229</v>
      </c>
      <c r="C261" s="9">
        <v>14</v>
      </c>
      <c r="D261" s="10" t="s">
        <v>644</v>
      </c>
      <c r="E261" s="10" t="s">
        <v>199</v>
      </c>
      <c r="F261" s="9"/>
      <c r="G261" s="9">
        <v>7</v>
      </c>
      <c r="H261" s="9">
        <v>0</v>
      </c>
      <c r="I261" s="9">
        <v>7</v>
      </c>
      <c r="J261" s="11">
        <v>0</v>
      </c>
      <c r="K261" s="24">
        <v>9.0399999999999991</v>
      </c>
      <c r="L261" s="24">
        <v>0</v>
      </c>
      <c r="M261" s="24">
        <v>0</v>
      </c>
      <c r="N261" s="9">
        <v>0</v>
      </c>
      <c r="O261" s="9">
        <v>0</v>
      </c>
      <c r="P261" s="9">
        <v>0</v>
      </c>
      <c r="Q261" s="11">
        <v>0</v>
      </c>
      <c r="R261" s="10" t="s">
        <v>176</v>
      </c>
      <c r="S261" s="6"/>
      <c r="T261" s="6"/>
    </row>
    <row r="262" spans="1:20">
      <c r="A262" s="7">
        <v>46216</v>
      </c>
      <c r="B262" s="8">
        <v>46229</v>
      </c>
      <c r="C262" s="9">
        <v>14</v>
      </c>
      <c r="D262" s="10" t="s">
        <v>644</v>
      </c>
      <c r="E262" s="10" t="s">
        <v>210</v>
      </c>
      <c r="F262" s="9"/>
      <c r="G262" s="9">
        <v>2</v>
      </c>
      <c r="H262" s="9">
        <v>0</v>
      </c>
      <c r="I262" s="9">
        <v>2</v>
      </c>
      <c r="J262" s="11">
        <v>0</v>
      </c>
      <c r="K262" s="24">
        <v>10</v>
      </c>
      <c r="L262" s="24">
        <v>0</v>
      </c>
      <c r="M262" s="24">
        <v>0</v>
      </c>
      <c r="N262" s="9">
        <v>0</v>
      </c>
      <c r="O262" s="9">
        <v>0</v>
      </c>
      <c r="P262" s="9">
        <v>0</v>
      </c>
      <c r="Q262" s="11">
        <v>0</v>
      </c>
      <c r="R262" s="10" t="s">
        <v>176</v>
      </c>
      <c r="S262" s="6"/>
      <c r="T262" s="6"/>
    </row>
    <row r="263" spans="1:20">
      <c r="A263" s="7">
        <v>46216</v>
      </c>
      <c r="B263" s="8">
        <v>46229</v>
      </c>
      <c r="C263" s="9">
        <v>14</v>
      </c>
      <c r="D263" s="10" t="s">
        <v>644</v>
      </c>
      <c r="E263" s="10" t="s">
        <v>211</v>
      </c>
      <c r="F263" s="9"/>
      <c r="G263" s="9">
        <v>6</v>
      </c>
      <c r="H263" s="9">
        <v>0</v>
      </c>
      <c r="I263" s="9">
        <v>6</v>
      </c>
      <c r="J263" s="11">
        <v>0</v>
      </c>
      <c r="K263" s="24">
        <v>15</v>
      </c>
      <c r="L263" s="24">
        <v>0</v>
      </c>
      <c r="M263" s="24">
        <v>0</v>
      </c>
      <c r="N263" s="9">
        <v>0</v>
      </c>
      <c r="O263" s="9">
        <v>0</v>
      </c>
      <c r="P263" s="9">
        <v>0</v>
      </c>
      <c r="Q263" s="11">
        <v>0</v>
      </c>
      <c r="R263" s="10" t="s">
        <v>176</v>
      </c>
      <c r="S263" s="6"/>
      <c r="T263" s="6"/>
    </row>
    <row r="264" spans="1:20">
      <c r="A264" s="7">
        <v>46216</v>
      </c>
      <c r="B264" s="8">
        <v>46229</v>
      </c>
      <c r="C264" s="9">
        <v>14</v>
      </c>
      <c r="D264" s="10" t="s">
        <v>644</v>
      </c>
      <c r="E264" s="10" t="s">
        <v>1921</v>
      </c>
      <c r="F264" s="9"/>
      <c r="G264" s="9">
        <v>3</v>
      </c>
      <c r="H264" s="9">
        <v>0</v>
      </c>
      <c r="I264" s="9">
        <v>3</v>
      </c>
      <c r="J264" s="11">
        <v>0</v>
      </c>
      <c r="K264" s="24">
        <v>25</v>
      </c>
      <c r="L264" s="24">
        <v>0</v>
      </c>
      <c r="M264" s="24">
        <v>0</v>
      </c>
      <c r="N264" s="9">
        <v>0</v>
      </c>
      <c r="O264" s="9">
        <v>0</v>
      </c>
      <c r="P264" s="9">
        <v>0</v>
      </c>
      <c r="Q264" s="11">
        <v>0</v>
      </c>
      <c r="R264" s="10" t="s">
        <v>176</v>
      </c>
      <c r="S264" s="6"/>
      <c r="T264" s="6"/>
    </row>
    <row r="265" spans="1:20">
      <c r="A265" s="7">
        <v>46216</v>
      </c>
      <c r="B265" s="8">
        <v>46229</v>
      </c>
      <c r="C265" s="9">
        <v>14</v>
      </c>
      <c r="D265" s="10" t="s">
        <v>644</v>
      </c>
      <c r="E265" s="10" t="s">
        <v>1922</v>
      </c>
      <c r="F265" s="9"/>
      <c r="G265" s="9">
        <v>2</v>
      </c>
      <c r="H265" s="9">
        <v>0</v>
      </c>
      <c r="I265" s="9">
        <v>2</v>
      </c>
      <c r="J265" s="11">
        <v>0</v>
      </c>
      <c r="K265" s="24">
        <v>26.76</v>
      </c>
      <c r="L265" s="24">
        <v>0</v>
      </c>
      <c r="M265" s="24">
        <v>0</v>
      </c>
      <c r="N265" s="9">
        <v>0</v>
      </c>
      <c r="O265" s="9">
        <v>0</v>
      </c>
      <c r="P265" s="9">
        <v>0</v>
      </c>
      <c r="Q265" s="11">
        <v>0</v>
      </c>
      <c r="R265" s="10" t="s">
        <v>176</v>
      </c>
      <c r="S265" s="6"/>
      <c r="T265" s="6"/>
    </row>
    <row r="266" spans="1:20">
      <c r="A266" s="7">
        <v>46216</v>
      </c>
      <c r="B266" s="8">
        <v>46229</v>
      </c>
      <c r="C266" s="9">
        <v>14</v>
      </c>
      <c r="D266" s="10" t="s">
        <v>644</v>
      </c>
      <c r="E266" s="10" t="s">
        <v>215</v>
      </c>
      <c r="F266" s="9"/>
      <c r="G266" s="9">
        <v>13</v>
      </c>
      <c r="H266" s="9">
        <v>0</v>
      </c>
      <c r="I266" s="9">
        <v>13</v>
      </c>
      <c r="J266" s="11">
        <v>0</v>
      </c>
      <c r="K266" s="24">
        <v>26.76</v>
      </c>
      <c r="L266" s="24">
        <v>0</v>
      </c>
      <c r="M266" s="24">
        <v>0</v>
      </c>
      <c r="N266" s="9">
        <v>0</v>
      </c>
      <c r="O266" s="9">
        <v>0</v>
      </c>
      <c r="P266" s="9">
        <v>0</v>
      </c>
      <c r="Q266" s="11">
        <v>0</v>
      </c>
      <c r="R266" s="10" t="s">
        <v>176</v>
      </c>
      <c r="S266" s="6"/>
      <c r="T266" s="6"/>
    </row>
    <row r="267" spans="1:20">
      <c r="A267" s="7">
        <v>46216</v>
      </c>
      <c r="B267" s="8">
        <v>46229</v>
      </c>
      <c r="C267" s="9">
        <v>14</v>
      </c>
      <c r="D267" s="10" t="s">
        <v>644</v>
      </c>
      <c r="E267" s="10" t="s">
        <v>1946</v>
      </c>
      <c r="F267" s="9"/>
      <c r="G267" s="9">
        <v>4</v>
      </c>
      <c r="H267" s="9">
        <v>0</v>
      </c>
      <c r="I267" s="9">
        <v>4</v>
      </c>
      <c r="J267" s="11">
        <v>0</v>
      </c>
      <c r="K267" s="24">
        <v>0</v>
      </c>
      <c r="L267" s="24">
        <v>0</v>
      </c>
      <c r="M267" s="24">
        <v>0</v>
      </c>
      <c r="N267" s="9">
        <v>0</v>
      </c>
      <c r="O267" s="9">
        <v>0</v>
      </c>
      <c r="P267" s="9">
        <v>0</v>
      </c>
      <c r="Q267" s="11">
        <v>0</v>
      </c>
      <c r="R267" s="10" t="s">
        <v>176</v>
      </c>
      <c r="S267" s="6"/>
      <c r="T267" s="6"/>
    </row>
    <row r="268" spans="1:20">
      <c r="A268" s="7">
        <v>46216</v>
      </c>
      <c r="B268" s="8">
        <v>46229</v>
      </c>
      <c r="C268" s="9">
        <v>14</v>
      </c>
      <c r="D268" s="10" t="s">
        <v>644</v>
      </c>
      <c r="E268" s="10" t="s">
        <v>1947</v>
      </c>
      <c r="F268" s="9"/>
      <c r="G268" s="9">
        <v>4</v>
      </c>
      <c r="H268" s="9">
        <v>0</v>
      </c>
      <c r="I268" s="9">
        <v>4</v>
      </c>
      <c r="J268" s="11">
        <v>0</v>
      </c>
      <c r="K268" s="24">
        <v>0</v>
      </c>
      <c r="L268" s="24">
        <v>0</v>
      </c>
      <c r="M268" s="24">
        <v>0</v>
      </c>
      <c r="N268" s="9">
        <v>0</v>
      </c>
      <c r="O268" s="9">
        <v>0</v>
      </c>
      <c r="P268" s="9">
        <v>0</v>
      </c>
      <c r="Q268" s="11">
        <v>0</v>
      </c>
      <c r="R268" s="10" t="s">
        <v>176</v>
      </c>
      <c r="S268" s="6"/>
      <c r="T268" s="6"/>
    </row>
    <row r="269" spans="1:20">
      <c r="A269" s="7">
        <v>46216</v>
      </c>
      <c r="B269" s="8">
        <v>46229</v>
      </c>
      <c r="C269" s="9">
        <v>14</v>
      </c>
      <c r="D269" s="10" t="s">
        <v>644</v>
      </c>
      <c r="E269" s="10" t="s">
        <v>1948</v>
      </c>
      <c r="F269" s="9"/>
      <c r="G269" s="9">
        <v>4</v>
      </c>
      <c r="H269" s="9">
        <v>0</v>
      </c>
      <c r="I269" s="9">
        <v>4</v>
      </c>
      <c r="J269" s="11">
        <v>0</v>
      </c>
      <c r="K269" s="24">
        <v>0</v>
      </c>
      <c r="L269" s="24">
        <v>0</v>
      </c>
      <c r="M269" s="24">
        <v>0</v>
      </c>
      <c r="N269" s="9">
        <v>0</v>
      </c>
      <c r="O269" s="9">
        <v>0</v>
      </c>
      <c r="P269" s="9">
        <v>0</v>
      </c>
      <c r="Q269" s="11">
        <v>0</v>
      </c>
      <c r="R269" s="10" t="s">
        <v>176</v>
      </c>
      <c r="S269" s="6"/>
      <c r="T269" s="6"/>
    </row>
    <row r="270" spans="1:20">
      <c r="A270" s="7">
        <v>46216</v>
      </c>
      <c r="B270" s="8">
        <v>46229</v>
      </c>
      <c r="C270" s="9">
        <v>14</v>
      </c>
      <c r="D270" s="10" t="s">
        <v>644</v>
      </c>
      <c r="E270" s="10" t="s">
        <v>1949</v>
      </c>
      <c r="F270" s="9"/>
      <c r="G270" s="9">
        <v>4</v>
      </c>
      <c r="H270" s="9">
        <v>0</v>
      </c>
      <c r="I270" s="9">
        <v>4</v>
      </c>
      <c r="J270" s="11">
        <v>0</v>
      </c>
      <c r="K270" s="24">
        <v>0</v>
      </c>
      <c r="L270" s="24">
        <v>0</v>
      </c>
      <c r="M270" s="24">
        <v>0</v>
      </c>
      <c r="N270" s="9">
        <v>0</v>
      </c>
      <c r="O270" s="9">
        <v>0</v>
      </c>
      <c r="P270" s="9">
        <v>0</v>
      </c>
      <c r="Q270" s="11">
        <v>0</v>
      </c>
      <c r="R270" s="10" t="s">
        <v>176</v>
      </c>
      <c r="S270" s="6"/>
      <c r="T270" s="6"/>
    </row>
    <row r="271" spans="1:20">
      <c r="A271" s="7">
        <v>46216</v>
      </c>
      <c r="B271" s="8">
        <v>46229</v>
      </c>
      <c r="C271" s="9">
        <v>14</v>
      </c>
      <c r="D271" s="10" t="s">
        <v>644</v>
      </c>
      <c r="E271" s="10" t="s">
        <v>1950</v>
      </c>
      <c r="F271" s="9"/>
      <c r="G271" s="9">
        <v>4</v>
      </c>
      <c r="H271" s="9">
        <v>0</v>
      </c>
      <c r="I271" s="9">
        <v>4</v>
      </c>
      <c r="J271" s="11">
        <v>0</v>
      </c>
      <c r="K271" s="24">
        <v>0</v>
      </c>
      <c r="L271" s="24">
        <v>0</v>
      </c>
      <c r="M271" s="24">
        <v>0</v>
      </c>
      <c r="N271" s="9">
        <v>0</v>
      </c>
      <c r="O271" s="9">
        <v>0</v>
      </c>
      <c r="P271" s="9">
        <v>0</v>
      </c>
      <c r="Q271" s="11">
        <v>0</v>
      </c>
      <c r="R271" s="10" t="s">
        <v>176</v>
      </c>
      <c r="S271" s="6"/>
      <c r="T271" s="6"/>
    </row>
    <row r="272" spans="1:20">
      <c r="A272" s="7">
        <v>46216</v>
      </c>
      <c r="B272" s="8">
        <v>46229</v>
      </c>
      <c r="C272" s="9">
        <v>14</v>
      </c>
      <c r="D272" s="10" t="s">
        <v>644</v>
      </c>
      <c r="E272" s="10" t="s">
        <v>1951</v>
      </c>
      <c r="F272" s="9"/>
      <c r="G272" s="9">
        <v>4</v>
      </c>
      <c r="H272" s="9">
        <v>0</v>
      </c>
      <c r="I272" s="9">
        <v>4</v>
      </c>
      <c r="J272" s="11">
        <v>0</v>
      </c>
      <c r="K272" s="24">
        <v>0</v>
      </c>
      <c r="L272" s="24">
        <v>0</v>
      </c>
      <c r="M272" s="24">
        <v>0</v>
      </c>
      <c r="N272" s="9">
        <v>0</v>
      </c>
      <c r="O272" s="9">
        <v>0</v>
      </c>
      <c r="P272" s="9">
        <v>0</v>
      </c>
      <c r="Q272" s="11">
        <v>0</v>
      </c>
      <c r="R272" s="10" t="s">
        <v>176</v>
      </c>
      <c r="S272" s="6"/>
      <c r="T272" s="6"/>
    </row>
    <row r="273" spans="1:20">
      <c r="A273" s="7">
        <v>46216</v>
      </c>
      <c r="B273" s="8">
        <v>46229</v>
      </c>
      <c r="C273" s="9">
        <v>14</v>
      </c>
      <c r="D273" s="10" t="s">
        <v>644</v>
      </c>
      <c r="E273" s="10" t="s">
        <v>1952</v>
      </c>
      <c r="F273" s="9"/>
      <c r="G273" s="9">
        <v>4</v>
      </c>
      <c r="H273" s="9">
        <v>0</v>
      </c>
      <c r="I273" s="9">
        <v>4</v>
      </c>
      <c r="J273" s="11">
        <v>0</v>
      </c>
      <c r="K273" s="24">
        <v>0</v>
      </c>
      <c r="L273" s="24">
        <v>0</v>
      </c>
      <c r="M273" s="24">
        <v>0</v>
      </c>
      <c r="N273" s="9">
        <v>0</v>
      </c>
      <c r="O273" s="9">
        <v>0</v>
      </c>
      <c r="P273" s="9">
        <v>0</v>
      </c>
      <c r="Q273" s="11">
        <v>0</v>
      </c>
      <c r="R273" s="10" t="s">
        <v>176</v>
      </c>
      <c r="S273" s="6"/>
      <c r="T273" s="6"/>
    </row>
    <row r="274" spans="1:20">
      <c r="A274" s="7">
        <v>46216</v>
      </c>
      <c r="B274" s="8">
        <v>46229</v>
      </c>
      <c r="C274" s="9">
        <v>14</v>
      </c>
      <c r="D274" s="10" t="s">
        <v>644</v>
      </c>
      <c r="E274" s="10" t="s">
        <v>1953</v>
      </c>
      <c r="F274" s="9"/>
      <c r="G274" s="9">
        <v>4</v>
      </c>
      <c r="H274" s="9">
        <v>0</v>
      </c>
      <c r="I274" s="9">
        <v>4</v>
      </c>
      <c r="J274" s="11">
        <v>0</v>
      </c>
      <c r="K274" s="24">
        <v>0</v>
      </c>
      <c r="L274" s="24">
        <v>0</v>
      </c>
      <c r="M274" s="24">
        <v>0</v>
      </c>
      <c r="N274" s="9">
        <v>0</v>
      </c>
      <c r="O274" s="9">
        <v>0</v>
      </c>
      <c r="P274" s="9">
        <v>0</v>
      </c>
      <c r="Q274" s="11">
        <v>0</v>
      </c>
      <c r="R274" s="10" t="s">
        <v>176</v>
      </c>
      <c r="S274" s="6"/>
      <c r="T274" s="6"/>
    </row>
    <row r="275" spans="1:20">
      <c r="A275" s="7">
        <v>46216</v>
      </c>
      <c r="B275" s="8">
        <v>46229</v>
      </c>
      <c r="C275" s="9">
        <v>14</v>
      </c>
      <c r="D275" s="10" t="s">
        <v>644</v>
      </c>
      <c r="E275" s="10" t="s">
        <v>1954</v>
      </c>
      <c r="F275" s="9"/>
      <c r="G275" s="9">
        <v>4</v>
      </c>
      <c r="H275" s="9">
        <v>0</v>
      </c>
      <c r="I275" s="9">
        <v>4</v>
      </c>
      <c r="J275" s="11">
        <v>0</v>
      </c>
      <c r="K275" s="24">
        <v>0</v>
      </c>
      <c r="L275" s="24">
        <v>0</v>
      </c>
      <c r="M275" s="24">
        <v>0</v>
      </c>
      <c r="N275" s="9">
        <v>0</v>
      </c>
      <c r="O275" s="9">
        <v>0</v>
      </c>
      <c r="P275" s="9">
        <v>0</v>
      </c>
      <c r="Q275" s="11">
        <v>0</v>
      </c>
      <c r="R275" s="10" t="s">
        <v>176</v>
      </c>
      <c r="S275" s="6"/>
      <c r="T275" s="6"/>
    </row>
    <row r="276" spans="1:20">
      <c r="A276" s="7">
        <v>46216</v>
      </c>
      <c r="B276" s="8">
        <v>46229</v>
      </c>
      <c r="C276" s="9">
        <v>14</v>
      </c>
      <c r="D276" s="10" t="s">
        <v>644</v>
      </c>
      <c r="E276" s="10" t="s">
        <v>1955</v>
      </c>
      <c r="F276" s="9"/>
      <c r="G276" s="9">
        <v>4</v>
      </c>
      <c r="H276" s="9">
        <v>0</v>
      </c>
      <c r="I276" s="9">
        <v>4</v>
      </c>
      <c r="J276" s="11">
        <v>0</v>
      </c>
      <c r="K276" s="24">
        <v>0</v>
      </c>
      <c r="L276" s="24">
        <v>0</v>
      </c>
      <c r="M276" s="24">
        <v>0</v>
      </c>
      <c r="N276" s="9">
        <v>0</v>
      </c>
      <c r="O276" s="9">
        <v>0</v>
      </c>
      <c r="P276" s="9">
        <v>0</v>
      </c>
      <c r="Q276" s="11">
        <v>0</v>
      </c>
      <c r="R276" s="10" t="s">
        <v>176</v>
      </c>
      <c r="S276" s="6"/>
      <c r="T276" s="6"/>
    </row>
    <row r="277" spans="1:20">
      <c r="A277" s="7">
        <v>46216</v>
      </c>
      <c r="B277" s="8">
        <v>46229</v>
      </c>
      <c r="C277" s="9">
        <v>14</v>
      </c>
      <c r="D277" s="10" t="s">
        <v>644</v>
      </c>
      <c r="E277" s="10" t="s">
        <v>1956</v>
      </c>
      <c r="F277" s="9"/>
      <c r="G277" s="9">
        <v>4</v>
      </c>
      <c r="H277" s="9">
        <v>0</v>
      </c>
      <c r="I277" s="9">
        <v>4</v>
      </c>
      <c r="J277" s="11">
        <v>0</v>
      </c>
      <c r="K277" s="24">
        <v>0</v>
      </c>
      <c r="L277" s="24">
        <v>0</v>
      </c>
      <c r="M277" s="24">
        <v>0</v>
      </c>
      <c r="N277" s="9">
        <v>0</v>
      </c>
      <c r="O277" s="9">
        <v>0</v>
      </c>
      <c r="P277" s="9">
        <v>0</v>
      </c>
      <c r="Q277" s="11">
        <v>0</v>
      </c>
      <c r="R277" s="10" t="s">
        <v>176</v>
      </c>
      <c r="S277" s="6"/>
      <c r="T277" s="6"/>
    </row>
    <row r="278" spans="1:20">
      <c r="A278" s="7">
        <v>46216</v>
      </c>
      <c r="B278" s="8">
        <v>46229</v>
      </c>
      <c r="C278" s="9">
        <v>14</v>
      </c>
      <c r="D278" s="10" t="s">
        <v>644</v>
      </c>
      <c r="E278" s="10" t="s">
        <v>242</v>
      </c>
      <c r="F278" s="9"/>
      <c r="G278" s="9">
        <v>6</v>
      </c>
      <c r="H278" s="9">
        <v>0</v>
      </c>
      <c r="I278" s="9">
        <v>6</v>
      </c>
      <c r="J278" s="11">
        <v>0</v>
      </c>
      <c r="K278" s="24">
        <v>10.32</v>
      </c>
      <c r="L278" s="24">
        <v>0</v>
      </c>
      <c r="M278" s="24">
        <v>0</v>
      </c>
      <c r="N278" s="9">
        <v>0</v>
      </c>
      <c r="O278" s="9">
        <v>0</v>
      </c>
      <c r="P278" s="9">
        <v>0</v>
      </c>
      <c r="Q278" s="11">
        <v>0</v>
      </c>
      <c r="R278" s="10" t="s">
        <v>176</v>
      </c>
      <c r="S278" s="6"/>
      <c r="T278" s="6"/>
    </row>
    <row r="279" spans="1:20">
      <c r="A279" s="7">
        <v>46216</v>
      </c>
      <c r="B279" s="8">
        <v>46229</v>
      </c>
      <c r="C279" s="9">
        <v>14</v>
      </c>
      <c r="D279" s="10" t="s">
        <v>644</v>
      </c>
      <c r="E279" s="10" t="s">
        <v>3774</v>
      </c>
      <c r="F279" s="9"/>
      <c r="G279" s="9">
        <v>2</v>
      </c>
      <c r="H279" s="9">
        <v>0</v>
      </c>
      <c r="I279" s="9">
        <v>2</v>
      </c>
      <c r="J279" s="11">
        <v>0</v>
      </c>
      <c r="K279" s="24">
        <v>10.32</v>
      </c>
      <c r="L279" s="24">
        <v>0</v>
      </c>
      <c r="M279" s="24">
        <v>0</v>
      </c>
      <c r="N279" s="9">
        <v>0</v>
      </c>
      <c r="O279" s="9">
        <v>0</v>
      </c>
      <c r="P279" s="9">
        <v>0</v>
      </c>
      <c r="Q279" s="11">
        <v>0</v>
      </c>
      <c r="R279" s="10" t="s">
        <v>176</v>
      </c>
      <c r="S279" s="6"/>
      <c r="T279" s="6"/>
    </row>
    <row r="280" spans="1:20">
      <c r="A280" s="7">
        <v>46216</v>
      </c>
      <c r="B280" s="8">
        <v>46229</v>
      </c>
      <c r="C280" s="9">
        <v>14</v>
      </c>
      <c r="D280" s="10" t="s">
        <v>644</v>
      </c>
      <c r="E280" s="10" t="s">
        <v>1969</v>
      </c>
      <c r="F280" s="9"/>
      <c r="G280" s="9">
        <v>1</v>
      </c>
      <c r="H280" s="9">
        <v>0</v>
      </c>
      <c r="I280" s="9">
        <v>1</v>
      </c>
      <c r="J280" s="11">
        <v>0</v>
      </c>
      <c r="K280" s="24">
        <v>0</v>
      </c>
      <c r="L280" s="24">
        <v>0</v>
      </c>
      <c r="M280" s="24">
        <v>0</v>
      </c>
      <c r="N280" s="9">
        <v>0</v>
      </c>
      <c r="O280" s="9">
        <v>0</v>
      </c>
      <c r="P280" s="9">
        <v>0</v>
      </c>
      <c r="Q280" s="11">
        <v>0</v>
      </c>
      <c r="R280" s="10" t="s">
        <v>176</v>
      </c>
      <c r="S280" s="6"/>
      <c r="T280" s="6"/>
    </row>
    <row r="281" spans="1:20">
      <c r="A281" s="7">
        <v>46216</v>
      </c>
      <c r="B281" s="8">
        <v>46229</v>
      </c>
      <c r="C281" s="9">
        <v>14</v>
      </c>
      <c r="D281" s="10" t="s">
        <v>644</v>
      </c>
      <c r="E281" s="10" t="s">
        <v>1970</v>
      </c>
      <c r="F281" s="9"/>
      <c r="G281" s="9">
        <v>1</v>
      </c>
      <c r="H281" s="9">
        <v>0</v>
      </c>
      <c r="I281" s="9">
        <v>1</v>
      </c>
      <c r="J281" s="11">
        <v>0</v>
      </c>
      <c r="K281" s="24">
        <v>0</v>
      </c>
      <c r="L281" s="24">
        <v>0</v>
      </c>
      <c r="M281" s="24">
        <v>0</v>
      </c>
      <c r="N281" s="9">
        <v>0</v>
      </c>
      <c r="O281" s="9">
        <v>0</v>
      </c>
      <c r="P281" s="9">
        <v>0</v>
      </c>
      <c r="Q281" s="11">
        <v>0</v>
      </c>
      <c r="R281" s="10" t="s">
        <v>176</v>
      </c>
      <c r="S281" s="6"/>
      <c r="T281" s="6"/>
    </row>
    <row r="282" spans="1:20">
      <c r="A282" s="7">
        <v>46216</v>
      </c>
      <c r="B282" s="8">
        <v>46229</v>
      </c>
      <c r="C282" s="9">
        <v>14</v>
      </c>
      <c r="D282" s="10" t="s">
        <v>644</v>
      </c>
      <c r="E282" s="10" t="s">
        <v>1971</v>
      </c>
      <c r="F282" s="9"/>
      <c r="G282" s="9">
        <v>1</v>
      </c>
      <c r="H282" s="9">
        <v>0</v>
      </c>
      <c r="I282" s="9">
        <v>1</v>
      </c>
      <c r="J282" s="11">
        <v>0</v>
      </c>
      <c r="K282" s="24">
        <v>0</v>
      </c>
      <c r="L282" s="24">
        <v>0</v>
      </c>
      <c r="M282" s="24">
        <v>0</v>
      </c>
      <c r="N282" s="9">
        <v>0</v>
      </c>
      <c r="O282" s="9">
        <v>0</v>
      </c>
      <c r="P282" s="9">
        <v>0</v>
      </c>
      <c r="Q282" s="11">
        <v>0</v>
      </c>
      <c r="R282" s="10" t="s">
        <v>176</v>
      </c>
      <c r="S282" s="6"/>
      <c r="T282" s="6"/>
    </row>
    <row r="283" spans="1:20">
      <c r="A283" s="7">
        <v>46216</v>
      </c>
      <c r="B283" s="8">
        <v>46229</v>
      </c>
      <c r="C283" s="9">
        <v>14</v>
      </c>
      <c r="D283" s="10" t="s">
        <v>644</v>
      </c>
      <c r="E283" s="10" t="s">
        <v>1972</v>
      </c>
      <c r="F283" s="9"/>
      <c r="G283" s="9">
        <v>1</v>
      </c>
      <c r="H283" s="9">
        <v>0</v>
      </c>
      <c r="I283" s="9">
        <v>1</v>
      </c>
      <c r="J283" s="11">
        <v>0</v>
      </c>
      <c r="K283" s="24">
        <v>0</v>
      </c>
      <c r="L283" s="24">
        <v>0</v>
      </c>
      <c r="M283" s="24">
        <v>0</v>
      </c>
      <c r="N283" s="9">
        <v>0</v>
      </c>
      <c r="O283" s="9">
        <v>0</v>
      </c>
      <c r="P283" s="9">
        <v>0</v>
      </c>
      <c r="Q283" s="11">
        <v>0</v>
      </c>
      <c r="R283" s="10" t="s">
        <v>176</v>
      </c>
      <c r="S283" s="6"/>
      <c r="T283" s="6"/>
    </row>
    <row r="284" spans="1:20">
      <c r="A284" s="7">
        <v>46216</v>
      </c>
      <c r="B284" s="8">
        <v>46229</v>
      </c>
      <c r="C284" s="9">
        <v>14</v>
      </c>
      <c r="D284" s="10" t="s">
        <v>644</v>
      </c>
      <c r="E284" s="10" t="s">
        <v>1973</v>
      </c>
      <c r="F284" s="9"/>
      <c r="G284" s="9">
        <v>1</v>
      </c>
      <c r="H284" s="9">
        <v>0</v>
      </c>
      <c r="I284" s="9">
        <v>1</v>
      </c>
      <c r="J284" s="11">
        <v>0</v>
      </c>
      <c r="K284" s="24">
        <v>0</v>
      </c>
      <c r="L284" s="24">
        <v>0</v>
      </c>
      <c r="M284" s="24">
        <v>0</v>
      </c>
      <c r="N284" s="9">
        <v>0</v>
      </c>
      <c r="O284" s="9">
        <v>0</v>
      </c>
      <c r="P284" s="9">
        <v>0</v>
      </c>
      <c r="Q284" s="11">
        <v>0</v>
      </c>
      <c r="R284" s="10" t="s">
        <v>176</v>
      </c>
      <c r="S284" s="6"/>
      <c r="T284" s="6"/>
    </row>
    <row r="285" spans="1:20">
      <c r="A285" s="7">
        <v>46216</v>
      </c>
      <c r="B285" s="8">
        <v>46229</v>
      </c>
      <c r="C285" s="9">
        <v>14</v>
      </c>
      <c r="D285" s="10" t="s">
        <v>644</v>
      </c>
      <c r="E285" s="10" t="s">
        <v>3775</v>
      </c>
      <c r="F285" s="9"/>
      <c r="G285" s="9">
        <v>1</v>
      </c>
      <c r="H285" s="9">
        <v>0</v>
      </c>
      <c r="I285" s="9">
        <v>1</v>
      </c>
      <c r="J285" s="11">
        <v>0</v>
      </c>
      <c r="K285" s="24">
        <v>0</v>
      </c>
      <c r="L285" s="24">
        <v>0</v>
      </c>
      <c r="M285" s="24">
        <v>0</v>
      </c>
      <c r="N285" s="9">
        <v>0</v>
      </c>
      <c r="O285" s="9">
        <v>0</v>
      </c>
      <c r="P285" s="9">
        <v>0</v>
      </c>
      <c r="Q285" s="11">
        <v>0</v>
      </c>
      <c r="R285" s="10" t="s">
        <v>176</v>
      </c>
      <c r="S285" s="6"/>
      <c r="T285" s="6"/>
    </row>
    <row r="286" spans="1:20">
      <c r="A286" s="7">
        <v>46216</v>
      </c>
      <c r="B286" s="8">
        <v>46229</v>
      </c>
      <c r="C286" s="9">
        <v>14</v>
      </c>
      <c r="D286" s="10" t="s">
        <v>644</v>
      </c>
      <c r="E286" s="10" t="s">
        <v>3776</v>
      </c>
      <c r="F286" s="9"/>
      <c r="G286" s="9">
        <v>1</v>
      </c>
      <c r="H286" s="9">
        <v>0</v>
      </c>
      <c r="I286" s="9">
        <v>1</v>
      </c>
      <c r="J286" s="11">
        <v>0</v>
      </c>
      <c r="K286" s="24">
        <v>0</v>
      </c>
      <c r="L286" s="24">
        <v>0</v>
      </c>
      <c r="M286" s="24">
        <v>0</v>
      </c>
      <c r="N286" s="9">
        <v>0</v>
      </c>
      <c r="O286" s="9">
        <v>0</v>
      </c>
      <c r="P286" s="9">
        <v>0</v>
      </c>
      <c r="Q286" s="11">
        <v>0</v>
      </c>
      <c r="R286" s="10" t="s">
        <v>176</v>
      </c>
      <c r="S286" s="6"/>
      <c r="T286" s="6"/>
    </row>
    <row r="287" spans="1:20">
      <c r="A287" s="7">
        <v>46216</v>
      </c>
      <c r="B287" s="8">
        <v>46229</v>
      </c>
      <c r="C287" s="9">
        <v>14</v>
      </c>
      <c r="D287" s="10" t="s">
        <v>644</v>
      </c>
      <c r="E287" s="10" t="s">
        <v>3777</v>
      </c>
      <c r="F287" s="9"/>
      <c r="G287" s="9">
        <v>1</v>
      </c>
      <c r="H287" s="9">
        <v>0</v>
      </c>
      <c r="I287" s="9">
        <v>1</v>
      </c>
      <c r="J287" s="11">
        <v>0</v>
      </c>
      <c r="K287" s="24">
        <v>0</v>
      </c>
      <c r="L287" s="24">
        <v>0</v>
      </c>
      <c r="M287" s="24">
        <v>0</v>
      </c>
      <c r="N287" s="9">
        <v>0</v>
      </c>
      <c r="O287" s="9">
        <v>0</v>
      </c>
      <c r="P287" s="9">
        <v>0</v>
      </c>
      <c r="Q287" s="11">
        <v>0</v>
      </c>
      <c r="R287" s="10" t="s">
        <v>176</v>
      </c>
      <c r="S287" s="6"/>
      <c r="T287" s="6"/>
    </row>
    <row r="288" spans="1:20">
      <c r="A288" s="7">
        <v>46216</v>
      </c>
      <c r="B288" s="8">
        <v>46229</v>
      </c>
      <c r="C288" s="9">
        <v>14</v>
      </c>
      <c r="D288" s="10" t="s">
        <v>644</v>
      </c>
      <c r="E288" s="10" t="s">
        <v>3778</v>
      </c>
      <c r="F288" s="9"/>
      <c r="G288" s="9">
        <v>1</v>
      </c>
      <c r="H288" s="9">
        <v>0</v>
      </c>
      <c r="I288" s="9">
        <v>1</v>
      </c>
      <c r="J288" s="11">
        <v>0</v>
      </c>
      <c r="K288" s="24">
        <v>10.32</v>
      </c>
      <c r="L288" s="24">
        <v>0</v>
      </c>
      <c r="M288" s="24">
        <v>0</v>
      </c>
      <c r="N288" s="9">
        <v>0</v>
      </c>
      <c r="O288" s="9">
        <v>0</v>
      </c>
      <c r="P288" s="9">
        <v>0</v>
      </c>
      <c r="Q288" s="11">
        <v>0</v>
      </c>
      <c r="R288" s="10" t="s">
        <v>176</v>
      </c>
      <c r="S288" s="6"/>
      <c r="T288" s="6"/>
    </row>
    <row r="289" spans="1:20">
      <c r="A289" s="7">
        <v>46216</v>
      </c>
      <c r="B289" s="8">
        <v>46229</v>
      </c>
      <c r="C289" s="9">
        <v>14</v>
      </c>
      <c r="D289" s="10" t="s">
        <v>644</v>
      </c>
      <c r="E289" s="10" t="s">
        <v>1974</v>
      </c>
      <c r="F289" s="9"/>
      <c r="G289" s="9">
        <v>3</v>
      </c>
      <c r="H289" s="9">
        <v>0</v>
      </c>
      <c r="I289" s="9">
        <v>3</v>
      </c>
      <c r="J289" s="11">
        <v>0</v>
      </c>
      <c r="K289" s="24">
        <v>10.32</v>
      </c>
      <c r="L289" s="24">
        <v>0</v>
      </c>
      <c r="M289" s="24">
        <v>0</v>
      </c>
      <c r="N289" s="9">
        <v>0</v>
      </c>
      <c r="O289" s="9">
        <v>0</v>
      </c>
      <c r="P289" s="9">
        <v>0</v>
      </c>
      <c r="Q289" s="11">
        <v>0</v>
      </c>
      <c r="R289" s="10" t="s">
        <v>176</v>
      </c>
      <c r="S289" s="6"/>
      <c r="T289" s="6"/>
    </row>
    <row r="290" spans="1:20">
      <c r="A290" s="7">
        <v>46216</v>
      </c>
      <c r="B290" s="8">
        <v>46229</v>
      </c>
      <c r="C290" s="9">
        <v>14</v>
      </c>
      <c r="D290" s="10" t="s">
        <v>644</v>
      </c>
      <c r="E290" s="10" t="s">
        <v>243</v>
      </c>
      <c r="F290" s="9"/>
      <c r="G290" s="9">
        <v>3</v>
      </c>
      <c r="H290" s="9">
        <v>0</v>
      </c>
      <c r="I290" s="9">
        <v>3</v>
      </c>
      <c r="J290" s="11">
        <v>0</v>
      </c>
      <c r="K290" s="24">
        <v>10.32</v>
      </c>
      <c r="L290" s="24">
        <v>0</v>
      </c>
      <c r="M290" s="24">
        <v>0</v>
      </c>
      <c r="N290" s="9">
        <v>0</v>
      </c>
      <c r="O290" s="9">
        <v>0</v>
      </c>
      <c r="P290" s="9">
        <v>0</v>
      </c>
      <c r="Q290" s="11">
        <v>0</v>
      </c>
      <c r="R290" s="10" t="s">
        <v>176</v>
      </c>
      <c r="S290" s="6"/>
      <c r="T290" s="6"/>
    </row>
    <row r="291" spans="1:20">
      <c r="A291" s="7">
        <v>46216</v>
      </c>
      <c r="B291" s="8">
        <v>46229</v>
      </c>
      <c r="C291" s="9">
        <v>14</v>
      </c>
      <c r="D291" s="10" t="s">
        <v>644</v>
      </c>
      <c r="E291" s="10" t="s">
        <v>95</v>
      </c>
      <c r="F291" s="9"/>
      <c r="G291" s="9">
        <v>4</v>
      </c>
      <c r="H291" s="9">
        <v>0</v>
      </c>
      <c r="I291" s="9">
        <v>4</v>
      </c>
      <c r="J291" s="11">
        <v>0</v>
      </c>
      <c r="K291" s="24">
        <v>6</v>
      </c>
      <c r="L291" s="24">
        <v>0</v>
      </c>
      <c r="M291" s="24">
        <v>0</v>
      </c>
      <c r="N291" s="9">
        <v>4</v>
      </c>
      <c r="O291" s="9">
        <v>2</v>
      </c>
      <c r="P291" s="9">
        <v>2</v>
      </c>
      <c r="Q291" s="11">
        <v>0.5</v>
      </c>
      <c r="R291" s="10" t="s">
        <v>3698</v>
      </c>
      <c r="S291" s="6"/>
      <c r="T291" s="6"/>
    </row>
    <row r="292" spans="1:20">
      <c r="A292" s="7">
        <v>46216</v>
      </c>
      <c r="B292" s="8">
        <v>46229</v>
      </c>
      <c r="C292" s="9">
        <v>14</v>
      </c>
      <c r="D292" s="10" t="s">
        <v>644</v>
      </c>
      <c r="E292" s="10" t="s">
        <v>284</v>
      </c>
      <c r="F292" s="9"/>
      <c r="G292" s="9">
        <v>7</v>
      </c>
      <c r="H292" s="9">
        <v>0</v>
      </c>
      <c r="I292" s="9">
        <v>7</v>
      </c>
      <c r="J292" s="11">
        <v>0</v>
      </c>
      <c r="K292" s="24">
        <v>2.5</v>
      </c>
      <c r="L292" s="24">
        <v>0</v>
      </c>
      <c r="M292" s="24">
        <v>0</v>
      </c>
      <c r="N292" s="9">
        <v>0</v>
      </c>
      <c r="O292" s="9">
        <v>0</v>
      </c>
      <c r="P292" s="9">
        <v>0</v>
      </c>
      <c r="Q292" s="11">
        <v>0</v>
      </c>
      <c r="R292" s="10" t="s">
        <v>176</v>
      </c>
      <c r="S292" s="6"/>
      <c r="T292" s="6"/>
    </row>
    <row r="293" spans="1:20">
      <c r="A293" s="7">
        <v>46216</v>
      </c>
      <c r="B293" s="8">
        <v>46229</v>
      </c>
      <c r="C293" s="9">
        <v>14</v>
      </c>
      <c r="D293" s="10" t="s">
        <v>644</v>
      </c>
      <c r="E293" s="10" t="s">
        <v>314</v>
      </c>
      <c r="F293" s="9"/>
      <c r="G293" s="9">
        <v>10</v>
      </c>
      <c r="H293" s="9">
        <v>0</v>
      </c>
      <c r="I293" s="9">
        <v>10</v>
      </c>
      <c r="J293" s="11">
        <v>0</v>
      </c>
      <c r="K293" s="24">
        <v>5</v>
      </c>
      <c r="L293" s="24">
        <v>0</v>
      </c>
      <c r="M293" s="24">
        <v>0</v>
      </c>
      <c r="N293" s="9">
        <v>4</v>
      </c>
      <c r="O293" s="9">
        <v>3</v>
      </c>
      <c r="P293" s="9">
        <v>2</v>
      </c>
      <c r="Q293" s="11">
        <v>0.3</v>
      </c>
      <c r="R293" s="10" t="s">
        <v>3698</v>
      </c>
      <c r="S293" s="6"/>
      <c r="T293" s="6"/>
    </row>
    <row r="294" spans="1:20">
      <c r="A294" s="7">
        <v>46216</v>
      </c>
      <c r="B294" s="8">
        <v>46229</v>
      </c>
      <c r="C294" s="9">
        <v>14</v>
      </c>
      <c r="D294" s="10" t="s">
        <v>644</v>
      </c>
      <c r="E294" s="10" t="s">
        <v>3779</v>
      </c>
      <c r="F294" s="9"/>
      <c r="G294" s="9">
        <v>19</v>
      </c>
      <c r="H294" s="9">
        <v>0</v>
      </c>
      <c r="I294" s="9">
        <v>19</v>
      </c>
      <c r="J294" s="11">
        <v>0</v>
      </c>
      <c r="K294" s="24">
        <v>0</v>
      </c>
      <c r="L294" s="24">
        <v>0</v>
      </c>
      <c r="M294" s="24">
        <v>0</v>
      </c>
      <c r="N294" s="9">
        <v>0</v>
      </c>
      <c r="O294" s="9">
        <v>0</v>
      </c>
      <c r="P294" s="9">
        <v>0</v>
      </c>
      <c r="Q294" s="11">
        <v>0</v>
      </c>
      <c r="R294" s="10" t="s">
        <v>176</v>
      </c>
      <c r="S294" s="6"/>
      <c r="T294" s="6"/>
    </row>
    <row r="295" spans="1:20">
      <c r="A295" s="7">
        <v>46216</v>
      </c>
      <c r="B295" s="8">
        <v>46229</v>
      </c>
      <c r="C295" s="9">
        <v>14</v>
      </c>
      <c r="D295" s="10" t="s">
        <v>644</v>
      </c>
      <c r="E295" s="10" t="s">
        <v>3780</v>
      </c>
      <c r="F295" s="9"/>
      <c r="G295" s="9">
        <v>14</v>
      </c>
      <c r="H295" s="9">
        <v>0</v>
      </c>
      <c r="I295" s="9">
        <v>14</v>
      </c>
      <c r="J295" s="11">
        <v>0</v>
      </c>
      <c r="K295" s="24">
        <v>0</v>
      </c>
      <c r="L295" s="24">
        <v>0</v>
      </c>
      <c r="M295" s="24">
        <v>0</v>
      </c>
      <c r="N295" s="9">
        <v>0</v>
      </c>
      <c r="O295" s="9">
        <v>0</v>
      </c>
      <c r="P295" s="9">
        <v>0</v>
      </c>
      <c r="Q295" s="11">
        <v>0</v>
      </c>
      <c r="R295" s="10" t="s">
        <v>176</v>
      </c>
      <c r="S295" s="6"/>
      <c r="T295" s="6"/>
    </row>
    <row r="296" spans="1:20">
      <c r="A296" s="7">
        <v>46216</v>
      </c>
      <c r="B296" s="8">
        <v>46229</v>
      </c>
      <c r="C296" s="9">
        <v>14</v>
      </c>
      <c r="D296" s="10" t="s">
        <v>644</v>
      </c>
      <c r="E296" s="10" t="s">
        <v>3781</v>
      </c>
      <c r="F296" s="9"/>
      <c r="G296" s="9">
        <v>9</v>
      </c>
      <c r="H296" s="9">
        <v>0</v>
      </c>
      <c r="I296" s="9">
        <v>9</v>
      </c>
      <c r="J296" s="11">
        <v>0</v>
      </c>
      <c r="K296" s="24">
        <v>0</v>
      </c>
      <c r="L296" s="24">
        <v>0</v>
      </c>
      <c r="M296" s="24">
        <v>0</v>
      </c>
      <c r="N296" s="9">
        <v>0</v>
      </c>
      <c r="O296" s="9">
        <v>0</v>
      </c>
      <c r="P296" s="9">
        <v>0</v>
      </c>
      <c r="Q296" s="11">
        <v>0</v>
      </c>
      <c r="R296" s="10" t="s">
        <v>176</v>
      </c>
      <c r="S296" s="6"/>
      <c r="T296" s="6"/>
    </row>
    <row r="297" spans="1:20">
      <c r="A297" s="7">
        <v>46216</v>
      </c>
      <c r="B297" s="8">
        <v>46229</v>
      </c>
      <c r="C297" s="9">
        <v>14</v>
      </c>
      <c r="D297" s="10" t="s">
        <v>644</v>
      </c>
      <c r="E297" s="10" t="s">
        <v>3782</v>
      </c>
      <c r="F297" s="9"/>
      <c r="G297" s="9">
        <v>8</v>
      </c>
      <c r="H297" s="9">
        <v>0</v>
      </c>
      <c r="I297" s="9">
        <v>8</v>
      </c>
      <c r="J297" s="11">
        <v>0</v>
      </c>
      <c r="K297" s="24">
        <v>0</v>
      </c>
      <c r="L297" s="24">
        <v>0</v>
      </c>
      <c r="M297" s="24">
        <v>0</v>
      </c>
      <c r="N297" s="9">
        <v>0</v>
      </c>
      <c r="O297" s="9">
        <v>0</v>
      </c>
      <c r="P297" s="9">
        <v>0</v>
      </c>
      <c r="Q297" s="11">
        <v>0</v>
      </c>
      <c r="R297" s="10" t="s">
        <v>176</v>
      </c>
      <c r="S297" s="6"/>
      <c r="T297" s="6"/>
    </row>
    <row r="298" spans="1:20">
      <c r="A298" s="7">
        <v>46216</v>
      </c>
      <c r="B298" s="8">
        <v>46229</v>
      </c>
      <c r="C298" s="9">
        <v>14</v>
      </c>
      <c r="D298" s="10" t="s">
        <v>644</v>
      </c>
      <c r="E298" s="10" t="s">
        <v>3783</v>
      </c>
      <c r="F298" s="9"/>
      <c r="G298" s="9">
        <v>14</v>
      </c>
      <c r="H298" s="9">
        <v>2</v>
      </c>
      <c r="I298" s="9">
        <v>12</v>
      </c>
      <c r="J298" s="11">
        <v>0.14285714285714299</v>
      </c>
      <c r="K298" s="24">
        <v>0</v>
      </c>
      <c r="L298" s="24">
        <v>0</v>
      </c>
      <c r="M298" s="24">
        <v>0</v>
      </c>
      <c r="N298" s="9">
        <v>0</v>
      </c>
      <c r="O298" s="9">
        <v>2</v>
      </c>
      <c r="P298" s="9">
        <v>1</v>
      </c>
      <c r="Q298" s="11">
        <v>0.14285714285714299</v>
      </c>
      <c r="R298" s="10" t="s">
        <v>176</v>
      </c>
      <c r="S298" s="6"/>
      <c r="T298" s="6"/>
    </row>
    <row r="299" spans="1:20">
      <c r="A299" s="7">
        <v>46216</v>
      </c>
      <c r="B299" s="8">
        <v>46229</v>
      </c>
      <c r="C299" s="9">
        <v>14</v>
      </c>
      <c r="D299" s="10" t="s">
        <v>644</v>
      </c>
      <c r="E299" s="10" t="s">
        <v>3784</v>
      </c>
      <c r="F299" s="9"/>
      <c r="G299" s="9">
        <v>6</v>
      </c>
      <c r="H299" s="9">
        <v>0</v>
      </c>
      <c r="I299" s="9">
        <v>6</v>
      </c>
      <c r="J299" s="11">
        <v>0</v>
      </c>
      <c r="K299" s="24">
        <v>0</v>
      </c>
      <c r="L299" s="24">
        <v>0</v>
      </c>
      <c r="M299" s="24">
        <v>0</v>
      </c>
      <c r="N299" s="9">
        <v>2</v>
      </c>
      <c r="O299" s="9">
        <v>2</v>
      </c>
      <c r="P299" s="9">
        <v>1</v>
      </c>
      <c r="Q299" s="11">
        <v>0.33333333333333298</v>
      </c>
      <c r="R299" s="10" t="s">
        <v>3698</v>
      </c>
      <c r="S299" s="6"/>
      <c r="T299" s="6"/>
    </row>
    <row r="300" spans="1:20">
      <c r="A300" s="7">
        <v>46216</v>
      </c>
      <c r="B300" s="8">
        <v>46229</v>
      </c>
      <c r="C300" s="9">
        <v>14</v>
      </c>
      <c r="D300" s="10" t="s">
        <v>644</v>
      </c>
      <c r="E300" s="10" t="s">
        <v>3785</v>
      </c>
      <c r="F300" s="9"/>
      <c r="G300" s="9">
        <v>8</v>
      </c>
      <c r="H300" s="9">
        <v>0</v>
      </c>
      <c r="I300" s="9">
        <v>8</v>
      </c>
      <c r="J300" s="11">
        <v>0</v>
      </c>
      <c r="K300" s="24">
        <v>0</v>
      </c>
      <c r="L300" s="24">
        <v>0</v>
      </c>
      <c r="M300" s="24">
        <v>0</v>
      </c>
      <c r="N300" s="9">
        <v>0</v>
      </c>
      <c r="O300" s="9">
        <v>0</v>
      </c>
      <c r="P300" s="9">
        <v>0</v>
      </c>
      <c r="Q300" s="11">
        <v>0</v>
      </c>
      <c r="R300" s="10" t="s">
        <v>176</v>
      </c>
      <c r="S300" s="6"/>
      <c r="T300" s="6"/>
    </row>
    <row r="301" spans="1:20">
      <c r="A301" s="7">
        <v>46216</v>
      </c>
      <c r="B301" s="8">
        <v>46229</v>
      </c>
      <c r="C301" s="9">
        <v>14</v>
      </c>
      <c r="D301" s="10" t="s">
        <v>644</v>
      </c>
      <c r="E301" s="10" t="s">
        <v>3786</v>
      </c>
      <c r="F301" s="9"/>
      <c r="G301" s="9">
        <v>7</v>
      </c>
      <c r="H301" s="9">
        <v>4</v>
      </c>
      <c r="I301" s="9">
        <v>3</v>
      </c>
      <c r="J301" s="11">
        <v>0.57142857142857095</v>
      </c>
      <c r="K301" s="24">
        <v>0</v>
      </c>
      <c r="L301" s="24">
        <v>0</v>
      </c>
      <c r="M301" s="24">
        <v>0</v>
      </c>
      <c r="N301" s="9">
        <v>0</v>
      </c>
      <c r="O301" s="9">
        <v>4</v>
      </c>
      <c r="P301" s="9">
        <v>1</v>
      </c>
      <c r="Q301" s="11">
        <v>0.57142857142857095</v>
      </c>
      <c r="R301" s="10" t="s">
        <v>176</v>
      </c>
      <c r="S301" s="6"/>
      <c r="T301" s="6"/>
    </row>
    <row r="302" spans="1:20">
      <c r="A302" s="7">
        <v>46216</v>
      </c>
      <c r="B302" s="8">
        <v>46229</v>
      </c>
      <c r="C302" s="9">
        <v>14</v>
      </c>
      <c r="D302" s="10" t="s">
        <v>644</v>
      </c>
      <c r="E302" s="10" t="s">
        <v>3787</v>
      </c>
      <c r="F302" s="9"/>
      <c r="G302" s="9">
        <v>14</v>
      </c>
      <c r="H302" s="9">
        <v>2</v>
      </c>
      <c r="I302" s="9">
        <v>12</v>
      </c>
      <c r="J302" s="11">
        <v>0.14285714285714299</v>
      </c>
      <c r="K302" s="24">
        <v>0</v>
      </c>
      <c r="L302" s="24">
        <v>0</v>
      </c>
      <c r="M302" s="24">
        <v>0</v>
      </c>
      <c r="N302" s="9">
        <v>2</v>
      </c>
      <c r="O302" s="9">
        <v>2</v>
      </c>
      <c r="P302" s="9">
        <v>2</v>
      </c>
      <c r="Q302" s="11">
        <v>0.14285714285714299</v>
      </c>
      <c r="R302" s="10" t="s">
        <v>3075</v>
      </c>
      <c r="S302" s="6"/>
      <c r="T302" s="6"/>
    </row>
    <row r="303" spans="1:20">
      <c r="A303" s="7">
        <v>46216</v>
      </c>
      <c r="B303" s="8">
        <v>46229</v>
      </c>
      <c r="C303" s="9">
        <v>14</v>
      </c>
      <c r="D303" s="10" t="s">
        <v>644</v>
      </c>
      <c r="E303" s="10" t="s">
        <v>3788</v>
      </c>
      <c r="F303" s="9"/>
      <c r="G303" s="9">
        <v>8</v>
      </c>
      <c r="H303" s="9">
        <v>3</v>
      </c>
      <c r="I303" s="9">
        <v>5</v>
      </c>
      <c r="J303" s="11">
        <v>0.375</v>
      </c>
      <c r="K303" s="24">
        <v>0</v>
      </c>
      <c r="L303" s="24">
        <v>0</v>
      </c>
      <c r="M303" s="24">
        <v>0</v>
      </c>
      <c r="N303" s="9">
        <v>5</v>
      </c>
      <c r="O303" s="9">
        <v>5</v>
      </c>
      <c r="P303" s="9">
        <v>5</v>
      </c>
      <c r="Q303" s="11">
        <v>0.625</v>
      </c>
      <c r="R303" s="10" t="s">
        <v>3698</v>
      </c>
      <c r="S303" s="6"/>
      <c r="T303" s="6"/>
    </row>
    <row r="304" spans="1:20">
      <c r="A304" s="7">
        <v>46216</v>
      </c>
      <c r="B304" s="8">
        <v>46229</v>
      </c>
      <c r="C304" s="9">
        <v>14</v>
      </c>
      <c r="D304" s="10" t="s">
        <v>644</v>
      </c>
      <c r="E304" s="10" t="s">
        <v>3789</v>
      </c>
      <c r="F304" s="9"/>
      <c r="G304" s="9">
        <v>10</v>
      </c>
      <c r="H304" s="9">
        <v>2</v>
      </c>
      <c r="I304" s="9">
        <v>8</v>
      </c>
      <c r="J304" s="11">
        <v>0.2</v>
      </c>
      <c r="K304" s="24">
        <v>0</v>
      </c>
      <c r="L304" s="24">
        <v>0</v>
      </c>
      <c r="M304" s="24">
        <v>0</v>
      </c>
      <c r="N304" s="9">
        <v>2</v>
      </c>
      <c r="O304" s="9">
        <v>2</v>
      </c>
      <c r="P304" s="9">
        <v>2</v>
      </c>
      <c r="Q304" s="11">
        <v>0.2</v>
      </c>
      <c r="R304" s="10" t="s">
        <v>3698</v>
      </c>
      <c r="S304" s="6"/>
      <c r="T304" s="6"/>
    </row>
    <row r="305" spans="1:20">
      <c r="A305" s="7">
        <v>46216</v>
      </c>
      <c r="B305" s="8">
        <v>46229</v>
      </c>
      <c r="C305" s="9">
        <v>14</v>
      </c>
      <c r="D305" s="10" t="s">
        <v>644</v>
      </c>
      <c r="E305" s="10" t="s">
        <v>3790</v>
      </c>
      <c r="F305" s="9"/>
      <c r="G305" s="9">
        <v>7</v>
      </c>
      <c r="H305" s="9">
        <v>0</v>
      </c>
      <c r="I305" s="9">
        <v>7</v>
      </c>
      <c r="J305" s="11">
        <v>0</v>
      </c>
      <c r="K305" s="24">
        <v>0</v>
      </c>
      <c r="L305" s="24">
        <v>0</v>
      </c>
      <c r="M305" s="24">
        <v>0</v>
      </c>
      <c r="N305" s="9">
        <v>0</v>
      </c>
      <c r="O305" s="9">
        <v>0</v>
      </c>
      <c r="P305" s="9">
        <v>0</v>
      </c>
      <c r="Q305" s="11">
        <v>0</v>
      </c>
      <c r="R305" s="10" t="s">
        <v>176</v>
      </c>
      <c r="S305" s="6"/>
      <c r="T305" s="6"/>
    </row>
    <row r="306" spans="1:20">
      <c r="A306" s="7">
        <v>46216</v>
      </c>
      <c r="B306" s="8">
        <v>46229</v>
      </c>
      <c r="C306" s="9">
        <v>14</v>
      </c>
      <c r="D306" s="10" t="s">
        <v>644</v>
      </c>
      <c r="E306" s="10" t="s">
        <v>3791</v>
      </c>
      <c r="F306" s="9"/>
      <c r="G306" s="9">
        <v>7</v>
      </c>
      <c r="H306" s="9">
        <v>6</v>
      </c>
      <c r="I306" s="9">
        <v>1</v>
      </c>
      <c r="J306" s="11">
        <v>0.85714285714285698</v>
      </c>
      <c r="K306" s="24">
        <v>0</v>
      </c>
      <c r="L306" s="24">
        <v>0</v>
      </c>
      <c r="M306" s="24">
        <v>0</v>
      </c>
      <c r="N306" s="9">
        <v>4</v>
      </c>
      <c r="O306" s="9">
        <v>6</v>
      </c>
      <c r="P306" s="9">
        <v>3</v>
      </c>
      <c r="Q306" s="11">
        <v>0.85714285714285698</v>
      </c>
      <c r="R306" s="10" t="s">
        <v>4015</v>
      </c>
      <c r="S306" s="6"/>
      <c r="T306" s="6"/>
    </row>
    <row r="307" spans="1:20">
      <c r="A307" s="7">
        <v>46216</v>
      </c>
      <c r="B307" s="8">
        <v>46229</v>
      </c>
      <c r="C307" s="9">
        <v>14</v>
      </c>
      <c r="D307" s="10" t="s">
        <v>644</v>
      </c>
      <c r="E307" s="10" t="s">
        <v>316</v>
      </c>
      <c r="F307" s="9"/>
      <c r="G307" s="9">
        <v>9</v>
      </c>
      <c r="H307" s="9">
        <v>0</v>
      </c>
      <c r="I307" s="9">
        <v>9</v>
      </c>
      <c r="J307" s="11">
        <v>0</v>
      </c>
      <c r="K307" s="24">
        <v>15</v>
      </c>
      <c r="L307" s="24">
        <v>0</v>
      </c>
      <c r="M307" s="24">
        <v>0</v>
      </c>
      <c r="N307" s="9">
        <v>0</v>
      </c>
      <c r="O307" s="9">
        <v>0</v>
      </c>
      <c r="P307" s="9">
        <v>0</v>
      </c>
      <c r="Q307" s="11">
        <v>0</v>
      </c>
      <c r="R307" s="10" t="s">
        <v>176</v>
      </c>
      <c r="S307" s="6"/>
      <c r="T307" s="6"/>
    </row>
    <row r="308" spans="1:20">
      <c r="A308" s="7">
        <v>46216</v>
      </c>
      <c r="B308" s="8">
        <v>46229</v>
      </c>
      <c r="C308" s="9">
        <v>14</v>
      </c>
      <c r="D308" s="10" t="s">
        <v>644</v>
      </c>
      <c r="E308" s="10" t="s">
        <v>3855</v>
      </c>
      <c r="F308" s="9"/>
      <c r="G308" s="9">
        <v>1</v>
      </c>
      <c r="H308" s="9">
        <v>0</v>
      </c>
      <c r="I308" s="9">
        <v>1</v>
      </c>
      <c r="J308" s="11">
        <v>0</v>
      </c>
      <c r="K308" s="24">
        <v>0</v>
      </c>
      <c r="L308" s="24">
        <v>0</v>
      </c>
      <c r="M308" s="24">
        <v>0</v>
      </c>
      <c r="N308" s="9">
        <v>0</v>
      </c>
      <c r="O308" s="9">
        <v>0</v>
      </c>
      <c r="P308" s="9">
        <v>0</v>
      </c>
      <c r="Q308" s="11">
        <v>0</v>
      </c>
      <c r="R308" s="10" t="s">
        <v>176</v>
      </c>
      <c r="S308" s="6"/>
      <c r="T308" s="6"/>
    </row>
    <row r="309" spans="1:20">
      <c r="A309" s="7">
        <v>46216</v>
      </c>
      <c r="B309" s="8">
        <v>46229</v>
      </c>
      <c r="C309" s="9">
        <v>14</v>
      </c>
      <c r="D309" s="10" t="s">
        <v>644</v>
      </c>
      <c r="E309" s="10" t="s">
        <v>2034</v>
      </c>
      <c r="F309" s="9"/>
      <c r="G309" s="9">
        <v>4</v>
      </c>
      <c r="H309" s="9">
        <v>0</v>
      </c>
      <c r="I309" s="9">
        <v>4</v>
      </c>
      <c r="J309" s="11">
        <v>0</v>
      </c>
      <c r="K309" s="24">
        <v>0.1</v>
      </c>
      <c r="L309" s="24">
        <v>0</v>
      </c>
      <c r="M309" s="24">
        <v>0</v>
      </c>
      <c r="N309" s="9">
        <v>0</v>
      </c>
      <c r="O309" s="9">
        <v>0</v>
      </c>
      <c r="P309" s="9">
        <v>0</v>
      </c>
      <c r="Q309" s="11">
        <v>0</v>
      </c>
      <c r="R309" s="10" t="s">
        <v>176</v>
      </c>
      <c r="S309" s="6"/>
      <c r="T309" s="6"/>
    </row>
    <row r="310" spans="1:20">
      <c r="A310" s="7">
        <v>46216</v>
      </c>
      <c r="B310" s="8">
        <v>46229</v>
      </c>
      <c r="C310" s="9">
        <v>14</v>
      </c>
      <c r="D310" s="10" t="s">
        <v>644</v>
      </c>
      <c r="E310" s="10" t="s">
        <v>2035</v>
      </c>
      <c r="F310" s="9"/>
      <c r="G310" s="9">
        <v>16</v>
      </c>
      <c r="H310" s="9">
        <v>0</v>
      </c>
      <c r="I310" s="9">
        <v>16</v>
      </c>
      <c r="J310" s="11">
        <v>0</v>
      </c>
      <c r="K310" s="24">
        <v>0.1</v>
      </c>
      <c r="L310" s="24">
        <v>0</v>
      </c>
      <c r="M310" s="24">
        <v>0</v>
      </c>
      <c r="N310" s="9">
        <v>0</v>
      </c>
      <c r="O310" s="9">
        <v>0</v>
      </c>
      <c r="P310" s="9">
        <v>0</v>
      </c>
      <c r="Q310" s="11">
        <v>0</v>
      </c>
      <c r="R310" s="10" t="s">
        <v>176</v>
      </c>
      <c r="S310" s="6"/>
      <c r="T310" s="6"/>
    </row>
    <row r="311" spans="1:20">
      <c r="A311" s="7">
        <v>46216</v>
      </c>
      <c r="B311" s="8">
        <v>46229</v>
      </c>
      <c r="C311" s="9">
        <v>14</v>
      </c>
      <c r="D311" s="10" t="s">
        <v>644</v>
      </c>
      <c r="E311" s="10" t="s">
        <v>2036</v>
      </c>
      <c r="F311" s="9"/>
      <c r="G311" s="9">
        <v>4</v>
      </c>
      <c r="H311" s="9">
        <v>0</v>
      </c>
      <c r="I311" s="9">
        <v>4</v>
      </c>
      <c r="J311" s="11">
        <v>0</v>
      </c>
      <c r="K311" s="24">
        <v>0.1</v>
      </c>
      <c r="L311" s="24">
        <v>0</v>
      </c>
      <c r="M311" s="24">
        <v>0</v>
      </c>
      <c r="N311" s="9">
        <v>0</v>
      </c>
      <c r="O311" s="9">
        <v>0</v>
      </c>
      <c r="P311" s="9">
        <v>0</v>
      </c>
      <c r="Q311" s="11">
        <v>0</v>
      </c>
      <c r="R311" s="10" t="s">
        <v>176</v>
      </c>
      <c r="S311" s="6"/>
      <c r="T311" s="6"/>
    </row>
    <row r="312" spans="1:20">
      <c r="A312" s="7">
        <v>46216</v>
      </c>
      <c r="B312" s="8">
        <v>46229</v>
      </c>
      <c r="C312" s="9">
        <v>14</v>
      </c>
      <c r="D312" s="10" t="s">
        <v>644</v>
      </c>
      <c r="E312" s="10" t="s">
        <v>3792</v>
      </c>
      <c r="F312" s="9"/>
      <c r="G312" s="9">
        <v>1</v>
      </c>
      <c r="H312" s="9">
        <v>0</v>
      </c>
      <c r="I312" s="9">
        <v>1</v>
      </c>
      <c r="J312" s="11">
        <v>0</v>
      </c>
      <c r="K312" s="24">
        <v>0.1</v>
      </c>
      <c r="L312" s="24">
        <v>0</v>
      </c>
      <c r="M312" s="24">
        <v>0</v>
      </c>
      <c r="N312" s="9">
        <v>0</v>
      </c>
      <c r="O312" s="9">
        <v>0</v>
      </c>
      <c r="P312" s="9">
        <v>0</v>
      </c>
      <c r="Q312" s="11">
        <v>0</v>
      </c>
      <c r="R312" s="10" t="s">
        <v>176</v>
      </c>
      <c r="S312" s="6"/>
      <c r="T312" s="6"/>
    </row>
    <row r="313" spans="1:20">
      <c r="A313" s="7">
        <v>46216</v>
      </c>
      <c r="B313" s="8">
        <v>46229</v>
      </c>
      <c r="C313" s="9">
        <v>14</v>
      </c>
      <c r="D313" s="10" t="s">
        <v>644</v>
      </c>
      <c r="E313" s="10" t="s">
        <v>2037</v>
      </c>
      <c r="F313" s="9"/>
      <c r="G313" s="9">
        <v>8</v>
      </c>
      <c r="H313" s="9">
        <v>0</v>
      </c>
      <c r="I313" s="9">
        <v>8</v>
      </c>
      <c r="J313" s="11">
        <v>0</v>
      </c>
      <c r="K313" s="24">
        <v>0.1</v>
      </c>
      <c r="L313" s="24">
        <v>0</v>
      </c>
      <c r="M313" s="24">
        <v>0</v>
      </c>
      <c r="N313" s="9">
        <v>0</v>
      </c>
      <c r="O313" s="9">
        <v>0</v>
      </c>
      <c r="P313" s="9">
        <v>0</v>
      </c>
      <c r="Q313" s="11">
        <v>0</v>
      </c>
      <c r="R313" s="10" t="s">
        <v>176</v>
      </c>
      <c r="S313" s="6"/>
      <c r="T313" s="6"/>
    </row>
    <row r="314" spans="1:20">
      <c r="A314" s="7">
        <v>46216</v>
      </c>
      <c r="B314" s="8">
        <v>46229</v>
      </c>
      <c r="C314" s="9">
        <v>14</v>
      </c>
      <c r="D314" s="10" t="s">
        <v>644</v>
      </c>
      <c r="E314" s="10" t="s">
        <v>2038</v>
      </c>
      <c r="F314" s="9"/>
      <c r="G314" s="9">
        <v>8</v>
      </c>
      <c r="H314" s="9">
        <v>0</v>
      </c>
      <c r="I314" s="9">
        <v>8</v>
      </c>
      <c r="J314" s="11">
        <v>0</v>
      </c>
      <c r="K314" s="24">
        <v>0.1</v>
      </c>
      <c r="L314" s="24">
        <v>0</v>
      </c>
      <c r="M314" s="24">
        <v>0</v>
      </c>
      <c r="N314" s="9">
        <v>0</v>
      </c>
      <c r="O314" s="9">
        <v>0</v>
      </c>
      <c r="P314" s="9">
        <v>0</v>
      </c>
      <c r="Q314" s="11">
        <v>0</v>
      </c>
      <c r="R314" s="10" t="s">
        <v>176</v>
      </c>
      <c r="S314" s="6"/>
      <c r="T314" s="6"/>
    </row>
    <row r="315" spans="1:20">
      <c r="A315" s="7">
        <v>46216</v>
      </c>
      <c r="B315" s="8">
        <v>46229</v>
      </c>
      <c r="C315" s="9">
        <v>14</v>
      </c>
      <c r="D315" s="10" t="s">
        <v>644</v>
      </c>
      <c r="E315" s="10" t="s">
        <v>2167</v>
      </c>
      <c r="F315" s="9"/>
      <c r="G315" s="9">
        <v>2</v>
      </c>
      <c r="H315" s="9">
        <v>0</v>
      </c>
      <c r="I315" s="9">
        <v>2</v>
      </c>
      <c r="J315" s="11">
        <v>0</v>
      </c>
      <c r="K315" s="24">
        <v>26.51</v>
      </c>
      <c r="L315" s="24">
        <v>0</v>
      </c>
      <c r="M315" s="24">
        <v>0</v>
      </c>
      <c r="N315" s="9">
        <v>0</v>
      </c>
      <c r="O315" s="9">
        <v>0</v>
      </c>
      <c r="P315" s="9">
        <v>0</v>
      </c>
      <c r="Q315" s="11">
        <v>0</v>
      </c>
      <c r="R315" s="10" t="s">
        <v>176</v>
      </c>
      <c r="S315" s="6"/>
      <c r="T315" s="6"/>
    </row>
    <row r="316" spans="1:20">
      <c r="A316" s="7">
        <v>46216</v>
      </c>
      <c r="B316" s="8">
        <v>46229</v>
      </c>
      <c r="C316" s="9">
        <v>14</v>
      </c>
      <c r="D316" s="10" t="s">
        <v>1002</v>
      </c>
      <c r="E316" s="10" t="s">
        <v>1033</v>
      </c>
      <c r="F316" s="9"/>
      <c r="G316" s="9">
        <v>1</v>
      </c>
      <c r="H316" s="9">
        <v>1</v>
      </c>
      <c r="I316" s="9">
        <v>0</v>
      </c>
      <c r="J316" s="11">
        <v>1</v>
      </c>
      <c r="K316" s="24">
        <v>1</v>
      </c>
      <c r="L316" s="24">
        <v>1</v>
      </c>
      <c r="M316" s="24">
        <v>14</v>
      </c>
      <c r="N316" s="9">
        <v>1</v>
      </c>
      <c r="O316" s="9">
        <v>1</v>
      </c>
      <c r="P316" s="9">
        <v>2</v>
      </c>
      <c r="Q316" s="11">
        <v>1</v>
      </c>
      <c r="R316" s="10" t="s">
        <v>177</v>
      </c>
      <c r="S316" s="6"/>
      <c r="T316" s="6"/>
    </row>
    <row r="317" spans="1:20">
      <c r="A317" s="7">
        <v>46216</v>
      </c>
      <c r="B317" s="8">
        <v>46229</v>
      </c>
      <c r="C317" s="9">
        <v>14</v>
      </c>
      <c r="D317" s="10" t="s">
        <v>1002</v>
      </c>
      <c r="E317" s="10" t="s">
        <v>254</v>
      </c>
      <c r="F317" s="9"/>
      <c r="G317" s="9">
        <v>4</v>
      </c>
      <c r="H317" s="9">
        <v>2</v>
      </c>
      <c r="I317" s="9">
        <v>2</v>
      </c>
      <c r="J317" s="11">
        <v>0.5</v>
      </c>
      <c r="K317" s="24">
        <v>0.2</v>
      </c>
      <c r="L317" s="24">
        <v>0.4</v>
      </c>
      <c r="M317" s="24">
        <v>5.6</v>
      </c>
      <c r="N317" s="9">
        <v>2</v>
      </c>
      <c r="O317" s="9">
        <v>2</v>
      </c>
      <c r="P317" s="9">
        <v>2</v>
      </c>
      <c r="Q317" s="11">
        <v>0.5</v>
      </c>
      <c r="R317" s="10" t="s">
        <v>3698</v>
      </c>
      <c r="S317" s="6"/>
      <c r="T317" s="6"/>
    </row>
    <row r="318" spans="1:20">
      <c r="A318" s="7">
        <v>46216</v>
      </c>
      <c r="B318" s="8">
        <v>46229</v>
      </c>
      <c r="C318" s="9">
        <v>14</v>
      </c>
      <c r="D318" s="10" t="s">
        <v>1002</v>
      </c>
      <c r="E318" s="10" t="s">
        <v>76</v>
      </c>
      <c r="F318" s="9"/>
      <c r="G318" s="9">
        <v>2</v>
      </c>
      <c r="H318" s="9">
        <v>1</v>
      </c>
      <c r="I318" s="9">
        <v>1</v>
      </c>
      <c r="J318" s="11">
        <v>0.5</v>
      </c>
      <c r="K318" s="24">
        <v>0.2</v>
      </c>
      <c r="L318" s="24">
        <v>0.2</v>
      </c>
      <c r="M318" s="24">
        <v>2.8</v>
      </c>
      <c r="N318" s="9">
        <v>1</v>
      </c>
      <c r="O318" s="9">
        <v>1</v>
      </c>
      <c r="P318" s="9">
        <v>2</v>
      </c>
      <c r="Q318" s="11">
        <v>0.5</v>
      </c>
      <c r="R318" s="10" t="s">
        <v>3698</v>
      </c>
      <c r="S318" s="6"/>
      <c r="T318" s="6"/>
    </row>
    <row r="319" spans="1:20">
      <c r="A319" s="7">
        <v>46216</v>
      </c>
      <c r="B319" s="8">
        <v>46229</v>
      </c>
      <c r="C319" s="9">
        <v>14</v>
      </c>
      <c r="D319" s="10" t="s">
        <v>1002</v>
      </c>
      <c r="E319" s="10" t="s">
        <v>87</v>
      </c>
      <c r="F319" s="9"/>
      <c r="G319" s="9">
        <v>2</v>
      </c>
      <c r="H319" s="9">
        <v>1</v>
      </c>
      <c r="I319" s="9">
        <v>1</v>
      </c>
      <c r="J319" s="11">
        <v>0.5</v>
      </c>
      <c r="K319" s="24">
        <v>0.2</v>
      </c>
      <c r="L319" s="24">
        <v>0.2</v>
      </c>
      <c r="M319" s="24">
        <v>2.8</v>
      </c>
      <c r="N319" s="9">
        <v>1</v>
      </c>
      <c r="O319" s="9">
        <v>1</v>
      </c>
      <c r="P319" s="9">
        <v>2</v>
      </c>
      <c r="Q319" s="11">
        <v>0.5</v>
      </c>
      <c r="R319" s="10" t="s">
        <v>3698</v>
      </c>
      <c r="S319" s="6"/>
      <c r="T319" s="6"/>
    </row>
    <row r="320" spans="1:20">
      <c r="A320" s="7">
        <v>46216</v>
      </c>
      <c r="B320" s="8">
        <v>46229</v>
      </c>
      <c r="C320" s="9">
        <v>14</v>
      </c>
      <c r="D320" s="10" t="s">
        <v>1002</v>
      </c>
      <c r="E320" s="10" t="s">
        <v>354</v>
      </c>
      <c r="F320" s="9"/>
      <c r="G320" s="9">
        <v>9</v>
      </c>
      <c r="H320" s="9">
        <v>2</v>
      </c>
      <c r="I320" s="9">
        <v>7</v>
      </c>
      <c r="J320" s="11">
        <v>0.22222222222222199</v>
      </c>
      <c r="K320" s="24">
        <v>0.1</v>
      </c>
      <c r="L320" s="24">
        <v>0.2</v>
      </c>
      <c r="M320" s="24">
        <v>2.8</v>
      </c>
      <c r="N320" s="9">
        <v>0</v>
      </c>
      <c r="O320" s="9">
        <v>2</v>
      </c>
      <c r="P320" s="9">
        <v>1</v>
      </c>
      <c r="Q320" s="11">
        <v>0.22222222222222199</v>
      </c>
      <c r="R320" s="10" t="s">
        <v>176</v>
      </c>
      <c r="S320" s="6"/>
      <c r="T320" s="6"/>
    </row>
    <row r="321" spans="1:20">
      <c r="A321" s="7">
        <v>46216</v>
      </c>
      <c r="B321" s="8">
        <v>46229</v>
      </c>
      <c r="C321" s="9">
        <v>14</v>
      </c>
      <c r="D321" s="10" t="s">
        <v>1002</v>
      </c>
      <c r="E321" s="10" t="s">
        <v>355</v>
      </c>
      <c r="F321" s="9"/>
      <c r="G321" s="9">
        <v>8</v>
      </c>
      <c r="H321" s="9">
        <v>2</v>
      </c>
      <c r="I321" s="9">
        <v>6</v>
      </c>
      <c r="J321" s="11">
        <v>0.25</v>
      </c>
      <c r="K321" s="24">
        <v>0.1</v>
      </c>
      <c r="L321" s="24">
        <v>0.2</v>
      </c>
      <c r="M321" s="24">
        <v>2.8</v>
      </c>
      <c r="N321" s="9">
        <v>0</v>
      </c>
      <c r="O321" s="9">
        <v>2</v>
      </c>
      <c r="P321" s="9">
        <v>1</v>
      </c>
      <c r="Q321" s="11">
        <v>0.25</v>
      </c>
      <c r="R321" s="10" t="s">
        <v>176</v>
      </c>
      <c r="S321" s="6"/>
      <c r="T321" s="6"/>
    </row>
    <row r="322" spans="1:20">
      <c r="A322" s="7">
        <v>46216</v>
      </c>
      <c r="B322" s="8">
        <v>46229</v>
      </c>
      <c r="C322" s="9">
        <v>14</v>
      </c>
      <c r="D322" s="10" t="s">
        <v>1002</v>
      </c>
      <c r="E322" s="10" t="s">
        <v>397</v>
      </c>
      <c r="F322" s="9"/>
      <c r="G322" s="9">
        <v>10</v>
      </c>
      <c r="H322" s="9">
        <v>2</v>
      </c>
      <c r="I322" s="9">
        <v>8</v>
      </c>
      <c r="J322" s="11">
        <v>0.2</v>
      </c>
      <c r="K322" s="24">
        <v>0.1</v>
      </c>
      <c r="L322" s="24">
        <v>0.2</v>
      </c>
      <c r="M322" s="24">
        <v>2.8</v>
      </c>
      <c r="N322" s="9">
        <v>2</v>
      </c>
      <c r="O322" s="9">
        <v>2</v>
      </c>
      <c r="P322" s="9">
        <v>2</v>
      </c>
      <c r="Q322" s="11">
        <v>0.2</v>
      </c>
      <c r="R322" s="10" t="s">
        <v>3698</v>
      </c>
      <c r="S322" s="6"/>
      <c r="T322" s="6"/>
    </row>
    <row r="323" spans="1:20">
      <c r="A323" s="7">
        <v>46216</v>
      </c>
      <c r="B323" s="8">
        <v>46229</v>
      </c>
      <c r="C323" s="9">
        <v>14</v>
      </c>
      <c r="D323" s="10" t="s">
        <v>1002</v>
      </c>
      <c r="E323" s="10" t="s">
        <v>398</v>
      </c>
      <c r="F323" s="9"/>
      <c r="G323" s="9">
        <v>10</v>
      </c>
      <c r="H323" s="9">
        <v>2</v>
      </c>
      <c r="I323" s="9">
        <v>8</v>
      </c>
      <c r="J323" s="11">
        <v>0.2</v>
      </c>
      <c r="K323" s="24">
        <v>0.1</v>
      </c>
      <c r="L323" s="24">
        <v>0.2</v>
      </c>
      <c r="M323" s="24">
        <v>2.8</v>
      </c>
      <c r="N323" s="9">
        <v>1</v>
      </c>
      <c r="O323" s="9">
        <v>2</v>
      </c>
      <c r="P323" s="9">
        <v>3</v>
      </c>
      <c r="Q323" s="11">
        <v>0.2</v>
      </c>
      <c r="R323" s="10" t="s">
        <v>3698</v>
      </c>
      <c r="S323" s="6"/>
      <c r="T323" s="6"/>
    </row>
    <row r="324" spans="1:20">
      <c r="A324" s="7">
        <v>46216</v>
      </c>
      <c r="B324" s="8">
        <v>46229</v>
      </c>
      <c r="C324" s="9">
        <v>14</v>
      </c>
      <c r="D324" s="10" t="s">
        <v>1002</v>
      </c>
      <c r="E324" s="10" t="s">
        <v>399</v>
      </c>
      <c r="F324" s="9"/>
      <c r="G324" s="9">
        <v>14</v>
      </c>
      <c r="H324" s="9">
        <v>2</v>
      </c>
      <c r="I324" s="9">
        <v>12</v>
      </c>
      <c r="J324" s="11">
        <v>0.14285714285714299</v>
      </c>
      <c r="K324" s="24">
        <v>0.1</v>
      </c>
      <c r="L324" s="24">
        <v>0.2</v>
      </c>
      <c r="M324" s="24">
        <v>2.8</v>
      </c>
      <c r="N324" s="9">
        <v>2</v>
      </c>
      <c r="O324" s="9">
        <v>2</v>
      </c>
      <c r="P324" s="9">
        <v>2</v>
      </c>
      <c r="Q324" s="11">
        <v>0.14285714285714299</v>
      </c>
      <c r="R324" s="10" t="s">
        <v>3075</v>
      </c>
      <c r="S324" s="6"/>
      <c r="T324" s="6"/>
    </row>
    <row r="325" spans="1:20">
      <c r="A325" s="7">
        <v>46216</v>
      </c>
      <c r="B325" s="8">
        <v>46229</v>
      </c>
      <c r="C325" s="9">
        <v>14</v>
      </c>
      <c r="D325" s="10" t="s">
        <v>1002</v>
      </c>
      <c r="E325" s="10" t="s">
        <v>400</v>
      </c>
      <c r="F325" s="9"/>
      <c r="G325" s="9">
        <v>10</v>
      </c>
      <c r="H325" s="9">
        <v>2</v>
      </c>
      <c r="I325" s="9">
        <v>8</v>
      </c>
      <c r="J325" s="11">
        <v>0.2</v>
      </c>
      <c r="K325" s="24">
        <v>0.1</v>
      </c>
      <c r="L325" s="24">
        <v>0.2</v>
      </c>
      <c r="M325" s="24">
        <v>2.8</v>
      </c>
      <c r="N325" s="9">
        <v>2</v>
      </c>
      <c r="O325" s="9">
        <v>2</v>
      </c>
      <c r="P325" s="9">
        <v>2</v>
      </c>
      <c r="Q325" s="11">
        <v>0.2</v>
      </c>
      <c r="R325" s="10" t="s">
        <v>3698</v>
      </c>
      <c r="S325" s="6"/>
      <c r="T325" s="6"/>
    </row>
    <row r="326" spans="1:20">
      <c r="A326" s="7">
        <v>46216</v>
      </c>
      <c r="B326" s="8">
        <v>46229</v>
      </c>
      <c r="C326" s="9">
        <v>14</v>
      </c>
      <c r="D326" s="10" t="s">
        <v>1002</v>
      </c>
      <c r="E326" s="10" t="s">
        <v>402</v>
      </c>
      <c r="F326" s="9"/>
      <c r="G326" s="9">
        <v>7</v>
      </c>
      <c r="H326" s="9">
        <v>2</v>
      </c>
      <c r="I326" s="9">
        <v>5</v>
      </c>
      <c r="J326" s="11">
        <v>0.28571428571428598</v>
      </c>
      <c r="K326" s="24">
        <v>0.1</v>
      </c>
      <c r="L326" s="24">
        <v>0.2</v>
      </c>
      <c r="M326" s="24">
        <v>2.8</v>
      </c>
      <c r="N326" s="9">
        <v>3</v>
      </c>
      <c r="O326" s="9">
        <v>3</v>
      </c>
      <c r="P326" s="9">
        <v>4</v>
      </c>
      <c r="Q326" s="11">
        <v>0.42857142857142899</v>
      </c>
      <c r="R326" s="10" t="s">
        <v>3698</v>
      </c>
      <c r="S326" s="6"/>
      <c r="T326" s="6"/>
    </row>
    <row r="327" spans="1:20">
      <c r="A327" s="7">
        <v>46216</v>
      </c>
      <c r="B327" s="8">
        <v>46229</v>
      </c>
      <c r="C327" s="9">
        <v>14</v>
      </c>
      <c r="D327" s="10" t="s">
        <v>1002</v>
      </c>
      <c r="E327" s="10" t="s">
        <v>427</v>
      </c>
      <c r="F327" s="9"/>
      <c r="G327" s="9">
        <v>10</v>
      </c>
      <c r="H327" s="9">
        <v>2</v>
      </c>
      <c r="I327" s="9">
        <v>8</v>
      </c>
      <c r="J327" s="11">
        <v>0.2</v>
      </c>
      <c r="K327" s="24">
        <v>0.1</v>
      </c>
      <c r="L327" s="24">
        <v>0.2</v>
      </c>
      <c r="M327" s="24">
        <v>2.8</v>
      </c>
      <c r="N327" s="9">
        <v>2</v>
      </c>
      <c r="O327" s="9">
        <v>2</v>
      </c>
      <c r="P327" s="9">
        <v>2</v>
      </c>
      <c r="Q327" s="11">
        <v>0.2</v>
      </c>
      <c r="R327" s="10" t="s">
        <v>3698</v>
      </c>
      <c r="S327" s="6"/>
      <c r="T327" s="6"/>
    </row>
    <row r="328" spans="1:20">
      <c r="A328" s="7">
        <v>46216</v>
      </c>
      <c r="B328" s="8">
        <v>46229</v>
      </c>
      <c r="C328" s="9">
        <v>14</v>
      </c>
      <c r="D328" s="10" t="s">
        <v>1002</v>
      </c>
      <c r="E328" s="10" t="s">
        <v>107</v>
      </c>
      <c r="F328" s="9"/>
      <c r="G328" s="9">
        <v>8</v>
      </c>
      <c r="H328" s="9">
        <v>2</v>
      </c>
      <c r="I328" s="9">
        <v>6</v>
      </c>
      <c r="J328" s="11">
        <v>0.25</v>
      </c>
      <c r="K328" s="24">
        <v>0.1</v>
      </c>
      <c r="L328" s="24">
        <v>0.2</v>
      </c>
      <c r="M328" s="24">
        <v>2.8</v>
      </c>
      <c r="N328" s="9">
        <v>3</v>
      </c>
      <c r="O328" s="9">
        <v>3</v>
      </c>
      <c r="P328" s="9">
        <v>3</v>
      </c>
      <c r="Q328" s="11">
        <v>0.375</v>
      </c>
      <c r="R328" s="10" t="s">
        <v>3698</v>
      </c>
      <c r="S328" s="6"/>
      <c r="T328" s="6"/>
    </row>
    <row r="329" spans="1:20">
      <c r="A329" s="7">
        <v>46216</v>
      </c>
      <c r="B329" s="8">
        <v>46229</v>
      </c>
      <c r="C329" s="9">
        <v>14</v>
      </c>
      <c r="D329" s="10" t="s">
        <v>1002</v>
      </c>
      <c r="E329" s="10" t="s">
        <v>48</v>
      </c>
      <c r="F329" s="9"/>
      <c r="G329" s="9">
        <v>10</v>
      </c>
      <c r="H329" s="9">
        <v>2</v>
      </c>
      <c r="I329" s="9">
        <v>8</v>
      </c>
      <c r="J329" s="11">
        <v>0.2</v>
      </c>
      <c r="K329" s="24">
        <v>0.1</v>
      </c>
      <c r="L329" s="24">
        <v>0.2</v>
      </c>
      <c r="M329" s="24">
        <v>2.8</v>
      </c>
      <c r="N329" s="9">
        <v>2</v>
      </c>
      <c r="O329" s="9">
        <v>2</v>
      </c>
      <c r="P329" s="9">
        <v>2</v>
      </c>
      <c r="Q329" s="11">
        <v>0.2</v>
      </c>
      <c r="R329" s="10" t="s">
        <v>3698</v>
      </c>
      <c r="S329" s="6"/>
      <c r="T329" s="6"/>
    </row>
    <row r="330" spans="1:20">
      <c r="A330" s="7">
        <v>46216</v>
      </c>
      <c r="B330" s="8">
        <v>46229</v>
      </c>
      <c r="C330" s="9">
        <v>14</v>
      </c>
      <c r="D330" s="10" t="s">
        <v>1002</v>
      </c>
      <c r="E330" s="10" t="s">
        <v>429</v>
      </c>
      <c r="F330" s="9"/>
      <c r="G330" s="9">
        <v>7</v>
      </c>
      <c r="H330" s="9">
        <v>2</v>
      </c>
      <c r="I330" s="9">
        <v>5</v>
      </c>
      <c r="J330" s="11">
        <v>0.28571428571428598</v>
      </c>
      <c r="K330" s="24">
        <v>0.1</v>
      </c>
      <c r="L330" s="24">
        <v>0.2</v>
      </c>
      <c r="M330" s="24">
        <v>2.8</v>
      </c>
      <c r="N330" s="9">
        <v>2</v>
      </c>
      <c r="O330" s="9">
        <v>2</v>
      </c>
      <c r="P330" s="9">
        <v>2</v>
      </c>
      <c r="Q330" s="11">
        <v>0.28571428571428598</v>
      </c>
      <c r="R330" s="10" t="s">
        <v>3698</v>
      </c>
      <c r="S330" s="6"/>
      <c r="T330" s="6"/>
    </row>
    <row r="331" spans="1:20">
      <c r="A331" s="7">
        <v>46216</v>
      </c>
      <c r="B331" s="8">
        <v>46229</v>
      </c>
      <c r="C331" s="9">
        <v>14</v>
      </c>
      <c r="D331" s="10" t="s">
        <v>1002</v>
      </c>
      <c r="E331" s="10" t="s">
        <v>66</v>
      </c>
      <c r="F331" s="9"/>
      <c r="G331" s="9">
        <v>7</v>
      </c>
      <c r="H331" s="9">
        <v>2</v>
      </c>
      <c r="I331" s="9">
        <v>5</v>
      </c>
      <c r="J331" s="11">
        <v>0.28571428571428598</v>
      </c>
      <c r="K331" s="24">
        <v>0.1</v>
      </c>
      <c r="L331" s="24">
        <v>0.2</v>
      </c>
      <c r="M331" s="24">
        <v>2.8</v>
      </c>
      <c r="N331" s="9">
        <v>2</v>
      </c>
      <c r="O331" s="9">
        <v>2</v>
      </c>
      <c r="P331" s="9">
        <v>2</v>
      </c>
      <c r="Q331" s="11">
        <v>0.28571428571428598</v>
      </c>
      <c r="R331" s="10" t="s">
        <v>3698</v>
      </c>
      <c r="S331" s="6"/>
      <c r="T331" s="6"/>
    </row>
    <row r="332" spans="1:20">
      <c r="A332" s="7">
        <v>46216</v>
      </c>
      <c r="B332" s="8">
        <v>46229</v>
      </c>
      <c r="C332" s="9">
        <v>14</v>
      </c>
      <c r="D332" s="10" t="s">
        <v>1002</v>
      </c>
      <c r="E332" s="10" t="s">
        <v>47</v>
      </c>
      <c r="F332" s="9"/>
      <c r="G332" s="9">
        <v>6</v>
      </c>
      <c r="H332" s="9">
        <v>2</v>
      </c>
      <c r="I332" s="9">
        <v>4</v>
      </c>
      <c r="J332" s="11">
        <v>0.33333333333333298</v>
      </c>
      <c r="K332" s="24">
        <v>0.1</v>
      </c>
      <c r="L332" s="24">
        <v>0.2</v>
      </c>
      <c r="M332" s="24">
        <v>2.8</v>
      </c>
      <c r="N332" s="9">
        <v>2</v>
      </c>
      <c r="O332" s="9">
        <v>2</v>
      </c>
      <c r="P332" s="9">
        <v>2</v>
      </c>
      <c r="Q332" s="11">
        <v>0.33333333333333298</v>
      </c>
      <c r="R332" s="10" t="s">
        <v>3698</v>
      </c>
      <c r="S332" s="6"/>
      <c r="T332" s="6"/>
    </row>
    <row r="333" spans="1:20">
      <c r="A333" s="7">
        <v>46216</v>
      </c>
      <c r="B333" s="8">
        <v>46229</v>
      </c>
      <c r="C333" s="9">
        <v>14</v>
      </c>
      <c r="D333" s="10" t="s">
        <v>1002</v>
      </c>
      <c r="E333" s="10" t="s">
        <v>513</v>
      </c>
      <c r="F333" s="9"/>
      <c r="G333" s="9">
        <v>6</v>
      </c>
      <c r="H333" s="9">
        <v>2</v>
      </c>
      <c r="I333" s="9">
        <v>4</v>
      </c>
      <c r="J333" s="11">
        <v>0.33333333333333298</v>
      </c>
      <c r="K333" s="24">
        <v>0.1</v>
      </c>
      <c r="L333" s="24">
        <v>0.2</v>
      </c>
      <c r="M333" s="24">
        <v>2.8</v>
      </c>
      <c r="N333" s="9">
        <v>2</v>
      </c>
      <c r="O333" s="9">
        <v>2</v>
      </c>
      <c r="P333" s="9">
        <v>2</v>
      </c>
      <c r="Q333" s="11">
        <v>0.33333333333333298</v>
      </c>
      <c r="R333" s="10" t="s">
        <v>3698</v>
      </c>
      <c r="S333" s="6"/>
      <c r="T333" s="6"/>
    </row>
    <row r="334" spans="1:20">
      <c r="A334" s="7">
        <v>46216</v>
      </c>
      <c r="B334" s="8">
        <v>46229</v>
      </c>
      <c r="C334" s="9">
        <v>14</v>
      </c>
      <c r="D334" s="10" t="s">
        <v>1002</v>
      </c>
      <c r="E334" s="10" t="s">
        <v>517</v>
      </c>
      <c r="F334" s="9"/>
      <c r="G334" s="9">
        <v>9</v>
      </c>
      <c r="H334" s="9">
        <v>2</v>
      </c>
      <c r="I334" s="9">
        <v>7</v>
      </c>
      <c r="J334" s="11">
        <v>0.22222222222222199</v>
      </c>
      <c r="K334" s="24">
        <v>0.1</v>
      </c>
      <c r="L334" s="24">
        <v>0.2</v>
      </c>
      <c r="M334" s="24">
        <v>2.8</v>
      </c>
      <c r="N334" s="9">
        <v>2</v>
      </c>
      <c r="O334" s="9">
        <v>2</v>
      </c>
      <c r="P334" s="9">
        <v>2</v>
      </c>
      <c r="Q334" s="11">
        <v>0.22222222222222199</v>
      </c>
      <c r="R334" s="10" t="s">
        <v>3698</v>
      </c>
      <c r="S334" s="6"/>
      <c r="T334" s="6"/>
    </row>
    <row r="335" spans="1:20">
      <c r="A335" s="7">
        <v>46216</v>
      </c>
      <c r="B335" s="8">
        <v>46229</v>
      </c>
      <c r="C335" s="9">
        <v>14</v>
      </c>
      <c r="D335" s="10" t="s">
        <v>1002</v>
      </c>
      <c r="E335" s="10" t="s">
        <v>527</v>
      </c>
      <c r="F335" s="9"/>
      <c r="G335" s="9">
        <v>5</v>
      </c>
      <c r="H335" s="9">
        <v>2</v>
      </c>
      <c r="I335" s="9">
        <v>3</v>
      </c>
      <c r="J335" s="11">
        <v>0.4</v>
      </c>
      <c r="K335" s="24">
        <v>0.1</v>
      </c>
      <c r="L335" s="24">
        <v>0.2</v>
      </c>
      <c r="M335" s="24">
        <v>2.8</v>
      </c>
      <c r="N335" s="9">
        <v>2</v>
      </c>
      <c r="O335" s="9">
        <v>2</v>
      </c>
      <c r="P335" s="9">
        <v>2</v>
      </c>
      <c r="Q335" s="11">
        <v>0.4</v>
      </c>
      <c r="R335" s="10" t="s">
        <v>3698</v>
      </c>
      <c r="S335" s="6"/>
      <c r="T335" s="6"/>
    </row>
    <row r="336" spans="1:20">
      <c r="A336" s="7">
        <v>46216</v>
      </c>
      <c r="B336" s="8">
        <v>46229</v>
      </c>
      <c r="C336" s="9">
        <v>14</v>
      </c>
      <c r="D336" s="10" t="s">
        <v>1002</v>
      </c>
      <c r="E336" s="10" t="s">
        <v>1647</v>
      </c>
      <c r="F336" s="9"/>
      <c r="G336" s="9">
        <v>1</v>
      </c>
      <c r="H336" s="9">
        <v>1</v>
      </c>
      <c r="I336" s="9">
        <v>0</v>
      </c>
      <c r="J336" s="11">
        <v>1</v>
      </c>
      <c r="K336" s="24">
        <v>0.1</v>
      </c>
      <c r="L336" s="24">
        <v>0.1</v>
      </c>
      <c r="M336" s="24">
        <v>1.4</v>
      </c>
      <c r="N336" s="9">
        <v>1</v>
      </c>
      <c r="O336" s="9">
        <v>1</v>
      </c>
      <c r="P336" s="9">
        <v>2</v>
      </c>
      <c r="Q336" s="11">
        <v>1</v>
      </c>
      <c r="R336" s="10" t="s">
        <v>177</v>
      </c>
      <c r="S336" s="6"/>
      <c r="T336" s="6"/>
    </row>
    <row r="337" spans="1:20">
      <c r="A337" s="7">
        <v>46216</v>
      </c>
      <c r="B337" s="8">
        <v>46229</v>
      </c>
      <c r="C337" s="9">
        <v>14</v>
      </c>
      <c r="D337" s="10" t="s">
        <v>1002</v>
      </c>
      <c r="E337" s="10" t="s">
        <v>251</v>
      </c>
      <c r="F337" s="9"/>
      <c r="G337" s="9">
        <v>3</v>
      </c>
      <c r="H337" s="9">
        <v>1</v>
      </c>
      <c r="I337" s="9">
        <v>2</v>
      </c>
      <c r="J337" s="11">
        <v>0.33333333333333298</v>
      </c>
      <c r="K337" s="24">
        <v>0.1</v>
      </c>
      <c r="L337" s="24">
        <v>0.1</v>
      </c>
      <c r="M337" s="24">
        <v>1.4</v>
      </c>
      <c r="N337" s="9">
        <v>1</v>
      </c>
      <c r="O337" s="9">
        <v>1</v>
      </c>
      <c r="P337" s="9">
        <v>2</v>
      </c>
      <c r="Q337" s="11">
        <v>0.33333333333333298</v>
      </c>
      <c r="R337" s="10" t="s">
        <v>3698</v>
      </c>
      <c r="S337" s="6"/>
      <c r="T337" s="6"/>
    </row>
    <row r="338" spans="1:20">
      <c r="A338" s="7">
        <v>46216</v>
      </c>
      <c r="B338" s="8">
        <v>46229</v>
      </c>
      <c r="C338" s="9">
        <v>14</v>
      </c>
      <c r="D338" s="10" t="s">
        <v>1002</v>
      </c>
      <c r="E338" s="10" t="s">
        <v>328</v>
      </c>
      <c r="F338" s="9"/>
      <c r="G338" s="9">
        <v>2</v>
      </c>
      <c r="H338" s="9">
        <v>1</v>
      </c>
      <c r="I338" s="9">
        <v>1</v>
      </c>
      <c r="J338" s="11">
        <v>0.5</v>
      </c>
      <c r="K338" s="24">
        <v>0.1</v>
      </c>
      <c r="L338" s="24">
        <v>0.1</v>
      </c>
      <c r="M338" s="24">
        <v>1.4</v>
      </c>
      <c r="N338" s="9">
        <v>1</v>
      </c>
      <c r="O338" s="9">
        <v>1</v>
      </c>
      <c r="P338" s="9">
        <v>2</v>
      </c>
      <c r="Q338" s="11">
        <v>0.5</v>
      </c>
      <c r="R338" s="10" t="s">
        <v>3698</v>
      </c>
      <c r="S338" s="6"/>
      <c r="T338" s="6"/>
    </row>
    <row r="339" spans="1:20">
      <c r="A339" s="7">
        <v>46216</v>
      </c>
      <c r="B339" s="8">
        <v>46229</v>
      </c>
      <c r="C339" s="9">
        <v>14</v>
      </c>
      <c r="D339" s="10" t="s">
        <v>1002</v>
      </c>
      <c r="E339" s="10" t="s">
        <v>337</v>
      </c>
      <c r="F339" s="9"/>
      <c r="G339" s="9">
        <v>4</v>
      </c>
      <c r="H339" s="9">
        <v>1</v>
      </c>
      <c r="I339" s="9">
        <v>3</v>
      </c>
      <c r="J339" s="11">
        <v>0.25</v>
      </c>
      <c r="K339" s="24">
        <v>0.1</v>
      </c>
      <c r="L339" s="24">
        <v>0.1</v>
      </c>
      <c r="M339" s="24">
        <v>1.4</v>
      </c>
      <c r="N339" s="9">
        <v>1</v>
      </c>
      <c r="O339" s="9">
        <v>1</v>
      </c>
      <c r="P339" s="9">
        <v>2</v>
      </c>
      <c r="Q339" s="11">
        <v>0.25</v>
      </c>
      <c r="R339" s="10" t="s">
        <v>3698</v>
      </c>
      <c r="S339" s="6"/>
      <c r="T339" s="6"/>
    </row>
    <row r="340" spans="1:20">
      <c r="A340" s="7">
        <v>46216</v>
      </c>
      <c r="B340" s="8">
        <v>46229</v>
      </c>
      <c r="C340" s="9">
        <v>14</v>
      </c>
      <c r="D340" s="10" t="s">
        <v>1002</v>
      </c>
      <c r="E340" s="10" t="s">
        <v>356</v>
      </c>
      <c r="F340" s="9"/>
      <c r="G340" s="9">
        <v>10</v>
      </c>
      <c r="H340" s="9">
        <v>1</v>
      </c>
      <c r="I340" s="9">
        <v>9</v>
      </c>
      <c r="J340" s="11">
        <v>0.1</v>
      </c>
      <c r="K340" s="24">
        <v>0.09</v>
      </c>
      <c r="L340" s="24">
        <v>0.1</v>
      </c>
      <c r="M340" s="24">
        <v>1.4</v>
      </c>
      <c r="N340" s="9">
        <v>1</v>
      </c>
      <c r="O340" s="9">
        <v>1</v>
      </c>
      <c r="P340" s="9">
        <v>2</v>
      </c>
      <c r="Q340" s="11">
        <v>0.1</v>
      </c>
      <c r="R340" s="10" t="s">
        <v>3075</v>
      </c>
      <c r="S340" s="6"/>
      <c r="T340" s="6"/>
    </row>
    <row r="341" spans="1:20">
      <c r="A341" s="7">
        <v>46216</v>
      </c>
      <c r="B341" s="8">
        <v>46229</v>
      </c>
      <c r="C341" s="9">
        <v>14</v>
      </c>
      <c r="D341" s="10" t="s">
        <v>1002</v>
      </c>
      <c r="E341" s="10" t="s">
        <v>396</v>
      </c>
      <c r="F341" s="9"/>
      <c r="G341" s="9">
        <v>14</v>
      </c>
      <c r="H341" s="9">
        <v>1</v>
      </c>
      <c r="I341" s="9">
        <v>13</v>
      </c>
      <c r="J341" s="11">
        <v>7.1428571428571397E-2</v>
      </c>
      <c r="K341" s="24">
        <v>9.2899999999999996E-2</v>
      </c>
      <c r="L341" s="24">
        <v>0.1</v>
      </c>
      <c r="M341" s="24">
        <v>1.4</v>
      </c>
      <c r="N341" s="9">
        <v>1</v>
      </c>
      <c r="O341" s="9">
        <v>1</v>
      </c>
      <c r="P341" s="9">
        <v>2</v>
      </c>
      <c r="Q341" s="11">
        <v>7.1428571428571397E-2</v>
      </c>
      <c r="R341" s="10" t="s">
        <v>3075</v>
      </c>
      <c r="S341" s="6"/>
      <c r="T341" s="6"/>
    </row>
    <row r="342" spans="1:20">
      <c r="A342" s="7">
        <v>46216</v>
      </c>
      <c r="B342" s="8">
        <v>46229</v>
      </c>
      <c r="C342" s="9">
        <v>14</v>
      </c>
      <c r="D342" s="10" t="s">
        <v>1002</v>
      </c>
      <c r="E342" s="10" t="s">
        <v>401</v>
      </c>
      <c r="F342" s="9"/>
      <c r="G342" s="9">
        <v>5</v>
      </c>
      <c r="H342" s="9">
        <v>1</v>
      </c>
      <c r="I342" s="9">
        <v>4</v>
      </c>
      <c r="J342" s="11">
        <v>0.2</v>
      </c>
      <c r="K342" s="24">
        <v>0.1</v>
      </c>
      <c r="L342" s="24">
        <v>0.1</v>
      </c>
      <c r="M342" s="24">
        <v>1.4</v>
      </c>
      <c r="N342" s="9">
        <v>1</v>
      </c>
      <c r="O342" s="9">
        <v>1</v>
      </c>
      <c r="P342" s="9">
        <v>2</v>
      </c>
      <c r="Q342" s="11">
        <v>0.2</v>
      </c>
      <c r="R342" s="10" t="s">
        <v>3698</v>
      </c>
      <c r="S342" s="6"/>
      <c r="T342" s="6"/>
    </row>
    <row r="343" spans="1:20">
      <c r="A343" s="7">
        <v>46216</v>
      </c>
      <c r="B343" s="8">
        <v>46229</v>
      </c>
      <c r="C343" s="9">
        <v>14</v>
      </c>
      <c r="D343" s="10" t="s">
        <v>1002</v>
      </c>
      <c r="E343" s="10" t="s">
        <v>2101</v>
      </c>
      <c r="F343" s="9"/>
      <c r="G343" s="9">
        <v>2</v>
      </c>
      <c r="H343" s="9">
        <v>1</v>
      </c>
      <c r="I343" s="9">
        <v>1</v>
      </c>
      <c r="J343" s="11">
        <v>0.5</v>
      </c>
      <c r="K343" s="24">
        <v>0.1</v>
      </c>
      <c r="L343" s="24">
        <v>0.1</v>
      </c>
      <c r="M343" s="24">
        <v>1.4</v>
      </c>
      <c r="N343" s="9">
        <v>1</v>
      </c>
      <c r="O343" s="9">
        <v>1</v>
      </c>
      <c r="P343" s="9">
        <v>2</v>
      </c>
      <c r="Q343" s="11">
        <v>0.5</v>
      </c>
      <c r="R343" s="10" t="s">
        <v>3698</v>
      </c>
      <c r="S343" s="6"/>
      <c r="T343" s="6"/>
    </row>
    <row r="344" spans="1:20">
      <c r="A344" s="7">
        <v>46216</v>
      </c>
      <c r="B344" s="8">
        <v>46229</v>
      </c>
      <c r="C344" s="9">
        <v>14</v>
      </c>
      <c r="D344" s="10" t="s">
        <v>1002</v>
      </c>
      <c r="E344" s="10" t="s">
        <v>410</v>
      </c>
      <c r="F344" s="9"/>
      <c r="G344" s="9">
        <v>2</v>
      </c>
      <c r="H344" s="9">
        <v>1</v>
      </c>
      <c r="I344" s="9">
        <v>1</v>
      </c>
      <c r="J344" s="11">
        <v>0.5</v>
      </c>
      <c r="K344" s="24">
        <v>0.1</v>
      </c>
      <c r="L344" s="24">
        <v>0.1</v>
      </c>
      <c r="M344" s="24">
        <v>1.4</v>
      </c>
      <c r="N344" s="9">
        <v>1</v>
      </c>
      <c r="O344" s="9">
        <v>1</v>
      </c>
      <c r="P344" s="9">
        <v>2</v>
      </c>
      <c r="Q344" s="11">
        <v>0.5</v>
      </c>
      <c r="R344" s="10" t="s">
        <v>3698</v>
      </c>
      <c r="S344" s="6"/>
      <c r="T344" s="6"/>
    </row>
    <row r="345" spans="1:20">
      <c r="A345" s="7">
        <v>46216</v>
      </c>
      <c r="B345" s="8">
        <v>46229</v>
      </c>
      <c r="C345" s="9">
        <v>14</v>
      </c>
      <c r="D345" s="10" t="s">
        <v>1002</v>
      </c>
      <c r="E345" s="10" t="s">
        <v>512</v>
      </c>
      <c r="F345" s="9"/>
      <c r="G345" s="9">
        <v>3</v>
      </c>
      <c r="H345" s="9">
        <v>1</v>
      </c>
      <c r="I345" s="9">
        <v>2</v>
      </c>
      <c r="J345" s="11">
        <v>0.33333333333333298</v>
      </c>
      <c r="K345" s="24">
        <v>0.1</v>
      </c>
      <c r="L345" s="24">
        <v>0.1</v>
      </c>
      <c r="M345" s="24">
        <v>1.4</v>
      </c>
      <c r="N345" s="9">
        <v>1</v>
      </c>
      <c r="O345" s="9">
        <v>1</v>
      </c>
      <c r="P345" s="9">
        <v>2</v>
      </c>
      <c r="Q345" s="11">
        <v>0.33333333333333298</v>
      </c>
      <c r="R345" s="10" t="s">
        <v>3698</v>
      </c>
      <c r="S345" s="6"/>
      <c r="T345" s="6"/>
    </row>
    <row r="346" spans="1:20">
      <c r="A346" s="7">
        <v>46216</v>
      </c>
      <c r="B346" s="8">
        <v>46229</v>
      </c>
      <c r="C346" s="9">
        <v>14</v>
      </c>
      <c r="D346" s="10" t="s">
        <v>1002</v>
      </c>
      <c r="E346" s="10" t="s">
        <v>515</v>
      </c>
      <c r="F346" s="9"/>
      <c r="G346" s="9">
        <v>7</v>
      </c>
      <c r="H346" s="9">
        <v>1</v>
      </c>
      <c r="I346" s="9">
        <v>6</v>
      </c>
      <c r="J346" s="11">
        <v>0.14285714285714299</v>
      </c>
      <c r="K346" s="24">
        <v>0.1</v>
      </c>
      <c r="L346" s="24">
        <v>0.1</v>
      </c>
      <c r="M346" s="24">
        <v>1.4</v>
      </c>
      <c r="N346" s="9">
        <v>1</v>
      </c>
      <c r="O346" s="9">
        <v>1</v>
      </c>
      <c r="P346" s="9">
        <v>2</v>
      </c>
      <c r="Q346" s="11">
        <v>0.14285714285714299</v>
      </c>
      <c r="R346" s="10" t="s">
        <v>3075</v>
      </c>
      <c r="S346" s="6"/>
      <c r="T346" s="6"/>
    </row>
    <row r="347" spans="1:20">
      <c r="A347" s="7">
        <v>46216</v>
      </c>
      <c r="B347" s="8">
        <v>46229</v>
      </c>
      <c r="C347" s="9">
        <v>14</v>
      </c>
      <c r="D347" s="10" t="s">
        <v>1002</v>
      </c>
      <c r="E347" s="10" t="s">
        <v>526</v>
      </c>
      <c r="F347" s="9"/>
      <c r="G347" s="9">
        <v>3</v>
      </c>
      <c r="H347" s="9">
        <v>1</v>
      </c>
      <c r="I347" s="9">
        <v>2</v>
      </c>
      <c r="J347" s="11">
        <v>0.33333333333333298</v>
      </c>
      <c r="K347" s="24">
        <v>0.1</v>
      </c>
      <c r="L347" s="24">
        <v>0.1</v>
      </c>
      <c r="M347" s="24">
        <v>1.4</v>
      </c>
      <c r="N347" s="9">
        <v>2</v>
      </c>
      <c r="O347" s="9">
        <v>2</v>
      </c>
      <c r="P347" s="9">
        <v>3</v>
      </c>
      <c r="Q347" s="11">
        <v>0.66666666666666696</v>
      </c>
      <c r="R347" s="10" t="s">
        <v>3698</v>
      </c>
      <c r="S347" s="6"/>
      <c r="T347" s="6"/>
    </row>
    <row r="348" spans="1:20">
      <c r="A348" s="7">
        <v>46216</v>
      </c>
      <c r="B348" s="8">
        <v>46229</v>
      </c>
      <c r="C348" s="9">
        <v>14</v>
      </c>
      <c r="D348" s="10" t="s">
        <v>1002</v>
      </c>
      <c r="E348" s="10" t="s">
        <v>528</v>
      </c>
      <c r="F348" s="9"/>
      <c r="G348" s="9">
        <v>2</v>
      </c>
      <c r="H348" s="9">
        <v>1</v>
      </c>
      <c r="I348" s="9">
        <v>1</v>
      </c>
      <c r="J348" s="11">
        <v>0.5</v>
      </c>
      <c r="K348" s="24">
        <v>0.1</v>
      </c>
      <c r="L348" s="24">
        <v>0.1</v>
      </c>
      <c r="M348" s="24">
        <v>1.4</v>
      </c>
      <c r="N348" s="9">
        <v>1</v>
      </c>
      <c r="O348" s="9">
        <v>1</v>
      </c>
      <c r="P348" s="9">
        <v>2</v>
      </c>
      <c r="Q348" s="11">
        <v>0.5</v>
      </c>
      <c r="R348" s="10" t="s">
        <v>3698</v>
      </c>
      <c r="S348" s="6"/>
      <c r="T348" s="6"/>
    </row>
    <row r="349" spans="1:20">
      <c r="A349" s="7">
        <v>46216</v>
      </c>
      <c r="B349" s="8">
        <v>46229</v>
      </c>
      <c r="C349" s="9">
        <v>14</v>
      </c>
      <c r="D349" s="10" t="s">
        <v>1002</v>
      </c>
      <c r="E349" s="10" t="s">
        <v>1007</v>
      </c>
      <c r="F349" s="9"/>
      <c r="G349" s="9">
        <v>38</v>
      </c>
      <c r="H349" s="9">
        <v>1</v>
      </c>
      <c r="I349" s="9">
        <v>37</v>
      </c>
      <c r="J349" s="11">
        <v>2.6315789473684199E-2</v>
      </c>
      <c r="K349" s="24">
        <v>0.1</v>
      </c>
      <c r="L349" s="24">
        <v>0.1</v>
      </c>
      <c r="M349" s="24">
        <v>1.4</v>
      </c>
      <c r="N349" s="9">
        <v>3</v>
      </c>
      <c r="O349" s="9">
        <v>2</v>
      </c>
      <c r="P349" s="9">
        <v>3</v>
      </c>
      <c r="Q349" s="11">
        <v>5.2631578947368397E-2</v>
      </c>
      <c r="R349" s="10" t="s">
        <v>3075</v>
      </c>
      <c r="S349" s="6"/>
      <c r="T349" s="6"/>
    </row>
    <row r="350" spans="1:20">
      <c r="A350" s="7">
        <v>46216</v>
      </c>
      <c r="B350" s="8">
        <v>46229</v>
      </c>
      <c r="C350" s="9">
        <v>14</v>
      </c>
      <c r="D350" s="10" t="s">
        <v>1002</v>
      </c>
      <c r="E350" s="10" t="s">
        <v>1872</v>
      </c>
      <c r="F350" s="9"/>
      <c r="G350" s="9">
        <v>1</v>
      </c>
      <c r="H350" s="9">
        <v>0</v>
      </c>
      <c r="I350" s="9">
        <v>1</v>
      </c>
      <c r="J350" s="11">
        <v>0</v>
      </c>
      <c r="K350" s="24">
        <v>0</v>
      </c>
      <c r="L350" s="24">
        <v>0</v>
      </c>
      <c r="M350" s="24">
        <v>0</v>
      </c>
      <c r="N350" s="9">
        <v>0</v>
      </c>
      <c r="O350" s="9">
        <v>0</v>
      </c>
      <c r="P350" s="9">
        <v>0</v>
      </c>
      <c r="Q350" s="11">
        <v>0</v>
      </c>
      <c r="R350" s="10" t="s">
        <v>176</v>
      </c>
      <c r="S350" s="6"/>
      <c r="T350" s="6"/>
    </row>
    <row r="351" spans="1:20">
      <c r="A351" s="7">
        <v>46216</v>
      </c>
      <c r="B351" s="8">
        <v>46229</v>
      </c>
      <c r="C351" s="9">
        <v>14</v>
      </c>
      <c r="D351" s="10" t="s">
        <v>1002</v>
      </c>
      <c r="E351" s="10" t="s">
        <v>1873</v>
      </c>
      <c r="F351" s="9"/>
      <c r="G351" s="9">
        <v>1</v>
      </c>
      <c r="H351" s="9">
        <v>0</v>
      </c>
      <c r="I351" s="9">
        <v>1</v>
      </c>
      <c r="J351" s="11">
        <v>0</v>
      </c>
      <c r="K351" s="24">
        <v>0</v>
      </c>
      <c r="L351" s="24">
        <v>0</v>
      </c>
      <c r="M351" s="24">
        <v>0</v>
      </c>
      <c r="N351" s="9">
        <v>0</v>
      </c>
      <c r="O351" s="9">
        <v>0</v>
      </c>
      <c r="P351" s="9">
        <v>0</v>
      </c>
      <c r="Q351" s="11">
        <v>0</v>
      </c>
      <c r="R351" s="10" t="s">
        <v>176</v>
      </c>
      <c r="S351" s="6"/>
      <c r="T351" s="6"/>
    </row>
    <row r="352" spans="1:20">
      <c r="A352" s="7">
        <v>46216</v>
      </c>
      <c r="B352" s="8">
        <v>46229</v>
      </c>
      <c r="C352" s="9">
        <v>14</v>
      </c>
      <c r="D352" s="10" t="s">
        <v>1002</v>
      </c>
      <c r="E352" s="10" t="s">
        <v>1874</v>
      </c>
      <c r="F352" s="9"/>
      <c r="G352" s="9">
        <v>1</v>
      </c>
      <c r="H352" s="9">
        <v>0</v>
      </c>
      <c r="I352" s="9">
        <v>1</v>
      </c>
      <c r="J352" s="11">
        <v>0</v>
      </c>
      <c r="K352" s="24">
        <v>0</v>
      </c>
      <c r="L352" s="24">
        <v>0</v>
      </c>
      <c r="M352" s="24">
        <v>0</v>
      </c>
      <c r="N352" s="9">
        <v>0</v>
      </c>
      <c r="O352" s="9">
        <v>0</v>
      </c>
      <c r="P352" s="9">
        <v>0</v>
      </c>
      <c r="Q352" s="11">
        <v>0</v>
      </c>
      <c r="R352" s="10" t="s">
        <v>176</v>
      </c>
      <c r="S352" s="6"/>
      <c r="T352" s="6"/>
    </row>
    <row r="353" spans="1:20">
      <c r="A353" s="7">
        <v>46216</v>
      </c>
      <c r="B353" s="8">
        <v>46229</v>
      </c>
      <c r="C353" s="9">
        <v>14</v>
      </c>
      <c r="D353" s="10" t="s">
        <v>1002</v>
      </c>
      <c r="E353" s="10" t="s">
        <v>1875</v>
      </c>
      <c r="F353" s="9"/>
      <c r="G353" s="9">
        <v>1</v>
      </c>
      <c r="H353" s="9">
        <v>0</v>
      </c>
      <c r="I353" s="9">
        <v>1</v>
      </c>
      <c r="J353" s="11">
        <v>0</v>
      </c>
      <c r="K353" s="24">
        <v>0</v>
      </c>
      <c r="L353" s="24">
        <v>0</v>
      </c>
      <c r="M353" s="24">
        <v>0</v>
      </c>
      <c r="N353" s="9">
        <v>0</v>
      </c>
      <c r="O353" s="9">
        <v>0</v>
      </c>
      <c r="P353" s="9">
        <v>0</v>
      </c>
      <c r="Q353" s="11">
        <v>0</v>
      </c>
      <c r="R353" s="10" t="s">
        <v>176</v>
      </c>
      <c r="S353" s="6"/>
      <c r="T353" s="6"/>
    </row>
    <row r="354" spans="1:20">
      <c r="A354" s="7">
        <v>46216</v>
      </c>
      <c r="B354" s="8">
        <v>46229</v>
      </c>
      <c r="C354" s="9">
        <v>14</v>
      </c>
      <c r="D354" s="10" t="s">
        <v>1002</v>
      </c>
      <c r="E354" s="10" t="s">
        <v>1876</v>
      </c>
      <c r="F354" s="9"/>
      <c r="G354" s="9">
        <v>1</v>
      </c>
      <c r="H354" s="9">
        <v>0</v>
      </c>
      <c r="I354" s="9">
        <v>1</v>
      </c>
      <c r="J354" s="11">
        <v>0</v>
      </c>
      <c r="K354" s="24">
        <v>0</v>
      </c>
      <c r="L354" s="24">
        <v>0</v>
      </c>
      <c r="M354" s="24">
        <v>0</v>
      </c>
      <c r="N354" s="9">
        <v>0</v>
      </c>
      <c r="O354" s="9">
        <v>0</v>
      </c>
      <c r="P354" s="9">
        <v>0</v>
      </c>
      <c r="Q354" s="11">
        <v>0</v>
      </c>
      <c r="R354" s="10" t="s">
        <v>176</v>
      </c>
      <c r="S354" s="6"/>
      <c r="T354" s="6"/>
    </row>
    <row r="355" spans="1:20">
      <c r="A355" s="7">
        <v>46216</v>
      </c>
      <c r="B355" s="8">
        <v>46229</v>
      </c>
      <c r="C355" s="9">
        <v>14</v>
      </c>
      <c r="D355" s="10" t="s">
        <v>1002</v>
      </c>
      <c r="E355" s="10" t="s">
        <v>1877</v>
      </c>
      <c r="F355" s="9"/>
      <c r="G355" s="9">
        <v>1</v>
      </c>
      <c r="H355" s="9">
        <v>0</v>
      </c>
      <c r="I355" s="9">
        <v>1</v>
      </c>
      <c r="J355" s="11">
        <v>0</v>
      </c>
      <c r="K355" s="24">
        <v>0</v>
      </c>
      <c r="L355" s="24">
        <v>0</v>
      </c>
      <c r="M355" s="24">
        <v>0</v>
      </c>
      <c r="N355" s="9">
        <v>0</v>
      </c>
      <c r="O355" s="9">
        <v>0</v>
      </c>
      <c r="P355" s="9">
        <v>0</v>
      </c>
      <c r="Q355" s="11">
        <v>0</v>
      </c>
      <c r="R355" s="10" t="s">
        <v>176</v>
      </c>
      <c r="S355" s="6"/>
      <c r="T355" s="6"/>
    </row>
    <row r="356" spans="1:20">
      <c r="A356" s="7">
        <v>46216</v>
      </c>
      <c r="B356" s="8">
        <v>46229</v>
      </c>
      <c r="C356" s="9">
        <v>14</v>
      </c>
      <c r="D356" s="10" t="s">
        <v>1002</v>
      </c>
      <c r="E356" s="10" t="s">
        <v>1878</v>
      </c>
      <c r="F356" s="9"/>
      <c r="G356" s="9">
        <v>1</v>
      </c>
      <c r="H356" s="9">
        <v>0</v>
      </c>
      <c r="I356" s="9">
        <v>1</v>
      </c>
      <c r="J356" s="11">
        <v>0</v>
      </c>
      <c r="K356" s="24">
        <v>0</v>
      </c>
      <c r="L356" s="24">
        <v>0</v>
      </c>
      <c r="M356" s="24">
        <v>0</v>
      </c>
      <c r="N356" s="9">
        <v>0</v>
      </c>
      <c r="O356" s="9">
        <v>0</v>
      </c>
      <c r="P356" s="9">
        <v>0</v>
      </c>
      <c r="Q356" s="11">
        <v>0</v>
      </c>
      <c r="R356" s="10" t="s">
        <v>176</v>
      </c>
      <c r="S356" s="6"/>
      <c r="T356" s="6"/>
    </row>
    <row r="357" spans="1:20">
      <c r="A357" s="7">
        <v>46216</v>
      </c>
      <c r="B357" s="8">
        <v>46229</v>
      </c>
      <c r="C357" s="9">
        <v>14</v>
      </c>
      <c r="D357" s="10" t="s">
        <v>1002</v>
      </c>
      <c r="E357" s="10" t="s">
        <v>1879</v>
      </c>
      <c r="F357" s="9"/>
      <c r="G357" s="9">
        <v>1</v>
      </c>
      <c r="H357" s="9">
        <v>0</v>
      </c>
      <c r="I357" s="9">
        <v>1</v>
      </c>
      <c r="J357" s="11">
        <v>0</v>
      </c>
      <c r="K357" s="24">
        <v>0</v>
      </c>
      <c r="L357" s="24">
        <v>0</v>
      </c>
      <c r="M357" s="24">
        <v>0</v>
      </c>
      <c r="N357" s="9">
        <v>0</v>
      </c>
      <c r="O357" s="9">
        <v>0</v>
      </c>
      <c r="P357" s="9">
        <v>0</v>
      </c>
      <c r="Q357" s="11">
        <v>0</v>
      </c>
      <c r="R357" s="10" t="s">
        <v>176</v>
      </c>
      <c r="S357" s="6"/>
      <c r="T357" s="6"/>
    </row>
    <row r="358" spans="1:20">
      <c r="A358" s="7">
        <v>46216</v>
      </c>
      <c r="B358" s="8">
        <v>46229</v>
      </c>
      <c r="C358" s="9">
        <v>14</v>
      </c>
      <c r="D358" s="10" t="s">
        <v>1002</v>
      </c>
      <c r="E358" s="10" t="s">
        <v>1880</v>
      </c>
      <c r="F358" s="9"/>
      <c r="G358" s="9">
        <v>1</v>
      </c>
      <c r="H358" s="9">
        <v>0</v>
      </c>
      <c r="I358" s="9">
        <v>1</v>
      </c>
      <c r="J358" s="11">
        <v>0</v>
      </c>
      <c r="K358" s="24">
        <v>0</v>
      </c>
      <c r="L358" s="24">
        <v>0</v>
      </c>
      <c r="M358" s="24">
        <v>0</v>
      </c>
      <c r="N358" s="9">
        <v>0</v>
      </c>
      <c r="O358" s="9">
        <v>0</v>
      </c>
      <c r="P358" s="9">
        <v>0</v>
      </c>
      <c r="Q358" s="11">
        <v>0</v>
      </c>
      <c r="R358" s="10" t="s">
        <v>176</v>
      </c>
      <c r="S358" s="6"/>
      <c r="T358" s="6"/>
    </row>
    <row r="359" spans="1:20">
      <c r="A359" s="7">
        <v>46216</v>
      </c>
      <c r="B359" s="8">
        <v>46229</v>
      </c>
      <c r="C359" s="9">
        <v>14</v>
      </c>
      <c r="D359" s="10" t="s">
        <v>1002</v>
      </c>
      <c r="E359" s="10" t="s">
        <v>1881</v>
      </c>
      <c r="F359" s="9"/>
      <c r="G359" s="9">
        <v>1</v>
      </c>
      <c r="H359" s="9">
        <v>0</v>
      </c>
      <c r="I359" s="9">
        <v>1</v>
      </c>
      <c r="J359" s="11">
        <v>0</v>
      </c>
      <c r="K359" s="24">
        <v>0</v>
      </c>
      <c r="L359" s="24">
        <v>0</v>
      </c>
      <c r="M359" s="24">
        <v>0</v>
      </c>
      <c r="N359" s="9">
        <v>0</v>
      </c>
      <c r="O359" s="9">
        <v>0</v>
      </c>
      <c r="P359" s="9">
        <v>0</v>
      </c>
      <c r="Q359" s="11">
        <v>0</v>
      </c>
      <c r="R359" s="10" t="s">
        <v>176</v>
      </c>
      <c r="S359" s="6"/>
      <c r="T359" s="6"/>
    </row>
    <row r="360" spans="1:20">
      <c r="A360" s="7">
        <v>46216</v>
      </c>
      <c r="B360" s="8">
        <v>46229</v>
      </c>
      <c r="C360" s="9">
        <v>14</v>
      </c>
      <c r="D360" s="10" t="s">
        <v>1002</v>
      </c>
      <c r="E360" s="10" t="s">
        <v>1882</v>
      </c>
      <c r="F360" s="9"/>
      <c r="G360" s="9">
        <v>1</v>
      </c>
      <c r="H360" s="9">
        <v>0</v>
      </c>
      <c r="I360" s="9">
        <v>1</v>
      </c>
      <c r="J360" s="11">
        <v>0</v>
      </c>
      <c r="K360" s="24">
        <v>0</v>
      </c>
      <c r="L360" s="24">
        <v>0</v>
      </c>
      <c r="M360" s="24">
        <v>0</v>
      </c>
      <c r="N360" s="9">
        <v>0</v>
      </c>
      <c r="O360" s="9">
        <v>0</v>
      </c>
      <c r="P360" s="9">
        <v>0</v>
      </c>
      <c r="Q360" s="11">
        <v>0</v>
      </c>
      <c r="R360" s="10" t="s">
        <v>176</v>
      </c>
      <c r="S360" s="6"/>
      <c r="T360" s="6"/>
    </row>
    <row r="361" spans="1:20">
      <c r="A361" s="7">
        <v>46216</v>
      </c>
      <c r="B361" s="8">
        <v>46229</v>
      </c>
      <c r="C361" s="9">
        <v>14</v>
      </c>
      <c r="D361" s="10" t="s">
        <v>1002</v>
      </c>
      <c r="E361" s="10" t="s">
        <v>1883</v>
      </c>
      <c r="F361" s="9"/>
      <c r="G361" s="9">
        <v>1</v>
      </c>
      <c r="H361" s="9">
        <v>0</v>
      </c>
      <c r="I361" s="9">
        <v>1</v>
      </c>
      <c r="J361" s="11">
        <v>0</v>
      </c>
      <c r="K361" s="24">
        <v>0</v>
      </c>
      <c r="L361" s="24">
        <v>0</v>
      </c>
      <c r="M361" s="24">
        <v>0</v>
      </c>
      <c r="N361" s="9">
        <v>0</v>
      </c>
      <c r="O361" s="9">
        <v>0</v>
      </c>
      <c r="P361" s="9">
        <v>0</v>
      </c>
      <c r="Q361" s="11">
        <v>0</v>
      </c>
      <c r="R361" s="10" t="s">
        <v>176</v>
      </c>
      <c r="S361" s="6"/>
      <c r="T361" s="6"/>
    </row>
    <row r="362" spans="1:20">
      <c r="A362" s="7">
        <v>46216</v>
      </c>
      <c r="B362" s="8">
        <v>46229</v>
      </c>
      <c r="C362" s="9">
        <v>14</v>
      </c>
      <c r="D362" s="10" t="s">
        <v>1002</v>
      </c>
      <c r="E362" s="10" t="s">
        <v>1884</v>
      </c>
      <c r="F362" s="9"/>
      <c r="G362" s="9">
        <v>1</v>
      </c>
      <c r="H362" s="9">
        <v>0</v>
      </c>
      <c r="I362" s="9">
        <v>1</v>
      </c>
      <c r="J362" s="11">
        <v>0</v>
      </c>
      <c r="K362" s="24">
        <v>0</v>
      </c>
      <c r="L362" s="24">
        <v>0</v>
      </c>
      <c r="M362" s="24">
        <v>0</v>
      </c>
      <c r="N362" s="9">
        <v>0</v>
      </c>
      <c r="O362" s="9">
        <v>0</v>
      </c>
      <c r="P362" s="9">
        <v>0</v>
      </c>
      <c r="Q362" s="11">
        <v>0</v>
      </c>
      <c r="R362" s="10" t="s">
        <v>176</v>
      </c>
      <c r="S362" s="6"/>
      <c r="T362" s="6"/>
    </row>
    <row r="363" spans="1:20">
      <c r="A363" s="7">
        <v>46216</v>
      </c>
      <c r="B363" s="8">
        <v>46229</v>
      </c>
      <c r="C363" s="9">
        <v>14</v>
      </c>
      <c r="D363" s="10" t="s">
        <v>1002</v>
      </c>
      <c r="E363" s="10" t="s">
        <v>1885</v>
      </c>
      <c r="F363" s="9"/>
      <c r="G363" s="9">
        <v>1</v>
      </c>
      <c r="H363" s="9">
        <v>0</v>
      </c>
      <c r="I363" s="9">
        <v>1</v>
      </c>
      <c r="J363" s="11">
        <v>0</v>
      </c>
      <c r="K363" s="24">
        <v>0</v>
      </c>
      <c r="L363" s="24">
        <v>0</v>
      </c>
      <c r="M363" s="24">
        <v>0</v>
      </c>
      <c r="N363" s="9">
        <v>0</v>
      </c>
      <c r="O363" s="9">
        <v>0</v>
      </c>
      <c r="P363" s="9">
        <v>0</v>
      </c>
      <c r="Q363" s="11">
        <v>0</v>
      </c>
      <c r="R363" s="10" t="s">
        <v>176</v>
      </c>
      <c r="S363" s="6"/>
      <c r="T363" s="6"/>
    </row>
    <row r="364" spans="1:20">
      <c r="A364" s="7">
        <v>46216</v>
      </c>
      <c r="B364" s="8">
        <v>46229</v>
      </c>
      <c r="C364" s="9">
        <v>14</v>
      </c>
      <c r="D364" s="10" t="s">
        <v>1002</v>
      </c>
      <c r="E364" s="10" t="s">
        <v>3669</v>
      </c>
      <c r="F364" s="9"/>
      <c r="G364" s="9">
        <v>1</v>
      </c>
      <c r="H364" s="9">
        <v>0</v>
      </c>
      <c r="I364" s="9">
        <v>1</v>
      </c>
      <c r="J364" s="11">
        <v>0</v>
      </c>
      <c r="K364" s="24">
        <v>0.1</v>
      </c>
      <c r="L364" s="24">
        <v>0</v>
      </c>
      <c r="M364" s="24">
        <v>0</v>
      </c>
      <c r="N364" s="9">
        <v>0</v>
      </c>
      <c r="O364" s="9">
        <v>0</v>
      </c>
      <c r="P364" s="9">
        <v>0</v>
      </c>
      <c r="Q364" s="11">
        <v>0</v>
      </c>
      <c r="R364" s="10" t="s">
        <v>176</v>
      </c>
      <c r="S364" s="6"/>
      <c r="T364" s="6"/>
    </row>
    <row r="365" spans="1:20">
      <c r="A365" s="7">
        <v>46216</v>
      </c>
      <c r="B365" s="8">
        <v>46229</v>
      </c>
      <c r="C365" s="9">
        <v>14</v>
      </c>
      <c r="D365" s="10" t="s">
        <v>1002</v>
      </c>
      <c r="E365" s="10" t="s">
        <v>179</v>
      </c>
      <c r="F365" s="9"/>
      <c r="G365" s="9">
        <v>2</v>
      </c>
      <c r="H365" s="9">
        <v>0</v>
      </c>
      <c r="I365" s="9">
        <v>2</v>
      </c>
      <c r="J365" s="11">
        <v>0</v>
      </c>
      <c r="K365" s="24">
        <v>0.1</v>
      </c>
      <c r="L365" s="24">
        <v>0</v>
      </c>
      <c r="M365" s="24">
        <v>0</v>
      </c>
      <c r="N365" s="9">
        <v>0</v>
      </c>
      <c r="O365" s="9">
        <v>0</v>
      </c>
      <c r="P365" s="9">
        <v>0</v>
      </c>
      <c r="Q365" s="11">
        <v>0</v>
      </c>
      <c r="R365" s="10" t="s">
        <v>176</v>
      </c>
      <c r="S365" s="6"/>
      <c r="T365" s="6"/>
    </row>
    <row r="366" spans="1:20">
      <c r="A366" s="7">
        <v>46216</v>
      </c>
      <c r="B366" s="8">
        <v>46229</v>
      </c>
      <c r="C366" s="9">
        <v>14</v>
      </c>
      <c r="D366" s="10" t="s">
        <v>1002</v>
      </c>
      <c r="E366" s="10" t="s">
        <v>1640</v>
      </c>
      <c r="F366" s="9"/>
      <c r="G366" s="9">
        <v>1</v>
      </c>
      <c r="H366" s="9">
        <v>0</v>
      </c>
      <c r="I366" s="9">
        <v>1</v>
      </c>
      <c r="J366" s="11">
        <v>0</v>
      </c>
      <c r="K366" s="24">
        <v>0.1</v>
      </c>
      <c r="L366" s="24">
        <v>0</v>
      </c>
      <c r="M366" s="24">
        <v>0</v>
      </c>
      <c r="N366" s="9">
        <v>0</v>
      </c>
      <c r="O366" s="9">
        <v>0</v>
      </c>
      <c r="P366" s="9">
        <v>0</v>
      </c>
      <c r="Q366" s="11">
        <v>0</v>
      </c>
      <c r="R366" s="10" t="s">
        <v>176</v>
      </c>
      <c r="S366" s="6"/>
      <c r="T366" s="6"/>
    </row>
    <row r="367" spans="1:20">
      <c r="A367" s="7">
        <v>46216</v>
      </c>
      <c r="B367" s="8">
        <v>46229</v>
      </c>
      <c r="C367" s="9">
        <v>14</v>
      </c>
      <c r="D367" s="10" t="s">
        <v>1002</v>
      </c>
      <c r="E367" s="10" t="s">
        <v>1427</v>
      </c>
      <c r="F367" s="9"/>
      <c r="G367" s="9">
        <v>2</v>
      </c>
      <c r="H367" s="9">
        <v>0</v>
      </c>
      <c r="I367" s="9">
        <v>2</v>
      </c>
      <c r="J367" s="11">
        <v>0</v>
      </c>
      <c r="K367" s="24">
        <v>0.1</v>
      </c>
      <c r="L367" s="24">
        <v>0</v>
      </c>
      <c r="M367" s="24">
        <v>0</v>
      </c>
      <c r="N367" s="9">
        <v>0</v>
      </c>
      <c r="O367" s="9">
        <v>0</v>
      </c>
      <c r="P367" s="9">
        <v>0</v>
      </c>
      <c r="Q367" s="11">
        <v>0</v>
      </c>
      <c r="R367" s="10" t="s">
        <v>176</v>
      </c>
      <c r="S367" s="6"/>
      <c r="T367" s="6"/>
    </row>
    <row r="368" spans="1:20">
      <c r="A368" s="7">
        <v>46216</v>
      </c>
      <c r="B368" s="8">
        <v>46229</v>
      </c>
      <c r="C368" s="9">
        <v>14</v>
      </c>
      <c r="D368" s="10" t="s">
        <v>1002</v>
      </c>
      <c r="E368" s="10" t="s">
        <v>1429</v>
      </c>
      <c r="F368" s="9"/>
      <c r="G368" s="9">
        <v>2</v>
      </c>
      <c r="H368" s="9">
        <v>0</v>
      </c>
      <c r="I368" s="9">
        <v>2</v>
      </c>
      <c r="J368" s="11">
        <v>0</v>
      </c>
      <c r="K368" s="24">
        <v>0.1</v>
      </c>
      <c r="L368" s="24">
        <v>0</v>
      </c>
      <c r="M368" s="24">
        <v>0</v>
      </c>
      <c r="N368" s="9">
        <v>0</v>
      </c>
      <c r="O368" s="9">
        <v>0</v>
      </c>
      <c r="P368" s="9">
        <v>0</v>
      </c>
      <c r="Q368" s="11">
        <v>0</v>
      </c>
      <c r="R368" s="10" t="s">
        <v>176</v>
      </c>
      <c r="S368" s="6"/>
      <c r="T368" s="6"/>
    </row>
    <row r="369" spans="1:20">
      <c r="A369" s="7">
        <v>46216</v>
      </c>
      <c r="B369" s="8">
        <v>46229</v>
      </c>
      <c r="C369" s="9">
        <v>14</v>
      </c>
      <c r="D369" s="10" t="s">
        <v>1002</v>
      </c>
      <c r="E369" s="10" t="s">
        <v>1642</v>
      </c>
      <c r="F369" s="9"/>
      <c r="G369" s="9">
        <v>1</v>
      </c>
      <c r="H369" s="9">
        <v>0</v>
      </c>
      <c r="I369" s="9">
        <v>1</v>
      </c>
      <c r="J369" s="11">
        <v>0</v>
      </c>
      <c r="K369" s="24">
        <v>0.1</v>
      </c>
      <c r="L369" s="24">
        <v>0</v>
      </c>
      <c r="M369" s="24">
        <v>0</v>
      </c>
      <c r="N369" s="9">
        <v>0</v>
      </c>
      <c r="O369" s="9">
        <v>0</v>
      </c>
      <c r="P369" s="9">
        <v>0</v>
      </c>
      <c r="Q369" s="11">
        <v>0</v>
      </c>
      <c r="R369" s="10" t="s">
        <v>176</v>
      </c>
      <c r="S369" s="6"/>
      <c r="T369" s="6"/>
    </row>
    <row r="370" spans="1:20">
      <c r="A370" s="7">
        <v>46216</v>
      </c>
      <c r="B370" s="8">
        <v>46229</v>
      </c>
      <c r="C370" s="9">
        <v>14</v>
      </c>
      <c r="D370" s="10" t="s">
        <v>1002</v>
      </c>
      <c r="E370" s="10" t="s">
        <v>1431</v>
      </c>
      <c r="F370" s="9"/>
      <c r="G370" s="9">
        <v>2</v>
      </c>
      <c r="H370" s="9">
        <v>0</v>
      </c>
      <c r="I370" s="9">
        <v>2</v>
      </c>
      <c r="J370" s="11">
        <v>0</v>
      </c>
      <c r="K370" s="24">
        <v>0.1</v>
      </c>
      <c r="L370" s="24">
        <v>0</v>
      </c>
      <c r="M370" s="24">
        <v>0</v>
      </c>
      <c r="N370" s="9">
        <v>0</v>
      </c>
      <c r="O370" s="9">
        <v>0</v>
      </c>
      <c r="P370" s="9">
        <v>0</v>
      </c>
      <c r="Q370" s="11">
        <v>0</v>
      </c>
      <c r="R370" s="10" t="s">
        <v>176</v>
      </c>
      <c r="S370" s="6"/>
      <c r="T370" s="6"/>
    </row>
    <row r="371" spans="1:20">
      <c r="A371" s="7">
        <v>46216</v>
      </c>
      <c r="B371" s="8">
        <v>46229</v>
      </c>
      <c r="C371" s="9">
        <v>14</v>
      </c>
      <c r="D371" s="10" t="s">
        <v>1002</v>
      </c>
      <c r="E371" s="10" t="s">
        <v>103</v>
      </c>
      <c r="F371" s="9"/>
      <c r="G371" s="9">
        <v>9</v>
      </c>
      <c r="H371" s="9">
        <v>0</v>
      </c>
      <c r="I371" s="9">
        <v>9</v>
      </c>
      <c r="J371" s="11">
        <v>0</v>
      </c>
      <c r="K371" s="24">
        <v>0.1</v>
      </c>
      <c r="L371" s="24">
        <v>0</v>
      </c>
      <c r="M371" s="24">
        <v>0</v>
      </c>
      <c r="N371" s="9">
        <v>0</v>
      </c>
      <c r="O371" s="9">
        <v>0</v>
      </c>
      <c r="P371" s="9">
        <v>0</v>
      </c>
      <c r="Q371" s="11">
        <v>0</v>
      </c>
      <c r="R371" s="10" t="s">
        <v>176</v>
      </c>
      <c r="S371" s="6"/>
      <c r="T371" s="6"/>
    </row>
    <row r="372" spans="1:20">
      <c r="A372" s="7">
        <v>46216</v>
      </c>
      <c r="B372" s="8">
        <v>46229</v>
      </c>
      <c r="C372" s="9">
        <v>14</v>
      </c>
      <c r="D372" s="10" t="s">
        <v>1002</v>
      </c>
      <c r="E372" s="10" t="s">
        <v>181</v>
      </c>
      <c r="F372" s="9"/>
      <c r="G372" s="9">
        <v>3</v>
      </c>
      <c r="H372" s="9">
        <v>0</v>
      </c>
      <c r="I372" s="9">
        <v>3</v>
      </c>
      <c r="J372" s="11">
        <v>0</v>
      </c>
      <c r="K372" s="24">
        <v>0.1</v>
      </c>
      <c r="L372" s="24">
        <v>0</v>
      </c>
      <c r="M372" s="24">
        <v>0</v>
      </c>
      <c r="N372" s="9">
        <v>0</v>
      </c>
      <c r="O372" s="9">
        <v>0</v>
      </c>
      <c r="P372" s="9">
        <v>0</v>
      </c>
      <c r="Q372" s="11">
        <v>0</v>
      </c>
      <c r="R372" s="10" t="s">
        <v>176</v>
      </c>
      <c r="S372" s="6"/>
      <c r="T372" s="6"/>
    </row>
    <row r="373" spans="1:20">
      <c r="A373" s="7">
        <v>46216</v>
      </c>
      <c r="B373" s="8">
        <v>46229</v>
      </c>
      <c r="C373" s="9">
        <v>14</v>
      </c>
      <c r="D373" s="10" t="s">
        <v>1002</v>
      </c>
      <c r="E373" s="10" t="s">
        <v>1889</v>
      </c>
      <c r="F373" s="9"/>
      <c r="G373" s="9">
        <v>1</v>
      </c>
      <c r="H373" s="9">
        <v>0</v>
      </c>
      <c r="I373" s="9">
        <v>1</v>
      </c>
      <c r="J373" s="11">
        <v>0</v>
      </c>
      <c r="K373" s="24">
        <v>0</v>
      </c>
      <c r="L373" s="24">
        <v>0</v>
      </c>
      <c r="M373" s="24">
        <v>0</v>
      </c>
      <c r="N373" s="9">
        <v>0</v>
      </c>
      <c r="O373" s="9">
        <v>0</v>
      </c>
      <c r="P373" s="9">
        <v>0</v>
      </c>
      <c r="Q373" s="11">
        <v>0</v>
      </c>
      <c r="R373" s="10" t="s">
        <v>176</v>
      </c>
      <c r="S373" s="6"/>
      <c r="T373" s="6"/>
    </row>
    <row r="374" spans="1:20">
      <c r="A374" s="7">
        <v>46216</v>
      </c>
      <c r="B374" s="8">
        <v>46229</v>
      </c>
      <c r="C374" s="9">
        <v>14</v>
      </c>
      <c r="D374" s="10" t="s">
        <v>1002</v>
      </c>
      <c r="E374" s="10" t="s">
        <v>1893</v>
      </c>
      <c r="F374" s="9"/>
      <c r="G374" s="9">
        <v>18</v>
      </c>
      <c r="H374" s="9">
        <v>0</v>
      </c>
      <c r="I374" s="9">
        <v>18</v>
      </c>
      <c r="J374" s="11">
        <v>0</v>
      </c>
      <c r="K374" s="24">
        <v>0</v>
      </c>
      <c r="L374" s="24">
        <v>0</v>
      </c>
      <c r="M374" s="24">
        <v>0</v>
      </c>
      <c r="N374" s="9">
        <v>0</v>
      </c>
      <c r="O374" s="9">
        <v>0</v>
      </c>
      <c r="P374" s="9">
        <v>0</v>
      </c>
      <c r="Q374" s="11">
        <v>0</v>
      </c>
      <c r="R374" s="10" t="s">
        <v>176</v>
      </c>
      <c r="S374" s="6"/>
      <c r="T374" s="6"/>
    </row>
    <row r="375" spans="1:20">
      <c r="A375" s="7">
        <v>46216</v>
      </c>
      <c r="B375" s="8">
        <v>46229</v>
      </c>
      <c r="C375" s="9">
        <v>14</v>
      </c>
      <c r="D375" s="10" t="s">
        <v>1002</v>
      </c>
      <c r="E375" s="10" t="s">
        <v>1894</v>
      </c>
      <c r="F375" s="9"/>
      <c r="G375" s="9">
        <v>6</v>
      </c>
      <c r="H375" s="9">
        <v>0</v>
      </c>
      <c r="I375" s="9">
        <v>6</v>
      </c>
      <c r="J375" s="11">
        <v>0</v>
      </c>
      <c r="K375" s="24">
        <v>0</v>
      </c>
      <c r="L375" s="24">
        <v>0</v>
      </c>
      <c r="M375" s="24">
        <v>0</v>
      </c>
      <c r="N375" s="9">
        <v>0</v>
      </c>
      <c r="O375" s="9">
        <v>0</v>
      </c>
      <c r="P375" s="9">
        <v>0</v>
      </c>
      <c r="Q375" s="11">
        <v>0</v>
      </c>
      <c r="R375" s="10" t="s">
        <v>176</v>
      </c>
      <c r="S375" s="6"/>
      <c r="T375" s="6"/>
    </row>
    <row r="376" spans="1:20">
      <c r="A376" s="7">
        <v>46216</v>
      </c>
      <c r="B376" s="8">
        <v>46229</v>
      </c>
      <c r="C376" s="9">
        <v>14</v>
      </c>
      <c r="D376" s="10" t="s">
        <v>1002</v>
      </c>
      <c r="E376" s="10" t="s">
        <v>1895</v>
      </c>
      <c r="F376" s="9"/>
      <c r="G376" s="9">
        <v>6</v>
      </c>
      <c r="H376" s="9">
        <v>0</v>
      </c>
      <c r="I376" s="9">
        <v>6</v>
      </c>
      <c r="J376" s="11">
        <v>0</v>
      </c>
      <c r="K376" s="24">
        <v>0</v>
      </c>
      <c r="L376" s="24">
        <v>0</v>
      </c>
      <c r="M376" s="24">
        <v>0</v>
      </c>
      <c r="N376" s="9">
        <v>0</v>
      </c>
      <c r="O376" s="9">
        <v>0</v>
      </c>
      <c r="P376" s="9">
        <v>0</v>
      </c>
      <c r="Q376" s="11">
        <v>0</v>
      </c>
      <c r="R376" s="10" t="s">
        <v>176</v>
      </c>
      <c r="S376" s="6"/>
      <c r="T376" s="6"/>
    </row>
    <row r="377" spans="1:20">
      <c r="A377" s="7">
        <v>46216</v>
      </c>
      <c r="B377" s="8">
        <v>46229</v>
      </c>
      <c r="C377" s="9">
        <v>14</v>
      </c>
      <c r="D377" s="10" t="s">
        <v>1002</v>
      </c>
      <c r="E377" s="10" t="s">
        <v>1896</v>
      </c>
      <c r="F377" s="9"/>
      <c r="G377" s="9">
        <v>6</v>
      </c>
      <c r="H377" s="9">
        <v>0</v>
      </c>
      <c r="I377" s="9">
        <v>6</v>
      </c>
      <c r="J377" s="11">
        <v>0</v>
      </c>
      <c r="K377" s="24">
        <v>0</v>
      </c>
      <c r="L377" s="24">
        <v>0</v>
      </c>
      <c r="M377" s="24">
        <v>0</v>
      </c>
      <c r="N377" s="9">
        <v>0</v>
      </c>
      <c r="O377" s="9">
        <v>0</v>
      </c>
      <c r="P377" s="9">
        <v>0</v>
      </c>
      <c r="Q377" s="11">
        <v>0</v>
      </c>
      <c r="R377" s="10" t="s">
        <v>176</v>
      </c>
      <c r="S377" s="6"/>
      <c r="T377" s="6"/>
    </row>
    <row r="378" spans="1:20">
      <c r="A378" s="7">
        <v>46216</v>
      </c>
      <c r="B378" s="8">
        <v>46229</v>
      </c>
      <c r="C378" s="9">
        <v>14</v>
      </c>
      <c r="D378" s="10" t="s">
        <v>1002</v>
      </c>
      <c r="E378" s="10" t="s">
        <v>1897</v>
      </c>
      <c r="F378" s="9"/>
      <c r="G378" s="9">
        <v>6</v>
      </c>
      <c r="H378" s="9">
        <v>0</v>
      </c>
      <c r="I378" s="9">
        <v>6</v>
      </c>
      <c r="J378" s="11">
        <v>0</v>
      </c>
      <c r="K378" s="24">
        <v>0</v>
      </c>
      <c r="L378" s="24">
        <v>0</v>
      </c>
      <c r="M378" s="24">
        <v>0</v>
      </c>
      <c r="N378" s="9">
        <v>0</v>
      </c>
      <c r="O378" s="9">
        <v>0</v>
      </c>
      <c r="P378" s="9">
        <v>0</v>
      </c>
      <c r="Q378" s="11">
        <v>0</v>
      </c>
      <c r="R378" s="10" t="s">
        <v>176</v>
      </c>
      <c r="S378" s="6"/>
      <c r="T378" s="6"/>
    </row>
    <row r="379" spans="1:20">
      <c r="A379" s="7">
        <v>46216</v>
      </c>
      <c r="B379" s="8">
        <v>46229</v>
      </c>
      <c r="C379" s="9">
        <v>14</v>
      </c>
      <c r="D379" s="10" t="s">
        <v>1002</v>
      </c>
      <c r="E379" s="10" t="s">
        <v>1898</v>
      </c>
      <c r="F379" s="9"/>
      <c r="G379" s="9">
        <v>6</v>
      </c>
      <c r="H379" s="9">
        <v>0</v>
      </c>
      <c r="I379" s="9">
        <v>6</v>
      </c>
      <c r="J379" s="11">
        <v>0</v>
      </c>
      <c r="K379" s="24">
        <v>0</v>
      </c>
      <c r="L379" s="24">
        <v>0</v>
      </c>
      <c r="M379" s="24">
        <v>0</v>
      </c>
      <c r="N379" s="9">
        <v>0</v>
      </c>
      <c r="O379" s="9">
        <v>0</v>
      </c>
      <c r="P379" s="9">
        <v>0</v>
      </c>
      <c r="Q379" s="11">
        <v>0</v>
      </c>
      <c r="R379" s="10" t="s">
        <v>176</v>
      </c>
      <c r="S379" s="6"/>
      <c r="T379" s="6"/>
    </row>
    <row r="380" spans="1:20">
      <c r="A380" s="7">
        <v>46216</v>
      </c>
      <c r="B380" s="8">
        <v>46229</v>
      </c>
      <c r="C380" s="9">
        <v>14</v>
      </c>
      <c r="D380" s="10" t="s">
        <v>1002</v>
      </c>
      <c r="E380" s="10" t="s">
        <v>1899</v>
      </c>
      <c r="F380" s="9"/>
      <c r="G380" s="9">
        <v>6</v>
      </c>
      <c r="H380" s="9">
        <v>0</v>
      </c>
      <c r="I380" s="9">
        <v>6</v>
      </c>
      <c r="J380" s="11">
        <v>0</v>
      </c>
      <c r="K380" s="24">
        <v>0</v>
      </c>
      <c r="L380" s="24">
        <v>0</v>
      </c>
      <c r="M380" s="24">
        <v>0</v>
      </c>
      <c r="N380" s="9">
        <v>0</v>
      </c>
      <c r="O380" s="9">
        <v>0</v>
      </c>
      <c r="P380" s="9">
        <v>0</v>
      </c>
      <c r="Q380" s="11">
        <v>0</v>
      </c>
      <c r="R380" s="10" t="s">
        <v>176</v>
      </c>
      <c r="S380" s="6"/>
      <c r="T380" s="6"/>
    </row>
    <row r="381" spans="1:20">
      <c r="A381" s="7">
        <v>46216</v>
      </c>
      <c r="B381" s="8">
        <v>46229</v>
      </c>
      <c r="C381" s="9">
        <v>14</v>
      </c>
      <c r="D381" s="10" t="s">
        <v>1002</v>
      </c>
      <c r="E381" s="10" t="s">
        <v>1900</v>
      </c>
      <c r="F381" s="9"/>
      <c r="G381" s="9">
        <v>6</v>
      </c>
      <c r="H381" s="9">
        <v>0</v>
      </c>
      <c r="I381" s="9">
        <v>6</v>
      </c>
      <c r="J381" s="11">
        <v>0</v>
      </c>
      <c r="K381" s="24">
        <v>0</v>
      </c>
      <c r="L381" s="24">
        <v>0</v>
      </c>
      <c r="M381" s="24">
        <v>0</v>
      </c>
      <c r="N381" s="9">
        <v>0</v>
      </c>
      <c r="O381" s="9">
        <v>0</v>
      </c>
      <c r="P381" s="9">
        <v>0</v>
      </c>
      <c r="Q381" s="11">
        <v>0</v>
      </c>
      <c r="R381" s="10" t="s">
        <v>176</v>
      </c>
      <c r="S381" s="6"/>
      <c r="T381" s="6"/>
    </row>
    <row r="382" spans="1:20">
      <c r="A382" s="7">
        <v>46216</v>
      </c>
      <c r="B382" s="8">
        <v>46229</v>
      </c>
      <c r="C382" s="9">
        <v>14</v>
      </c>
      <c r="D382" s="10" t="s">
        <v>1002</v>
      </c>
      <c r="E382" s="10" t="s">
        <v>1901</v>
      </c>
      <c r="F382" s="9"/>
      <c r="G382" s="9">
        <v>6</v>
      </c>
      <c r="H382" s="9">
        <v>0</v>
      </c>
      <c r="I382" s="9">
        <v>6</v>
      </c>
      <c r="J382" s="11">
        <v>0</v>
      </c>
      <c r="K382" s="24">
        <v>0</v>
      </c>
      <c r="L382" s="24">
        <v>0</v>
      </c>
      <c r="M382" s="24">
        <v>0</v>
      </c>
      <c r="N382" s="9">
        <v>0</v>
      </c>
      <c r="O382" s="9">
        <v>0</v>
      </c>
      <c r="P382" s="9">
        <v>0</v>
      </c>
      <c r="Q382" s="11">
        <v>0</v>
      </c>
      <c r="R382" s="10" t="s">
        <v>176</v>
      </c>
      <c r="S382" s="6"/>
      <c r="T382" s="6"/>
    </row>
    <row r="383" spans="1:20">
      <c r="A383" s="7">
        <v>46216</v>
      </c>
      <c r="B383" s="8">
        <v>46229</v>
      </c>
      <c r="C383" s="9">
        <v>14</v>
      </c>
      <c r="D383" s="10" t="s">
        <v>1002</v>
      </c>
      <c r="E383" s="10" t="s">
        <v>1902</v>
      </c>
      <c r="F383" s="9"/>
      <c r="G383" s="9">
        <v>6</v>
      </c>
      <c r="H383" s="9">
        <v>0</v>
      </c>
      <c r="I383" s="9">
        <v>6</v>
      </c>
      <c r="J383" s="11">
        <v>0</v>
      </c>
      <c r="K383" s="24">
        <v>0</v>
      </c>
      <c r="L383" s="24">
        <v>0</v>
      </c>
      <c r="M383" s="24">
        <v>0</v>
      </c>
      <c r="N383" s="9">
        <v>0</v>
      </c>
      <c r="O383" s="9">
        <v>0</v>
      </c>
      <c r="P383" s="9">
        <v>0</v>
      </c>
      <c r="Q383" s="11">
        <v>0</v>
      </c>
      <c r="R383" s="10" t="s">
        <v>176</v>
      </c>
      <c r="S383" s="6"/>
      <c r="T383" s="6"/>
    </row>
    <row r="384" spans="1:20">
      <c r="A384" s="7">
        <v>46216</v>
      </c>
      <c r="B384" s="8">
        <v>46229</v>
      </c>
      <c r="C384" s="9">
        <v>14</v>
      </c>
      <c r="D384" s="10" t="s">
        <v>1002</v>
      </c>
      <c r="E384" s="10" t="s">
        <v>1903</v>
      </c>
      <c r="F384" s="9"/>
      <c r="G384" s="9">
        <v>6</v>
      </c>
      <c r="H384" s="9">
        <v>0</v>
      </c>
      <c r="I384" s="9">
        <v>6</v>
      </c>
      <c r="J384" s="11">
        <v>0</v>
      </c>
      <c r="K384" s="24">
        <v>0</v>
      </c>
      <c r="L384" s="24">
        <v>0</v>
      </c>
      <c r="M384" s="24">
        <v>0</v>
      </c>
      <c r="N384" s="9">
        <v>0</v>
      </c>
      <c r="O384" s="9">
        <v>0</v>
      </c>
      <c r="P384" s="9">
        <v>0</v>
      </c>
      <c r="Q384" s="11">
        <v>0</v>
      </c>
      <c r="R384" s="10" t="s">
        <v>176</v>
      </c>
      <c r="S384" s="6"/>
      <c r="T384" s="6"/>
    </row>
    <row r="385" spans="1:20">
      <c r="A385" s="7">
        <v>46216</v>
      </c>
      <c r="B385" s="8">
        <v>46229</v>
      </c>
      <c r="C385" s="9">
        <v>14</v>
      </c>
      <c r="D385" s="10" t="s">
        <v>1002</v>
      </c>
      <c r="E385" s="10" t="s">
        <v>1904</v>
      </c>
      <c r="F385" s="9"/>
      <c r="G385" s="9">
        <v>6</v>
      </c>
      <c r="H385" s="9">
        <v>0</v>
      </c>
      <c r="I385" s="9">
        <v>6</v>
      </c>
      <c r="J385" s="11">
        <v>0</v>
      </c>
      <c r="K385" s="24">
        <v>0</v>
      </c>
      <c r="L385" s="24">
        <v>0</v>
      </c>
      <c r="M385" s="24">
        <v>0</v>
      </c>
      <c r="N385" s="9">
        <v>0</v>
      </c>
      <c r="O385" s="9">
        <v>0</v>
      </c>
      <c r="P385" s="9">
        <v>0</v>
      </c>
      <c r="Q385" s="11">
        <v>0</v>
      </c>
      <c r="R385" s="10" t="s">
        <v>176</v>
      </c>
      <c r="S385" s="6"/>
      <c r="T385" s="6"/>
    </row>
    <row r="386" spans="1:20">
      <c r="A386" s="7">
        <v>46216</v>
      </c>
      <c r="B386" s="8">
        <v>46229</v>
      </c>
      <c r="C386" s="9">
        <v>14</v>
      </c>
      <c r="D386" s="10" t="s">
        <v>1002</v>
      </c>
      <c r="E386" s="10" t="s">
        <v>1905</v>
      </c>
      <c r="F386" s="9"/>
      <c r="G386" s="9">
        <v>6</v>
      </c>
      <c r="H386" s="9">
        <v>0</v>
      </c>
      <c r="I386" s="9">
        <v>6</v>
      </c>
      <c r="J386" s="11">
        <v>0</v>
      </c>
      <c r="K386" s="24">
        <v>0</v>
      </c>
      <c r="L386" s="24">
        <v>0</v>
      </c>
      <c r="M386" s="24">
        <v>0</v>
      </c>
      <c r="N386" s="9">
        <v>0</v>
      </c>
      <c r="O386" s="9">
        <v>0</v>
      </c>
      <c r="P386" s="9">
        <v>0</v>
      </c>
      <c r="Q386" s="11">
        <v>0</v>
      </c>
      <c r="R386" s="10" t="s">
        <v>176</v>
      </c>
      <c r="S386" s="6"/>
      <c r="T386" s="6"/>
    </row>
    <row r="387" spans="1:20">
      <c r="A387" s="7">
        <v>46216</v>
      </c>
      <c r="B387" s="8">
        <v>46229</v>
      </c>
      <c r="C387" s="9">
        <v>14</v>
      </c>
      <c r="D387" s="10" t="s">
        <v>1002</v>
      </c>
      <c r="E387" s="10" t="s">
        <v>1906</v>
      </c>
      <c r="F387" s="9"/>
      <c r="G387" s="9">
        <v>2</v>
      </c>
      <c r="H387" s="9">
        <v>0</v>
      </c>
      <c r="I387" s="9">
        <v>2</v>
      </c>
      <c r="J387" s="11">
        <v>0</v>
      </c>
      <c r="K387" s="24">
        <v>0</v>
      </c>
      <c r="L387" s="24">
        <v>0</v>
      </c>
      <c r="M387" s="24">
        <v>0</v>
      </c>
      <c r="N387" s="9">
        <v>0</v>
      </c>
      <c r="O387" s="9">
        <v>0</v>
      </c>
      <c r="P387" s="9">
        <v>0</v>
      </c>
      <c r="Q387" s="11">
        <v>0</v>
      </c>
      <c r="R387" s="10" t="s">
        <v>176</v>
      </c>
      <c r="S387" s="6"/>
      <c r="T387" s="6"/>
    </row>
    <row r="388" spans="1:20">
      <c r="A388" s="7">
        <v>46216</v>
      </c>
      <c r="B388" s="8">
        <v>46229</v>
      </c>
      <c r="C388" s="9">
        <v>14</v>
      </c>
      <c r="D388" s="10" t="s">
        <v>1002</v>
      </c>
      <c r="E388" s="10" t="s">
        <v>1907</v>
      </c>
      <c r="F388" s="9"/>
      <c r="G388" s="9">
        <v>2</v>
      </c>
      <c r="H388" s="9">
        <v>1</v>
      </c>
      <c r="I388" s="9">
        <v>1</v>
      </c>
      <c r="J388" s="11">
        <v>0.5</v>
      </c>
      <c r="K388" s="24">
        <v>0</v>
      </c>
      <c r="L388" s="24">
        <v>0</v>
      </c>
      <c r="M388" s="24">
        <v>0</v>
      </c>
      <c r="N388" s="9">
        <v>1</v>
      </c>
      <c r="O388" s="9">
        <v>1</v>
      </c>
      <c r="P388" s="9">
        <v>2</v>
      </c>
      <c r="Q388" s="11">
        <v>0.5</v>
      </c>
      <c r="R388" s="10" t="s">
        <v>3698</v>
      </c>
      <c r="S388" s="6"/>
      <c r="T388" s="6"/>
    </row>
    <row r="389" spans="1:20">
      <c r="A389" s="7">
        <v>46216</v>
      </c>
      <c r="B389" s="8">
        <v>46229</v>
      </c>
      <c r="C389" s="9">
        <v>14</v>
      </c>
      <c r="D389" s="10" t="s">
        <v>1002</v>
      </c>
      <c r="E389" s="10" t="s">
        <v>186</v>
      </c>
      <c r="F389" s="9"/>
      <c r="G389" s="9">
        <v>2</v>
      </c>
      <c r="H389" s="9">
        <v>0</v>
      </c>
      <c r="I389" s="9">
        <v>2</v>
      </c>
      <c r="J389" s="11">
        <v>0</v>
      </c>
      <c r="K389" s="24">
        <v>0.1</v>
      </c>
      <c r="L389" s="24">
        <v>0</v>
      </c>
      <c r="M389" s="24">
        <v>0</v>
      </c>
      <c r="N389" s="9">
        <v>0</v>
      </c>
      <c r="O389" s="9">
        <v>0</v>
      </c>
      <c r="P389" s="9">
        <v>0</v>
      </c>
      <c r="Q389" s="11">
        <v>0</v>
      </c>
      <c r="R389" s="10" t="s">
        <v>176</v>
      </c>
      <c r="S389" s="6"/>
      <c r="T389" s="6"/>
    </row>
    <row r="390" spans="1:20">
      <c r="A390" s="7">
        <v>46216</v>
      </c>
      <c r="B390" s="8">
        <v>46229</v>
      </c>
      <c r="C390" s="9">
        <v>14</v>
      </c>
      <c r="D390" s="10" t="s">
        <v>1002</v>
      </c>
      <c r="E390" s="10" t="s">
        <v>3670</v>
      </c>
      <c r="F390" s="9"/>
      <c r="G390" s="9">
        <v>1</v>
      </c>
      <c r="H390" s="9">
        <v>0</v>
      </c>
      <c r="I390" s="9">
        <v>1</v>
      </c>
      <c r="J390" s="11">
        <v>0</v>
      </c>
      <c r="K390" s="24">
        <v>0.1</v>
      </c>
      <c r="L390" s="24">
        <v>0</v>
      </c>
      <c r="M390" s="24">
        <v>0</v>
      </c>
      <c r="N390" s="9">
        <v>0</v>
      </c>
      <c r="O390" s="9">
        <v>0</v>
      </c>
      <c r="P390" s="9">
        <v>0</v>
      </c>
      <c r="Q390" s="11">
        <v>0</v>
      </c>
      <c r="R390" s="10" t="s">
        <v>176</v>
      </c>
      <c r="S390" s="6"/>
      <c r="T390" s="6"/>
    </row>
    <row r="391" spans="1:20">
      <c r="A391" s="7">
        <v>46216</v>
      </c>
      <c r="B391" s="8">
        <v>46229</v>
      </c>
      <c r="C391" s="9">
        <v>14</v>
      </c>
      <c r="D391" s="10" t="s">
        <v>1002</v>
      </c>
      <c r="E391" s="10" t="s">
        <v>189</v>
      </c>
      <c r="F391" s="9"/>
      <c r="G391" s="9">
        <v>4</v>
      </c>
      <c r="H391" s="9">
        <v>0</v>
      </c>
      <c r="I391" s="9">
        <v>4</v>
      </c>
      <c r="J391" s="11">
        <v>0</v>
      </c>
      <c r="K391" s="24">
        <v>0.1</v>
      </c>
      <c r="L391" s="24">
        <v>0</v>
      </c>
      <c r="M391" s="24">
        <v>0</v>
      </c>
      <c r="N391" s="9">
        <v>2</v>
      </c>
      <c r="O391" s="9">
        <v>2</v>
      </c>
      <c r="P391" s="9">
        <v>1</v>
      </c>
      <c r="Q391" s="11">
        <v>0.5</v>
      </c>
      <c r="R391" s="10" t="s">
        <v>3698</v>
      </c>
      <c r="S391" s="6"/>
      <c r="T391" s="6"/>
    </row>
    <row r="392" spans="1:20">
      <c r="A392" s="7">
        <v>46216</v>
      </c>
      <c r="B392" s="8">
        <v>46229</v>
      </c>
      <c r="C392" s="9">
        <v>14</v>
      </c>
      <c r="D392" s="10" t="s">
        <v>1002</v>
      </c>
      <c r="E392" s="10" t="s">
        <v>1436</v>
      </c>
      <c r="F392" s="9"/>
      <c r="G392" s="9">
        <v>2</v>
      </c>
      <c r="H392" s="9">
        <v>0</v>
      </c>
      <c r="I392" s="9">
        <v>2</v>
      </c>
      <c r="J392" s="11">
        <v>0</v>
      </c>
      <c r="K392" s="24">
        <v>0.1</v>
      </c>
      <c r="L392" s="24">
        <v>0</v>
      </c>
      <c r="M392" s="24">
        <v>0</v>
      </c>
      <c r="N392" s="9">
        <v>1</v>
      </c>
      <c r="O392" s="9">
        <v>1</v>
      </c>
      <c r="P392" s="9">
        <v>1</v>
      </c>
      <c r="Q392" s="11">
        <v>0.5</v>
      </c>
      <c r="R392" s="10" t="s">
        <v>3698</v>
      </c>
      <c r="S392" s="6"/>
      <c r="T392" s="6"/>
    </row>
    <row r="393" spans="1:20">
      <c r="A393" s="7">
        <v>46216</v>
      </c>
      <c r="B393" s="8">
        <v>46229</v>
      </c>
      <c r="C393" s="9">
        <v>14</v>
      </c>
      <c r="D393" s="10" t="s">
        <v>1002</v>
      </c>
      <c r="E393" s="10" t="s">
        <v>3856</v>
      </c>
      <c r="F393" s="9"/>
      <c r="G393" s="9">
        <v>1</v>
      </c>
      <c r="H393" s="9">
        <v>0</v>
      </c>
      <c r="I393" s="9">
        <v>1</v>
      </c>
      <c r="J393" s="11">
        <v>0</v>
      </c>
      <c r="K393" s="24">
        <v>0</v>
      </c>
      <c r="L393" s="24">
        <v>0</v>
      </c>
      <c r="M393" s="24">
        <v>0</v>
      </c>
      <c r="N393" s="9">
        <v>0</v>
      </c>
      <c r="O393" s="9">
        <v>0</v>
      </c>
      <c r="P393" s="9">
        <v>0</v>
      </c>
      <c r="Q393" s="11">
        <v>0</v>
      </c>
      <c r="R393" s="10" t="s">
        <v>176</v>
      </c>
      <c r="S393" s="6"/>
      <c r="T393" s="6"/>
    </row>
    <row r="394" spans="1:20">
      <c r="A394" s="7">
        <v>46216</v>
      </c>
      <c r="B394" s="8">
        <v>46229</v>
      </c>
      <c r="C394" s="9">
        <v>14</v>
      </c>
      <c r="D394" s="10" t="s">
        <v>1002</v>
      </c>
      <c r="E394" s="10" t="s">
        <v>192</v>
      </c>
      <c r="F394" s="9"/>
      <c r="G394" s="9">
        <v>3</v>
      </c>
      <c r="H394" s="9">
        <v>0</v>
      </c>
      <c r="I394" s="9">
        <v>3</v>
      </c>
      <c r="J394" s="11">
        <v>0</v>
      </c>
      <c r="K394" s="24">
        <v>0.1</v>
      </c>
      <c r="L394" s="24">
        <v>0</v>
      </c>
      <c r="M394" s="24">
        <v>0</v>
      </c>
      <c r="N394" s="9">
        <v>0</v>
      </c>
      <c r="O394" s="9">
        <v>0</v>
      </c>
      <c r="P394" s="9">
        <v>0</v>
      </c>
      <c r="Q394" s="11">
        <v>0</v>
      </c>
      <c r="R394" s="10" t="s">
        <v>176</v>
      </c>
      <c r="S394" s="6"/>
      <c r="T394" s="6"/>
    </row>
    <row r="395" spans="1:20">
      <c r="A395" s="7">
        <v>46216</v>
      </c>
      <c r="B395" s="8">
        <v>46229</v>
      </c>
      <c r="C395" s="9">
        <v>14</v>
      </c>
      <c r="D395" s="10" t="s">
        <v>1002</v>
      </c>
      <c r="E395" s="10" t="s">
        <v>1106</v>
      </c>
      <c r="F395" s="9"/>
      <c r="G395" s="9">
        <v>6</v>
      </c>
      <c r="H395" s="9">
        <v>0</v>
      </c>
      <c r="I395" s="9">
        <v>6</v>
      </c>
      <c r="J395" s="11">
        <v>0</v>
      </c>
      <c r="K395" s="24">
        <v>0.1</v>
      </c>
      <c r="L395" s="24">
        <v>0</v>
      </c>
      <c r="M395" s="24">
        <v>0</v>
      </c>
      <c r="N395" s="9">
        <v>0</v>
      </c>
      <c r="O395" s="9">
        <v>0</v>
      </c>
      <c r="P395" s="9">
        <v>0</v>
      </c>
      <c r="Q395" s="11">
        <v>0</v>
      </c>
      <c r="R395" s="10" t="s">
        <v>176</v>
      </c>
      <c r="S395" s="6"/>
      <c r="T395" s="6"/>
    </row>
    <row r="396" spans="1:20">
      <c r="A396" s="7">
        <v>46216</v>
      </c>
      <c r="B396" s="8">
        <v>46229</v>
      </c>
      <c r="C396" s="9">
        <v>14</v>
      </c>
      <c r="D396" s="10" t="s">
        <v>1002</v>
      </c>
      <c r="E396" s="10" t="s">
        <v>205</v>
      </c>
      <c r="F396" s="9"/>
      <c r="G396" s="9">
        <v>1</v>
      </c>
      <c r="H396" s="9">
        <v>0</v>
      </c>
      <c r="I396" s="9">
        <v>1</v>
      </c>
      <c r="J396" s="11">
        <v>0</v>
      </c>
      <c r="K396" s="24">
        <v>0.1</v>
      </c>
      <c r="L396" s="24">
        <v>0</v>
      </c>
      <c r="M396" s="24">
        <v>0</v>
      </c>
      <c r="N396" s="9">
        <v>0</v>
      </c>
      <c r="O396" s="9">
        <v>0</v>
      </c>
      <c r="P396" s="9">
        <v>0</v>
      </c>
      <c r="Q396" s="11">
        <v>0</v>
      </c>
      <c r="R396" s="10" t="s">
        <v>176</v>
      </c>
      <c r="S396" s="6"/>
      <c r="T396" s="6"/>
    </row>
    <row r="397" spans="1:20">
      <c r="A397" s="7">
        <v>46216</v>
      </c>
      <c r="B397" s="8">
        <v>46229</v>
      </c>
      <c r="C397" s="9">
        <v>14</v>
      </c>
      <c r="D397" s="10" t="s">
        <v>1002</v>
      </c>
      <c r="E397" s="10" t="s">
        <v>206</v>
      </c>
      <c r="F397" s="9"/>
      <c r="G397" s="9">
        <v>2</v>
      </c>
      <c r="H397" s="9">
        <v>0</v>
      </c>
      <c r="I397" s="9">
        <v>2</v>
      </c>
      <c r="J397" s="11">
        <v>0</v>
      </c>
      <c r="K397" s="24">
        <v>0.1</v>
      </c>
      <c r="L397" s="24">
        <v>0</v>
      </c>
      <c r="M397" s="24">
        <v>0</v>
      </c>
      <c r="N397" s="9">
        <v>0</v>
      </c>
      <c r="O397" s="9">
        <v>0</v>
      </c>
      <c r="P397" s="9">
        <v>0</v>
      </c>
      <c r="Q397" s="11">
        <v>0</v>
      </c>
      <c r="R397" s="10" t="s">
        <v>176</v>
      </c>
      <c r="S397" s="6"/>
      <c r="T397" s="6"/>
    </row>
    <row r="398" spans="1:20">
      <c r="A398" s="7">
        <v>46216</v>
      </c>
      <c r="B398" s="8">
        <v>46229</v>
      </c>
      <c r="C398" s="9">
        <v>14</v>
      </c>
      <c r="D398" s="10" t="s">
        <v>1002</v>
      </c>
      <c r="E398" s="10" t="s">
        <v>207</v>
      </c>
      <c r="F398" s="9"/>
      <c r="G398" s="9">
        <v>4</v>
      </c>
      <c r="H398" s="9">
        <v>0</v>
      </c>
      <c r="I398" s="9">
        <v>4</v>
      </c>
      <c r="J398" s="11">
        <v>0</v>
      </c>
      <c r="K398" s="24">
        <v>0.1</v>
      </c>
      <c r="L398" s="24">
        <v>0</v>
      </c>
      <c r="M398" s="24">
        <v>0</v>
      </c>
      <c r="N398" s="9">
        <v>0</v>
      </c>
      <c r="O398" s="9">
        <v>0</v>
      </c>
      <c r="P398" s="9">
        <v>0</v>
      </c>
      <c r="Q398" s="11">
        <v>0</v>
      </c>
      <c r="R398" s="10" t="s">
        <v>176</v>
      </c>
      <c r="S398" s="6"/>
      <c r="T398" s="6"/>
    </row>
    <row r="399" spans="1:20">
      <c r="A399" s="7">
        <v>46216</v>
      </c>
      <c r="B399" s="8">
        <v>46229</v>
      </c>
      <c r="C399" s="9">
        <v>14</v>
      </c>
      <c r="D399" s="10" t="s">
        <v>1002</v>
      </c>
      <c r="E399" s="10" t="s">
        <v>91</v>
      </c>
      <c r="F399" s="9"/>
      <c r="G399" s="9">
        <v>2</v>
      </c>
      <c r="H399" s="9">
        <v>0</v>
      </c>
      <c r="I399" s="9">
        <v>2</v>
      </c>
      <c r="J399" s="11">
        <v>0</v>
      </c>
      <c r="K399" s="24">
        <v>0.1</v>
      </c>
      <c r="L399" s="24">
        <v>0</v>
      </c>
      <c r="M399" s="24">
        <v>0</v>
      </c>
      <c r="N399" s="9">
        <v>0</v>
      </c>
      <c r="O399" s="9">
        <v>0</v>
      </c>
      <c r="P399" s="9">
        <v>0</v>
      </c>
      <c r="Q399" s="11">
        <v>0</v>
      </c>
      <c r="R399" s="10" t="s">
        <v>176</v>
      </c>
      <c r="S399" s="6"/>
      <c r="T399" s="6"/>
    </row>
    <row r="400" spans="1:20">
      <c r="A400" s="7">
        <v>46216</v>
      </c>
      <c r="B400" s="8">
        <v>46229</v>
      </c>
      <c r="C400" s="9">
        <v>14</v>
      </c>
      <c r="D400" s="10" t="s">
        <v>1002</v>
      </c>
      <c r="E400" s="10" t="s">
        <v>92</v>
      </c>
      <c r="F400" s="9"/>
      <c r="G400" s="9">
        <v>4</v>
      </c>
      <c r="H400" s="9">
        <v>0</v>
      </c>
      <c r="I400" s="9">
        <v>4</v>
      </c>
      <c r="J400" s="11">
        <v>0</v>
      </c>
      <c r="K400" s="24">
        <v>0.1</v>
      </c>
      <c r="L400" s="24">
        <v>0</v>
      </c>
      <c r="M400" s="24">
        <v>0</v>
      </c>
      <c r="N400" s="9">
        <v>0</v>
      </c>
      <c r="O400" s="9">
        <v>0</v>
      </c>
      <c r="P400" s="9">
        <v>0</v>
      </c>
      <c r="Q400" s="11">
        <v>0</v>
      </c>
      <c r="R400" s="10" t="s">
        <v>176</v>
      </c>
      <c r="S400" s="6"/>
      <c r="T400" s="6"/>
    </row>
    <row r="401" spans="1:20">
      <c r="A401" s="7">
        <v>46216</v>
      </c>
      <c r="B401" s="8">
        <v>46229</v>
      </c>
      <c r="C401" s="9">
        <v>14</v>
      </c>
      <c r="D401" s="10" t="s">
        <v>1002</v>
      </c>
      <c r="E401" s="10" t="s">
        <v>1923</v>
      </c>
      <c r="F401" s="9"/>
      <c r="G401" s="9">
        <v>1</v>
      </c>
      <c r="H401" s="9">
        <v>0</v>
      </c>
      <c r="I401" s="9">
        <v>1</v>
      </c>
      <c r="J401" s="11">
        <v>0</v>
      </c>
      <c r="K401" s="24">
        <v>0</v>
      </c>
      <c r="L401" s="24">
        <v>0</v>
      </c>
      <c r="M401" s="24">
        <v>0</v>
      </c>
      <c r="N401" s="9">
        <v>0</v>
      </c>
      <c r="O401" s="9">
        <v>0</v>
      </c>
      <c r="P401" s="9">
        <v>0</v>
      </c>
      <c r="Q401" s="11">
        <v>0</v>
      </c>
      <c r="R401" s="10" t="s">
        <v>176</v>
      </c>
      <c r="S401" s="6"/>
      <c r="T401" s="6"/>
    </row>
    <row r="402" spans="1:20">
      <c r="A402" s="7">
        <v>46216</v>
      </c>
      <c r="B402" s="8">
        <v>46229</v>
      </c>
      <c r="C402" s="9">
        <v>14</v>
      </c>
      <c r="D402" s="10" t="s">
        <v>1002</v>
      </c>
      <c r="E402" s="10" t="s">
        <v>1924</v>
      </c>
      <c r="F402" s="9"/>
      <c r="G402" s="9">
        <v>1</v>
      </c>
      <c r="H402" s="9">
        <v>0</v>
      </c>
      <c r="I402" s="9">
        <v>1</v>
      </c>
      <c r="J402" s="11">
        <v>0</v>
      </c>
      <c r="K402" s="24">
        <v>0</v>
      </c>
      <c r="L402" s="24">
        <v>0</v>
      </c>
      <c r="M402" s="24">
        <v>0</v>
      </c>
      <c r="N402" s="9">
        <v>0</v>
      </c>
      <c r="O402" s="9">
        <v>0</v>
      </c>
      <c r="P402" s="9">
        <v>0</v>
      </c>
      <c r="Q402" s="11">
        <v>0</v>
      </c>
      <c r="R402" s="10" t="s">
        <v>176</v>
      </c>
      <c r="S402" s="6"/>
      <c r="T402" s="6"/>
    </row>
    <row r="403" spans="1:20">
      <c r="A403" s="7">
        <v>46216</v>
      </c>
      <c r="B403" s="8">
        <v>46229</v>
      </c>
      <c r="C403" s="9">
        <v>14</v>
      </c>
      <c r="D403" s="10" t="s">
        <v>1002</v>
      </c>
      <c r="E403" s="10" t="s">
        <v>1925</v>
      </c>
      <c r="F403" s="9"/>
      <c r="G403" s="9">
        <v>1</v>
      </c>
      <c r="H403" s="9">
        <v>0</v>
      </c>
      <c r="I403" s="9">
        <v>1</v>
      </c>
      <c r="J403" s="11">
        <v>0</v>
      </c>
      <c r="K403" s="24">
        <v>0</v>
      </c>
      <c r="L403" s="24">
        <v>0</v>
      </c>
      <c r="M403" s="24">
        <v>0</v>
      </c>
      <c r="N403" s="9">
        <v>0</v>
      </c>
      <c r="O403" s="9">
        <v>0</v>
      </c>
      <c r="P403" s="9">
        <v>0</v>
      </c>
      <c r="Q403" s="11">
        <v>0</v>
      </c>
      <c r="R403" s="10" t="s">
        <v>176</v>
      </c>
      <c r="S403" s="6"/>
      <c r="T403" s="6"/>
    </row>
    <row r="404" spans="1:20">
      <c r="A404" s="7">
        <v>46216</v>
      </c>
      <c r="B404" s="8">
        <v>46229</v>
      </c>
      <c r="C404" s="9">
        <v>14</v>
      </c>
      <c r="D404" s="10" t="s">
        <v>1002</v>
      </c>
      <c r="E404" s="10" t="s">
        <v>1926</v>
      </c>
      <c r="F404" s="9"/>
      <c r="G404" s="9">
        <v>1</v>
      </c>
      <c r="H404" s="9">
        <v>0</v>
      </c>
      <c r="I404" s="9">
        <v>1</v>
      </c>
      <c r="J404" s="11">
        <v>0</v>
      </c>
      <c r="K404" s="24">
        <v>0</v>
      </c>
      <c r="L404" s="24">
        <v>0</v>
      </c>
      <c r="M404" s="24">
        <v>0</v>
      </c>
      <c r="N404" s="9">
        <v>0</v>
      </c>
      <c r="O404" s="9">
        <v>0</v>
      </c>
      <c r="P404" s="9">
        <v>0</v>
      </c>
      <c r="Q404" s="11">
        <v>0</v>
      </c>
      <c r="R404" s="10" t="s">
        <v>176</v>
      </c>
      <c r="S404" s="6"/>
      <c r="T404" s="6"/>
    </row>
    <row r="405" spans="1:20">
      <c r="A405" s="7">
        <v>46216</v>
      </c>
      <c r="B405" s="8">
        <v>46229</v>
      </c>
      <c r="C405" s="9">
        <v>14</v>
      </c>
      <c r="D405" s="10" t="s">
        <v>1002</v>
      </c>
      <c r="E405" s="10" t="s">
        <v>1927</v>
      </c>
      <c r="F405" s="9"/>
      <c r="G405" s="9">
        <v>1</v>
      </c>
      <c r="H405" s="9">
        <v>0</v>
      </c>
      <c r="I405" s="9">
        <v>1</v>
      </c>
      <c r="J405" s="11">
        <v>0</v>
      </c>
      <c r="K405" s="24">
        <v>0</v>
      </c>
      <c r="L405" s="24">
        <v>0</v>
      </c>
      <c r="M405" s="24">
        <v>0</v>
      </c>
      <c r="N405" s="9">
        <v>0</v>
      </c>
      <c r="O405" s="9">
        <v>0</v>
      </c>
      <c r="P405" s="9">
        <v>0</v>
      </c>
      <c r="Q405" s="11">
        <v>0</v>
      </c>
      <c r="R405" s="10" t="s">
        <v>176</v>
      </c>
      <c r="S405" s="6"/>
      <c r="T405" s="6"/>
    </row>
    <row r="406" spans="1:20">
      <c r="A406" s="7">
        <v>46216</v>
      </c>
      <c r="B406" s="8">
        <v>46229</v>
      </c>
      <c r="C406" s="9">
        <v>14</v>
      </c>
      <c r="D406" s="10" t="s">
        <v>1002</v>
      </c>
      <c r="E406" s="10" t="s">
        <v>1928</v>
      </c>
      <c r="F406" s="9"/>
      <c r="G406" s="9">
        <v>1</v>
      </c>
      <c r="H406" s="9">
        <v>0</v>
      </c>
      <c r="I406" s="9">
        <v>1</v>
      </c>
      <c r="J406" s="11">
        <v>0</v>
      </c>
      <c r="K406" s="24">
        <v>0</v>
      </c>
      <c r="L406" s="24">
        <v>0</v>
      </c>
      <c r="M406" s="24">
        <v>0</v>
      </c>
      <c r="N406" s="9">
        <v>0</v>
      </c>
      <c r="O406" s="9">
        <v>0</v>
      </c>
      <c r="P406" s="9">
        <v>0</v>
      </c>
      <c r="Q406" s="11">
        <v>0</v>
      </c>
      <c r="R406" s="10" t="s">
        <v>176</v>
      </c>
      <c r="S406" s="6"/>
      <c r="T406" s="6"/>
    </row>
    <row r="407" spans="1:20">
      <c r="A407" s="7">
        <v>46216</v>
      </c>
      <c r="B407" s="8">
        <v>46229</v>
      </c>
      <c r="C407" s="9">
        <v>14</v>
      </c>
      <c r="D407" s="10" t="s">
        <v>1002</v>
      </c>
      <c r="E407" s="10" t="s">
        <v>1929</v>
      </c>
      <c r="F407" s="9"/>
      <c r="G407" s="9">
        <v>1</v>
      </c>
      <c r="H407" s="9">
        <v>0</v>
      </c>
      <c r="I407" s="9">
        <v>1</v>
      </c>
      <c r="J407" s="11">
        <v>0</v>
      </c>
      <c r="K407" s="24">
        <v>0</v>
      </c>
      <c r="L407" s="24">
        <v>0</v>
      </c>
      <c r="M407" s="24">
        <v>0</v>
      </c>
      <c r="N407" s="9">
        <v>0</v>
      </c>
      <c r="O407" s="9">
        <v>0</v>
      </c>
      <c r="P407" s="9">
        <v>0</v>
      </c>
      <c r="Q407" s="11">
        <v>0</v>
      </c>
      <c r="R407" s="10" t="s">
        <v>176</v>
      </c>
      <c r="S407" s="6"/>
      <c r="T407" s="6"/>
    </row>
    <row r="408" spans="1:20">
      <c r="A408" s="7">
        <v>46216</v>
      </c>
      <c r="B408" s="8">
        <v>46229</v>
      </c>
      <c r="C408" s="9">
        <v>14</v>
      </c>
      <c r="D408" s="10" t="s">
        <v>1002</v>
      </c>
      <c r="E408" s="10" t="s">
        <v>1930</v>
      </c>
      <c r="F408" s="9"/>
      <c r="G408" s="9">
        <v>1</v>
      </c>
      <c r="H408" s="9">
        <v>0</v>
      </c>
      <c r="I408" s="9">
        <v>1</v>
      </c>
      <c r="J408" s="11">
        <v>0</v>
      </c>
      <c r="K408" s="24">
        <v>0</v>
      </c>
      <c r="L408" s="24">
        <v>0</v>
      </c>
      <c r="M408" s="24">
        <v>0</v>
      </c>
      <c r="N408" s="9">
        <v>0</v>
      </c>
      <c r="O408" s="9">
        <v>0</v>
      </c>
      <c r="P408" s="9">
        <v>0</v>
      </c>
      <c r="Q408" s="11">
        <v>0</v>
      </c>
      <c r="R408" s="10" t="s">
        <v>176</v>
      </c>
      <c r="S408" s="6"/>
      <c r="T408" s="6"/>
    </row>
    <row r="409" spans="1:20">
      <c r="A409" s="7">
        <v>46216</v>
      </c>
      <c r="B409" s="8">
        <v>46229</v>
      </c>
      <c r="C409" s="9">
        <v>14</v>
      </c>
      <c r="D409" s="10" t="s">
        <v>1002</v>
      </c>
      <c r="E409" s="10" t="s">
        <v>1931</v>
      </c>
      <c r="F409" s="9"/>
      <c r="G409" s="9">
        <v>1</v>
      </c>
      <c r="H409" s="9">
        <v>0</v>
      </c>
      <c r="I409" s="9">
        <v>1</v>
      </c>
      <c r="J409" s="11">
        <v>0</v>
      </c>
      <c r="K409" s="24">
        <v>0</v>
      </c>
      <c r="L409" s="24">
        <v>0</v>
      </c>
      <c r="M409" s="24">
        <v>0</v>
      </c>
      <c r="N409" s="9">
        <v>0</v>
      </c>
      <c r="O409" s="9">
        <v>0</v>
      </c>
      <c r="P409" s="9">
        <v>0</v>
      </c>
      <c r="Q409" s="11">
        <v>0</v>
      </c>
      <c r="R409" s="10" t="s">
        <v>176</v>
      </c>
      <c r="S409" s="6"/>
      <c r="T409" s="6"/>
    </row>
    <row r="410" spans="1:20">
      <c r="A410" s="7">
        <v>46216</v>
      </c>
      <c r="B410" s="8">
        <v>46229</v>
      </c>
      <c r="C410" s="9">
        <v>14</v>
      </c>
      <c r="D410" s="10" t="s">
        <v>1002</v>
      </c>
      <c r="E410" s="10" t="s">
        <v>1932</v>
      </c>
      <c r="F410" s="9"/>
      <c r="G410" s="9">
        <v>1</v>
      </c>
      <c r="H410" s="9">
        <v>0</v>
      </c>
      <c r="I410" s="9">
        <v>1</v>
      </c>
      <c r="J410" s="11">
        <v>0</v>
      </c>
      <c r="K410" s="24">
        <v>0</v>
      </c>
      <c r="L410" s="24">
        <v>0</v>
      </c>
      <c r="M410" s="24">
        <v>0</v>
      </c>
      <c r="N410" s="9">
        <v>0</v>
      </c>
      <c r="O410" s="9">
        <v>0</v>
      </c>
      <c r="P410" s="9">
        <v>0</v>
      </c>
      <c r="Q410" s="11">
        <v>0</v>
      </c>
      <c r="R410" s="10" t="s">
        <v>176</v>
      </c>
      <c r="S410" s="6"/>
      <c r="T410" s="6"/>
    </row>
    <row r="411" spans="1:20">
      <c r="A411" s="7">
        <v>46216</v>
      </c>
      <c r="B411" s="8">
        <v>46229</v>
      </c>
      <c r="C411" s="9">
        <v>14</v>
      </c>
      <c r="D411" s="10" t="s">
        <v>1002</v>
      </c>
      <c r="E411" s="10" t="s">
        <v>1933</v>
      </c>
      <c r="F411" s="9"/>
      <c r="G411" s="9">
        <v>1</v>
      </c>
      <c r="H411" s="9">
        <v>0</v>
      </c>
      <c r="I411" s="9">
        <v>1</v>
      </c>
      <c r="J411" s="11">
        <v>0</v>
      </c>
      <c r="K411" s="24">
        <v>0</v>
      </c>
      <c r="L411" s="24">
        <v>0</v>
      </c>
      <c r="M411" s="24">
        <v>0</v>
      </c>
      <c r="N411" s="9">
        <v>0</v>
      </c>
      <c r="O411" s="9">
        <v>0</v>
      </c>
      <c r="P411" s="9">
        <v>0</v>
      </c>
      <c r="Q411" s="11">
        <v>0</v>
      </c>
      <c r="R411" s="10" t="s">
        <v>176</v>
      </c>
      <c r="S411" s="6"/>
      <c r="T411" s="6"/>
    </row>
    <row r="412" spans="1:20">
      <c r="A412" s="7">
        <v>46216</v>
      </c>
      <c r="B412" s="8">
        <v>46229</v>
      </c>
      <c r="C412" s="9">
        <v>14</v>
      </c>
      <c r="D412" s="10" t="s">
        <v>1002</v>
      </c>
      <c r="E412" s="10" t="s">
        <v>1934</v>
      </c>
      <c r="F412" s="9"/>
      <c r="G412" s="9">
        <v>1</v>
      </c>
      <c r="H412" s="9">
        <v>0</v>
      </c>
      <c r="I412" s="9">
        <v>1</v>
      </c>
      <c r="J412" s="11">
        <v>0</v>
      </c>
      <c r="K412" s="24">
        <v>0</v>
      </c>
      <c r="L412" s="24">
        <v>0</v>
      </c>
      <c r="M412" s="24">
        <v>0</v>
      </c>
      <c r="N412" s="9">
        <v>0</v>
      </c>
      <c r="O412" s="9">
        <v>0</v>
      </c>
      <c r="P412" s="9">
        <v>0</v>
      </c>
      <c r="Q412" s="11">
        <v>0</v>
      </c>
      <c r="R412" s="10" t="s">
        <v>176</v>
      </c>
      <c r="S412" s="6"/>
      <c r="T412" s="6"/>
    </row>
    <row r="413" spans="1:20">
      <c r="A413" s="7">
        <v>46216</v>
      </c>
      <c r="B413" s="8">
        <v>46229</v>
      </c>
      <c r="C413" s="9">
        <v>14</v>
      </c>
      <c r="D413" s="10" t="s">
        <v>1002</v>
      </c>
      <c r="E413" s="10" t="s">
        <v>1935</v>
      </c>
      <c r="F413" s="9"/>
      <c r="G413" s="9">
        <v>1</v>
      </c>
      <c r="H413" s="9">
        <v>0</v>
      </c>
      <c r="I413" s="9">
        <v>1</v>
      </c>
      <c r="J413" s="11">
        <v>0</v>
      </c>
      <c r="K413" s="24">
        <v>0</v>
      </c>
      <c r="L413" s="24">
        <v>0</v>
      </c>
      <c r="M413" s="24">
        <v>0</v>
      </c>
      <c r="N413" s="9">
        <v>0</v>
      </c>
      <c r="O413" s="9">
        <v>0</v>
      </c>
      <c r="P413" s="9">
        <v>0</v>
      </c>
      <c r="Q413" s="11">
        <v>0</v>
      </c>
      <c r="R413" s="10" t="s">
        <v>176</v>
      </c>
      <c r="S413" s="6"/>
      <c r="T413" s="6"/>
    </row>
    <row r="414" spans="1:20">
      <c r="A414" s="7">
        <v>46216</v>
      </c>
      <c r="B414" s="8">
        <v>46229</v>
      </c>
      <c r="C414" s="9">
        <v>14</v>
      </c>
      <c r="D414" s="10" t="s">
        <v>1002</v>
      </c>
      <c r="E414" s="10" t="s">
        <v>1936</v>
      </c>
      <c r="F414" s="9"/>
      <c r="G414" s="9">
        <v>1</v>
      </c>
      <c r="H414" s="9">
        <v>0</v>
      </c>
      <c r="I414" s="9">
        <v>1</v>
      </c>
      <c r="J414" s="11">
        <v>0</v>
      </c>
      <c r="K414" s="24">
        <v>0</v>
      </c>
      <c r="L414" s="24">
        <v>0</v>
      </c>
      <c r="M414" s="24">
        <v>0</v>
      </c>
      <c r="N414" s="9">
        <v>0</v>
      </c>
      <c r="O414" s="9">
        <v>0</v>
      </c>
      <c r="P414" s="9">
        <v>0</v>
      </c>
      <c r="Q414" s="11">
        <v>0</v>
      </c>
      <c r="R414" s="10" t="s">
        <v>176</v>
      </c>
      <c r="S414" s="6"/>
      <c r="T414" s="6"/>
    </row>
    <row r="415" spans="1:20">
      <c r="A415" s="7">
        <v>46216</v>
      </c>
      <c r="B415" s="8">
        <v>46229</v>
      </c>
      <c r="C415" s="9">
        <v>14</v>
      </c>
      <c r="D415" s="10" t="s">
        <v>1002</v>
      </c>
      <c r="E415" s="10" t="s">
        <v>1937</v>
      </c>
      <c r="F415" s="9"/>
      <c r="G415" s="9">
        <v>1</v>
      </c>
      <c r="H415" s="9">
        <v>0</v>
      </c>
      <c r="I415" s="9">
        <v>1</v>
      </c>
      <c r="J415" s="11">
        <v>0</v>
      </c>
      <c r="K415" s="24">
        <v>0</v>
      </c>
      <c r="L415" s="24">
        <v>0</v>
      </c>
      <c r="M415" s="24">
        <v>0</v>
      </c>
      <c r="N415" s="9">
        <v>0</v>
      </c>
      <c r="O415" s="9">
        <v>0</v>
      </c>
      <c r="P415" s="9">
        <v>0</v>
      </c>
      <c r="Q415" s="11">
        <v>0</v>
      </c>
      <c r="R415" s="10" t="s">
        <v>176</v>
      </c>
      <c r="S415" s="6"/>
      <c r="T415" s="6"/>
    </row>
    <row r="416" spans="1:20">
      <c r="A416" s="7">
        <v>46216</v>
      </c>
      <c r="B416" s="8">
        <v>46229</v>
      </c>
      <c r="C416" s="9">
        <v>14</v>
      </c>
      <c r="D416" s="10" t="s">
        <v>1002</v>
      </c>
      <c r="E416" s="10" t="s">
        <v>216</v>
      </c>
      <c r="F416" s="9"/>
      <c r="G416" s="9">
        <v>1</v>
      </c>
      <c r="H416" s="9">
        <v>0</v>
      </c>
      <c r="I416" s="9">
        <v>1</v>
      </c>
      <c r="J416" s="11">
        <v>0</v>
      </c>
      <c r="K416" s="24">
        <v>0.1</v>
      </c>
      <c r="L416" s="24">
        <v>0</v>
      </c>
      <c r="M416" s="24">
        <v>0</v>
      </c>
      <c r="N416" s="9">
        <v>0</v>
      </c>
      <c r="O416" s="9">
        <v>0</v>
      </c>
      <c r="P416" s="9">
        <v>0</v>
      </c>
      <c r="Q416" s="11">
        <v>0</v>
      </c>
      <c r="R416" s="10" t="s">
        <v>176</v>
      </c>
      <c r="S416" s="6"/>
      <c r="T416" s="6"/>
    </row>
    <row r="417" spans="1:20">
      <c r="A417" s="7">
        <v>46216</v>
      </c>
      <c r="B417" s="8">
        <v>46229</v>
      </c>
      <c r="C417" s="9">
        <v>14</v>
      </c>
      <c r="D417" s="10" t="s">
        <v>1002</v>
      </c>
      <c r="E417" s="10" t="s">
        <v>217</v>
      </c>
      <c r="F417" s="9"/>
      <c r="G417" s="9">
        <v>3</v>
      </c>
      <c r="H417" s="9">
        <v>0</v>
      </c>
      <c r="I417" s="9">
        <v>3</v>
      </c>
      <c r="J417" s="11">
        <v>0</v>
      </c>
      <c r="K417" s="24">
        <v>0.1</v>
      </c>
      <c r="L417" s="24">
        <v>0</v>
      </c>
      <c r="M417" s="24">
        <v>0</v>
      </c>
      <c r="N417" s="9">
        <v>0</v>
      </c>
      <c r="O417" s="9">
        <v>0</v>
      </c>
      <c r="P417" s="9">
        <v>0</v>
      </c>
      <c r="Q417" s="11">
        <v>0</v>
      </c>
      <c r="R417" s="10" t="s">
        <v>176</v>
      </c>
      <c r="S417" s="6"/>
      <c r="T417" s="6"/>
    </row>
    <row r="418" spans="1:20">
      <c r="A418" s="7">
        <v>46216</v>
      </c>
      <c r="B418" s="8">
        <v>46229</v>
      </c>
      <c r="C418" s="9">
        <v>14</v>
      </c>
      <c r="D418" s="10" t="s">
        <v>1002</v>
      </c>
      <c r="E418" s="10" t="s">
        <v>1938</v>
      </c>
      <c r="F418" s="9"/>
      <c r="G418" s="9">
        <v>2</v>
      </c>
      <c r="H418" s="9">
        <v>0</v>
      </c>
      <c r="I418" s="9">
        <v>2</v>
      </c>
      <c r="J418" s="11">
        <v>0</v>
      </c>
      <c r="K418" s="24">
        <v>0</v>
      </c>
      <c r="L418" s="24">
        <v>0</v>
      </c>
      <c r="M418" s="24">
        <v>0</v>
      </c>
      <c r="N418" s="9">
        <v>0</v>
      </c>
      <c r="O418" s="9">
        <v>0</v>
      </c>
      <c r="P418" s="9">
        <v>0</v>
      </c>
      <c r="Q418" s="11">
        <v>0</v>
      </c>
      <c r="R418" s="10" t="s">
        <v>176</v>
      </c>
      <c r="S418" s="6"/>
      <c r="T418" s="6"/>
    </row>
    <row r="419" spans="1:20">
      <c r="A419" s="7">
        <v>46216</v>
      </c>
      <c r="B419" s="8">
        <v>46229</v>
      </c>
      <c r="C419" s="9">
        <v>14</v>
      </c>
      <c r="D419" s="10" t="s">
        <v>1002</v>
      </c>
      <c r="E419" s="10" t="s">
        <v>1649</v>
      </c>
      <c r="F419" s="9"/>
      <c r="G419" s="9">
        <v>1</v>
      </c>
      <c r="H419" s="9">
        <v>0</v>
      </c>
      <c r="I419" s="9">
        <v>1</v>
      </c>
      <c r="J419" s="11">
        <v>0</v>
      </c>
      <c r="K419" s="24">
        <v>0.1</v>
      </c>
      <c r="L419" s="24">
        <v>0</v>
      </c>
      <c r="M419" s="24">
        <v>0</v>
      </c>
      <c r="N419" s="9">
        <v>0</v>
      </c>
      <c r="O419" s="9">
        <v>0</v>
      </c>
      <c r="P419" s="9">
        <v>0</v>
      </c>
      <c r="Q419" s="11">
        <v>0</v>
      </c>
      <c r="R419" s="10" t="s">
        <v>176</v>
      </c>
      <c r="S419" s="6"/>
      <c r="T419" s="6"/>
    </row>
    <row r="420" spans="1:20">
      <c r="A420" s="7">
        <v>46216</v>
      </c>
      <c r="B420" s="8">
        <v>46229</v>
      </c>
      <c r="C420" s="9">
        <v>14</v>
      </c>
      <c r="D420" s="10" t="s">
        <v>1002</v>
      </c>
      <c r="E420" s="10" t="s">
        <v>1441</v>
      </c>
      <c r="F420" s="9"/>
      <c r="G420" s="9">
        <v>2</v>
      </c>
      <c r="H420" s="9">
        <v>0</v>
      </c>
      <c r="I420" s="9">
        <v>2</v>
      </c>
      <c r="J420" s="11">
        <v>0</v>
      </c>
      <c r="K420" s="24">
        <v>0.1</v>
      </c>
      <c r="L420" s="24">
        <v>0</v>
      </c>
      <c r="M420" s="24">
        <v>0</v>
      </c>
      <c r="N420" s="9">
        <v>0</v>
      </c>
      <c r="O420" s="9">
        <v>0</v>
      </c>
      <c r="P420" s="9">
        <v>0</v>
      </c>
      <c r="Q420" s="11">
        <v>0</v>
      </c>
      <c r="R420" s="10" t="s">
        <v>176</v>
      </c>
      <c r="S420" s="6"/>
      <c r="T420" s="6"/>
    </row>
    <row r="421" spans="1:20">
      <c r="A421" s="7">
        <v>46216</v>
      </c>
      <c r="B421" s="8">
        <v>46229</v>
      </c>
      <c r="C421" s="9">
        <v>14</v>
      </c>
      <c r="D421" s="10" t="s">
        <v>1002</v>
      </c>
      <c r="E421" s="10" t="s">
        <v>1108</v>
      </c>
      <c r="F421" s="9"/>
      <c r="G421" s="9">
        <v>6</v>
      </c>
      <c r="H421" s="9">
        <v>0</v>
      </c>
      <c r="I421" s="9">
        <v>6</v>
      </c>
      <c r="J421" s="11">
        <v>0</v>
      </c>
      <c r="K421" s="24">
        <v>0.1</v>
      </c>
      <c r="L421" s="24">
        <v>0</v>
      </c>
      <c r="M421" s="24">
        <v>0</v>
      </c>
      <c r="N421" s="9">
        <v>0</v>
      </c>
      <c r="O421" s="9">
        <v>0</v>
      </c>
      <c r="P421" s="9">
        <v>0</v>
      </c>
      <c r="Q421" s="11">
        <v>0</v>
      </c>
      <c r="R421" s="10" t="s">
        <v>176</v>
      </c>
      <c r="S421" s="6"/>
      <c r="T421" s="6"/>
    </row>
    <row r="422" spans="1:20">
      <c r="A422" s="7">
        <v>46216</v>
      </c>
      <c r="B422" s="8">
        <v>46229</v>
      </c>
      <c r="C422" s="9">
        <v>14</v>
      </c>
      <c r="D422" s="10" t="s">
        <v>1002</v>
      </c>
      <c r="E422" s="10" t="s">
        <v>1070</v>
      </c>
      <c r="F422" s="9"/>
      <c r="G422" s="9">
        <v>7</v>
      </c>
      <c r="H422" s="9">
        <v>0</v>
      </c>
      <c r="I422" s="9">
        <v>7</v>
      </c>
      <c r="J422" s="11">
        <v>0</v>
      </c>
      <c r="K422" s="24">
        <v>0.1</v>
      </c>
      <c r="L422" s="24">
        <v>0</v>
      </c>
      <c r="M422" s="24">
        <v>0</v>
      </c>
      <c r="N422" s="9">
        <v>0</v>
      </c>
      <c r="O422" s="9">
        <v>0</v>
      </c>
      <c r="P422" s="9">
        <v>0</v>
      </c>
      <c r="Q422" s="11">
        <v>0</v>
      </c>
      <c r="R422" s="10" t="s">
        <v>176</v>
      </c>
      <c r="S422" s="6"/>
      <c r="T422" s="6"/>
    </row>
    <row r="423" spans="1:20">
      <c r="A423" s="7">
        <v>46216</v>
      </c>
      <c r="B423" s="8">
        <v>46229</v>
      </c>
      <c r="C423" s="9">
        <v>14</v>
      </c>
      <c r="D423" s="10" t="s">
        <v>1002</v>
      </c>
      <c r="E423" s="10" t="s">
        <v>1940</v>
      </c>
      <c r="F423" s="9"/>
      <c r="G423" s="9">
        <v>3</v>
      </c>
      <c r="H423" s="9">
        <v>0</v>
      </c>
      <c r="I423" s="9">
        <v>3</v>
      </c>
      <c r="J423" s="11">
        <v>0</v>
      </c>
      <c r="K423" s="24">
        <v>0.1</v>
      </c>
      <c r="L423" s="24">
        <v>0</v>
      </c>
      <c r="M423" s="24">
        <v>0</v>
      </c>
      <c r="N423" s="9">
        <v>0</v>
      </c>
      <c r="O423" s="9">
        <v>0</v>
      </c>
      <c r="P423" s="9">
        <v>0</v>
      </c>
      <c r="Q423" s="11">
        <v>0</v>
      </c>
      <c r="R423" s="10" t="s">
        <v>176</v>
      </c>
      <c r="S423" s="6"/>
      <c r="T423" s="6"/>
    </row>
    <row r="424" spans="1:20">
      <c r="A424" s="7">
        <v>46216</v>
      </c>
      <c r="B424" s="8">
        <v>46229</v>
      </c>
      <c r="C424" s="9">
        <v>14</v>
      </c>
      <c r="D424" s="10" t="s">
        <v>1002</v>
      </c>
      <c r="E424" s="10" t="s">
        <v>1041</v>
      </c>
      <c r="F424" s="9"/>
      <c r="G424" s="9">
        <v>9</v>
      </c>
      <c r="H424" s="9">
        <v>0</v>
      </c>
      <c r="I424" s="9">
        <v>9</v>
      </c>
      <c r="J424" s="11">
        <v>0</v>
      </c>
      <c r="K424" s="24">
        <v>0.1</v>
      </c>
      <c r="L424" s="24">
        <v>0</v>
      </c>
      <c r="M424" s="24">
        <v>0</v>
      </c>
      <c r="N424" s="9">
        <v>0</v>
      </c>
      <c r="O424" s="9">
        <v>0</v>
      </c>
      <c r="P424" s="9">
        <v>0</v>
      </c>
      <c r="Q424" s="11">
        <v>0</v>
      </c>
      <c r="R424" s="10" t="s">
        <v>176</v>
      </c>
      <c r="S424" s="6"/>
      <c r="T424" s="6"/>
    </row>
    <row r="425" spans="1:20">
      <c r="A425" s="7">
        <v>46216</v>
      </c>
      <c r="B425" s="8">
        <v>46229</v>
      </c>
      <c r="C425" s="9">
        <v>14</v>
      </c>
      <c r="D425" s="10" t="s">
        <v>1002</v>
      </c>
      <c r="E425" s="10" t="s">
        <v>1307</v>
      </c>
      <c r="F425" s="9"/>
      <c r="G425" s="9">
        <v>3</v>
      </c>
      <c r="H425" s="9">
        <v>0</v>
      </c>
      <c r="I425" s="9">
        <v>3</v>
      </c>
      <c r="J425" s="11">
        <v>0</v>
      </c>
      <c r="K425" s="24">
        <v>0.1</v>
      </c>
      <c r="L425" s="24">
        <v>0</v>
      </c>
      <c r="M425" s="24">
        <v>0</v>
      </c>
      <c r="N425" s="9">
        <v>0</v>
      </c>
      <c r="O425" s="9">
        <v>0</v>
      </c>
      <c r="P425" s="9">
        <v>0</v>
      </c>
      <c r="Q425" s="11">
        <v>0</v>
      </c>
      <c r="R425" s="10" t="s">
        <v>176</v>
      </c>
      <c r="S425" s="6"/>
      <c r="T425" s="6"/>
    </row>
    <row r="426" spans="1:20">
      <c r="A426" s="7">
        <v>46216</v>
      </c>
      <c r="B426" s="8">
        <v>46229</v>
      </c>
      <c r="C426" s="9">
        <v>14</v>
      </c>
      <c r="D426" s="10" t="s">
        <v>1002</v>
      </c>
      <c r="E426" s="10" t="s">
        <v>221</v>
      </c>
      <c r="F426" s="9"/>
      <c r="G426" s="9">
        <v>3</v>
      </c>
      <c r="H426" s="9">
        <v>0</v>
      </c>
      <c r="I426" s="9">
        <v>3</v>
      </c>
      <c r="J426" s="11">
        <v>0</v>
      </c>
      <c r="K426" s="24">
        <v>1</v>
      </c>
      <c r="L426" s="24">
        <v>0</v>
      </c>
      <c r="M426" s="24">
        <v>0</v>
      </c>
      <c r="N426" s="9">
        <v>0</v>
      </c>
      <c r="O426" s="9">
        <v>0</v>
      </c>
      <c r="P426" s="9">
        <v>0</v>
      </c>
      <c r="Q426" s="11">
        <v>0</v>
      </c>
      <c r="R426" s="10" t="s">
        <v>176</v>
      </c>
      <c r="S426" s="6"/>
      <c r="T426" s="6"/>
    </row>
    <row r="427" spans="1:20">
      <c r="A427" s="7">
        <v>46216</v>
      </c>
      <c r="B427" s="8">
        <v>46229</v>
      </c>
      <c r="C427" s="9">
        <v>14</v>
      </c>
      <c r="D427" s="10" t="s">
        <v>1002</v>
      </c>
      <c r="E427" s="10" t="s">
        <v>228</v>
      </c>
      <c r="F427" s="9"/>
      <c r="G427" s="9">
        <v>8</v>
      </c>
      <c r="H427" s="9">
        <v>0</v>
      </c>
      <c r="I427" s="9">
        <v>8</v>
      </c>
      <c r="J427" s="11">
        <v>0</v>
      </c>
      <c r="K427" s="24">
        <v>0.1</v>
      </c>
      <c r="L427" s="24">
        <v>0</v>
      </c>
      <c r="M427" s="24">
        <v>0</v>
      </c>
      <c r="N427" s="9">
        <v>0</v>
      </c>
      <c r="O427" s="9">
        <v>0</v>
      </c>
      <c r="P427" s="9">
        <v>0</v>
      </c>
      <c r="Q427" s="11">
        <v>0</v>
      </c>
      <c r="R427" s="10" t="s">
        <v>176</v>
      </c>
      <c r="S427" s="6"/>
      <c r="T427" s="6"/>
    </row>
    <row r="428" spans="1:20">
      <c r="A428" s="7">
        <v>46216</v>
      </c>
      <c r="B428" s="8">
        <v>46229</v>
      </c>
      <c r="C428" s="9">
        <v>14</v>
      </c>
      <c r="D428" s="10" t="s">
        <v>1002</v>
      </c>
      <c r="E428" s="10" t="s">
        <v>1957</v>
      </c>
      <c r="F428" s="9"/>
      <c r="G428" s="9">
        <v>1</v>
      </c>
      <c r="H428" s="9">
        <v>0</v>
      </c>
      <c r="I428" s="9">
        <v>1</v>
      </c>
      <c r="J428" s="11">
        <v>0</v>
      </c>
      <c r="K428" s="24">
        <v>0</v>
      </c>
      <c r="L428" s="24">
        <v>0</v>
      </c>
      <c r="M428" s="24">
        <v>0</v>
      </c>
      <c r="N428" s="9">
        <v>0</v>
      </c>
      <c r="O428" s="9">
        <v>0</v>
      </c>
      <c r="P428" s="9">
        <v>0</v>
      </c>
      <c r="Q428" s="11">
        <v>0</v>
      </c>
      <c r="R428" s="10" t="s">
        <v>176</v>
      </c>
      <c r="S428" s="6"/>
      <c r="T428" s="6"/>
    </row>
    <row r="429" spans="1:20">
      <c r="A429" s="7">
        <v>46216</v>
      </c>
      <c r="B429" s="8">
        <v>46229</v>
      </c>
      <c r="C429" s="9">
        <v>14</v>
      </c>
      <c r="D429" s="10" t="s">
        <v>1002</v>
      </c>
      <c r="E429" s="10" t="s">
        <v>1958</v>
      </c>
      <c r="F429" s="9"/>
      <c r="G429" s="9">
        <v>1</v>
      </c>
      <c r="H429" s="9">
        <v>0</v>
      </c>
      <c r="I429" s="9">
        <v>1</v>
      </c>
      <c r="J429" s="11">
        <v>0</v>
      </c>
      <c r="K429" s="24">
        <v>0</v>
      </c>
      <c r="L429" s="24">
        <v>0</v>
      </c>
      <c r="M429" s="24">
        <v>0</v>
      </c>
      <c r="N429" s="9">
        <v>0</v>
      </c>
      <c r="O429" s="9">
        <v>0</v>
      </c>
      <c r="P429" s="9">
        <v>0</v>
      </c>
      <c r="Q429" s="11">
        <v>0</v>
      </c>
      <c r="R429" s="10" t="s">
        <v>176</v>
      </c>
      <c r="S429" s="6"/>
      <c r="T429" s="6"/>
    </row>
    <row r="430" spans="1:20">
      <c r="A430" s="7">
        <v>46216</v>
      </c>
      <c r="B430" s="8">
        <v>46229</v>
      </c>
      <c r="C430" s="9">
        <v>14</v>
      </c>
      <c r="D430" s="10" t="s">
        <v>1002</v>
      </c>
      <c r="E430" s="10" t="s">
        <v>229</v>
      </c>
      <c r="F430" s="9"/>
      <c r="G430" s="9">
        <v>1</v>
      </c>
      <c r="H430" s="9">
        <v>0</v>
      </c>
      <c r="I430" s="9">
        <v>1</v>
      </c>
      <c r="J430" s="11">
        <v>0</v>
      </c>
      <c r="K430" s="24">
        <v>0.1</v>
      </c>
      <c r="L430" s="24">
        <v>0</v>
      </c>
      <c r="M430" s="24">
        <v>0</v>
      </c>
      <c r="N430" s="9">
        <v>0</v>
      </c>
      <c r="O430" s="9">
        <v>0</v>
      </c>
      <c r="P430" s="9">
        <v>0</v>
      </c>
      <c r="Q430" s="11">
        <v>0</v>
      </c>
      <c r="R430" s="10" t="s">
        <v>176</v>
      </c>
      <c r="S430" s="6"/>
      <c r="T430" s="6"/>
    </row>
    <row r="431" spans="1:20">
      <c r="A431" s="7">
        <v>46216</v>
      </c>
      <c r="B431" s="8">
        <v>46229</v>
      </c>
      <c r="C431" s="9">
        <v>14</v>
      </c>
      <c r="D431" s="10" t="s">
        <v>1002</v>
      </c>
      <c r="E431" s="10" t="s">
        <v>1959</v>
      </c>
      <c r="F431" s="9"/>
      <c r="G431" s="9">
        <v>2</v>
      </c>
      <c r="H431" s="9">
        <v>0</v>
      </c>
      <c r="I431" s="9">
        <v>2</v>
      </c>
      <c r="J431" s="11">
        <v>0</v>
      </c>
      <c r="K431" s="24">
        <v>0</v>
      </c>
      <c r="L431" s="24">
        <v>0</v>
      </c>
      <c r="M431" s="24">
        <v>0</v>
      </c>
      <c r="N431" s="9">
        <v>0</v>
      </c>
      <c r="O431" s="9">
        <v>0</v>
      </c>
      <c r="P431" s="9">
        <v>0</v>
      </c>
      <c r="Q431" s="11">
        <v>0</v>
      </c>
      <c r="R431" s="10" t="s">
        <v>176</v>
      </c>
      <c r="S431" s="6"/>
      <c r="T431" s="6"/>
    </row>
    <row r="432" spans="1:20">
      <c r="A432" s="7">
        <v>46216</v>
      </c>
      <c r="B432" s="8">
        <v>46229</v>
      </c>
      <c r="C432" s="9">
        <v>14</v>
      </c>
      <c r="D432" s="10" t="s">
        <v>1002</v>
      </c>
      <c r="E432" s="10" t="s">
        <v>1443</v>
      </c>
      <c r="F432" s="9"/>
      <c r="G432" s="9">
        <v>2</v>
      </c>
      <c r="H432" s="9">
        <v>0</v>
      </c>
      <c r="I432" s="9">
        <v>2</v>
      </c>
      <c r="J432" s="11">
        <v>0</v>
      </c>
      <c r="K432" s="24">
        <v>0.1</v>
      </c>
      <c r="L432" s="24">
        <v>0</v>
      </c>
      <c r="M432" s="24">
        <v>0</v>
      </c>
      <c r="N432" s="9">
        <v>0</v>
      </c>
      <c r="O432" s="9">
        <v>0</v>
      </c>
      <c r="P432" s="9">
        <v>0</v>
      </c>
      <c r="Q432" s="11">
        <v>0</v>
      </c>
      <c r="R432" s="10" t="s">
        <v>176</v>
      </c>
      <c r="S432" s="6"/>
      <c r="T432" s="6"/>
    </row>
    <row r="433" spans="1:20">
      <c r="A433" s="7">
        <v>46216</v>
      </c>
      <c r="B433" s="8">
        <v>46229</v>
      </c>
      <c r="C433" s="9">
        <v>14</v>
      </c>
      <c r="D433" s="10" t="s">
        <v>1002</v>
      </c>
      <c r="E433" s="10" t="s">
        <v>1960</v>
      </c>
      <c r="F433" s="9"/>
      <c r="G433" s="9">
        <v>4</v>
      </c>
      <c r="H433" s="9">
        <v>0</v>
      </c>
      <c r="I433" s="9">
        <v>4</v>
      </c>
      <c r="J433" s="11">
        <v>0</v>
      </c>
      <c r="K433" s="24">
        <v>0</v>
      </c>
      <c r="L433" s="24">
        <v>0</v>
      </c>
      <c r="M433" s="24">
        <v>0</v>
      </c>
      <c r="N433" s="9">
        <v>0</v>
      </c>
      <c r="O433" s="9">
        <v>0</v>
      </c>
      <c r="P433" s="9">
        <v>0</v>
      </c>
      <c r="Q433" s="11">
        <v>0</v>
      </c>
      <c r="R433" s="10" t="s">
        <v>176</v>
      </c>
      <c r="S433" s="6"/>
      <c r="T433" s="6"/>
    </row>
    <row r="434" spans="1:20">
      <c r="A434" s="7">
        <v>46216</v>
      </c>
      <c r="B434" s="8">
        <v>46229</v>
      </c>
      <c r="C434" s="9">
        <v>14</v>
      </c>
      <c r="D434" s="10" t="s">
        <v>1002</v>
      </c>
      <c r="E434" s="10" t="s">
        <v>233</v>
      </c>
      <c r="F434" s="9"/>
      <c r="G434" s="9">
        <v>4</v>
      </c>
      <c r="H434" s="9">
        <v>0</v>
      </c>
      <c r="I434" s="9">
        <v>4</v>
      </c>
      <c r="J434" s="11">
        <v>0</v>
      </c>
      <c r="K434" s="24">
        <v>0.1</v>
      </c>
      <c r="L434" s="24">
        <v>0</v>
      </c>
      <c r="M434" s="24">
        <v>0</v>
      </c>
      <c r="N434" s="9">
        <v>0</v>
      </c>
      <c r="O434" s="9">
        <v>0</v>
      </c>
      <c r="P434" s="9">
        <v>0</v>
      </c>
      <c r="Q434" s="11">
        <v>0</v>
      </c>
      <c r="R434" s="10" t="s">
        <v>176</v>
      </c>
      <c r="S434" s="6"/>
      <c r="T434" s="6"/>
    </row>
    <row r="435" spans="1:20">
      <c r="A435" s="7">
        <v>46216</v>
      </c>
      <c r="B435" s="8">
        <v>46229</v>
      </c>
      <c r="C435" s="9">
        <v>14</v>
      </c>
      <c r="D435" s="10" t="s">
        <v>1002</v>
      </c>
      <c r="E435" s="10" t="s">
        <v>1652</v>
      </c>
      <c r="F435" s="9"/>
      <c r="G435" s="9">
        <v>1</v>
      </c>
      <c r="H435" s="9">
        <v>0</v>
      </c>
      <c r="I435" s="9">
        <v>1</v>
      </c>
      <c r="J435" s="11">
        <v>0</v>
      </c>
      <c r="K435" s="24">
        <v>0.1</v>
      </c>
      <c r="L435" s="24">
        <v>0</v>
      </c>
      <c r="M435" s="24">
        <v>0</v>
      </c>
      <c r="N435" s="9">
        <v>0</v>
      </c>
      <c r="O435" s="9">
        <v>0</v>
      </c>
      <c r="P435" s="9">
        <v>0</v>
      </c>
      <c r="Q435" s="11">
        <v>0</v>
      </c>
      <c r="R435" s="10" t="s">
        <v>176</v>
      </c>
      <c r="S435" s="6"/>
      <c r="T435" s="6"/>
    </row>
    <row r="436" spans="1:20">
      <c r="A436" s="7">
        <v>46216</v>
      </c>
      <c r="B436" s="8">
        <v>46229</v>
      </c>
      <c r="C436" s="9">
        <v>14</v>
      </c>
      <c r="D436" s="10" t="s">
        <v>1002</v>
      </c>
      <c r="E436" s="10" t="s">
        <v>78</v>
      </c>
      <c r="F436" s="9"/>
      <c r="G436" s="9">
        <v>3</v>
      </c>
      <c r="H436" s="9">
        <v>0</v>
      </c>
      <c r="I436" s="9">
        <v>3</v>
      </c>
      <c r="J436" s="11">
        <v>0</v>
      </c>
      <c r="K436" s="24">
        <v>0.1</v>
      </c>
      <c r="L436" s="24">
        <v>0</v>
      </c>
      <c r="M436" s="24">
        <v>0</v>
      </c>
      <c r="N436" s="9">
        <v>0</v>
      </c>
      <c r="O436" s="9">
        <v>0</v>
      </c>
      <c r="P436" s="9">
        <v>0</v>
      </c>
      <c r="Q436" s="11">
        <v>0</v>
      </c>
      <c r="R436" s="10" t="s">
        <v>176</v>
      </c>
      <c r="S436" s="6"/>
      <c r="T436" s="6"/>
    </row>
    <row r="437" spans="1:20">
      <c r="A437" s="7">
        <v>46216</v>
      </c>
      <c r="B437" s="8">
        <v>46229</v>
      </c>
      <c r="C437" s="9">
        <v>14</v>
      </c>
      <c r="D437" s="10" t="s">
        <v>1002</v>
      </c>
      <c r="E437" s="10" t="s">
        <v>234</v>
      </c>
      <c r="F437" s="9"/>
      <c r="G437" s="9">
        <v>2</v>
      </c>
      <c r="H437" s="9">
        <v>0</v>
      </c>
      <c r="I437" s="9">
        <v>2</v>
      </c>
      <c r="J437" s="11">
        <v>0</v>
      </c>
      <c r="K437" s="24">
        <v>0.1</v>
      </c>
      <c r="L437" s="24">
        <v>0</v>
      </c>
      <c r="M437" s="24">
        <v>0</v>
      </c>
      <c r="N437" s="9">
        <v>0</v>
      </c>
      <c r="O437" s="9">
        <v>0</v>
      </c>
      <c r="P437" s="9">
        <v>0</v>
      </c>
      <c r="Q437" s="11">
        <v>0</v>
      </c>
      <c r="R437" s="10" t="s">
        <v>176</v>
      </c>
      <c r="S437" s="6"/>
      <c r="T437" s="6"/>
    </row>
    <row r="438" spans="1:20">
      <c r="A438" s="7">
        <v>46216</v>
      </c>
      <c r="B438" s="8">
        <v>46229</v>
      </c>
      <c r="C438" s="9">
        <v>14</v>
      </c>
      <c r="D438" s="10" t="s">
        <v>1002</v>
      </c>
      <c r="E438" s="10" t="s">
        <v>235</v>
      </c>
      <c r="F438" s="9"/>
      <c r="G438" s="9">
        <v>3</v>
      </c>
      <c r="H438" s="9">
        <v>0</v>
      </c>
      <c r="I438" s="9">
        <v>3</v>
      </c>
      <c r="J438" s="11">
        <v>0</v>
      </c>
      <c r="K438" s="24">
        <v>0.1</v>
      </c>
      <c r="L438" s="24">
        <v>0</v>
      </c>
      <c r="M438" s="24">
        <v>0</v>
      </c>
      <c r="N438" s="9">
        <v>0</v>
      </c>
      <c r="O438" s="9">
        <v>0</v>
      </c>
      <c r="P438" s="9">
        <v>0</v>
      </c>
      <c r="Q438" s="11">
        <v>0</v>
      </c>
      <c r="R438" s="10" t="s">
        <v>176</v>
      </c>
      <c r="S438" s="6"/>
      <c r="T438" s="6"/>
    </row>
    <row r="439" spans="1:20">
      <c r="A439" s="7">
        <v>46216</v>
      </c>
      <c r="B439" s="8">
        <v>46229</v>
      </c>
      <c r="C439" s="9">
        <v>14</v>
      </c>
      <c r="D439" s="10" t="s">
        <v>1002</v>
      </c>
      <c r="E439" s="10" t="s">
        <v>1654</v>
      </c>
      <c r="F439" s="9"/>
      <c r="G439" s="9">
        <v>1</v>
      </c>
      <c r="H439" s="9">
        <v>0</v>
      </c>
      <c r="I439" s="9">
        <v>1</v>
      </c>
      <c r="J439" s="11">
        <v>0</v>
      </c>
      <c r="K439" s="24">
        <v>0.1</v>
      </c>
      <c r="L439" s="24">
        <v>0</v>
      </c>
      <c r="M439" s="24">
        <v>0</v>
      </c>
      <c r="N439" s="9">
        <v>0</v>
      </c>
      <c r="O439" s="9">
        <v>0</v>
      </c>
      <c r="P439" s="9">
        <v>0</v>
      </c>
      <c r="Q439" s="11">
        <v>0</v>
      </c>
      <c r="R439" s="10" t="s">
        <v>176</v>
      </c>
      <c r="S439" s="6"/>
      <c r="T439" s="6"/>
    </row>
    <row r="440" spans="1:20">
      <c r="A440" s="7">
        <v>46216</v>
      </c>
      <c r="B440" s="8">
        <v>46229</v>
      </c>
      <c r="C440" s="9">
        <v>14</v>
      </c>
      <c r="D440" s="10" t="s">
        <v>1002</v>
      </c>
      <c r="E440" s="10" t="s">
        <v>237</v>
      </c>
      <c r="F440" s="9"/>
      <c r="G440" s="9">
        <v>1</v>
      </c>
      <c r="H440" s="9">
        <v>0</v>
      </c>
      <c r="I440" s="9">
        <v>1</v>
      </c>
      <c r="J440" s="11">
        <v>0</v>
      </c>
      <c r="K440" s="24">
        <v>0</v>
      </c>
      <c r="L440" s="24">
        <v>0</v>
      </c>
      <c r="M440" s="24">
        <v>0</v>
      </c>
      <c r="N440" s="9">
        <v>0</v>
      </c>
      <c r="O440" s="9">
        <v>0</v>
      </c>
      <c r="P440" s="9">
        <v>0</v>
      </c>
      <c r="Q440" s="11">
        <v>0</v>
      </c>
      <c r="R440" s="10" t="s">
        <v>176</v>
      </c>
      <c r="S440" s="6"/>
      <c r="T440" s="6"/>
    </row>
    <row r="441" spans="1:20">
      <c r="A441" s="7">
        <v>46216</v>
      </c>
      <c r="B441" s="8">
        <v>46229</v>
      </c>
      <c r="C441" s="9">
        <v>14</v>
      </c>
      <c r="D441" s="10" t="s">
        <v>1002</v>
      </c>
      <c r="E441" s="10" t="s">
        <v>248</v>
      </c>
      <c r="F441" s="9"/>
      <c r="G441" s="9">
        <v>6</v>
      </c>
      <c r="H441" s="9">
        <v>0</v>
      </c>
      <c r="I441" s="9">
        <v>6</v>
      </c>
      <c r="J441" s="11">
        <v>0</v>
      </c>
      <c r="K441" s="24">
        <v>0.1</v>
      </c>
      <c r="L441" s="24">
        <v>0</v>
      </c>
      <c r="M441" s="24">
        <v>0</v>
      </c>
      <c r="N441" s="9">
        <v>1</v>
      </c>
      <c r="O441" s="9">
        <v>1</v>
      </c>
      <c r="P441" s="9">
        <v>1</v>
      </c>
      <c r="Q441" s="11">
        <v>0.16666666666666699</v>
      </c>
      <c r="R441" s="10" t="s">
        <v>3075</v>
      </c>
      <c r="S441" s="6"/>
      <c r="T441" s="6"/>
    </row>
    <row r="442" spans="1:20">
      <c r="A442" s="7">
        <v>46216</v>
      </c>
      <c r="B442" s="8">
        <v>46229</v>
      </c>
      <c r="C442" s="9">
        <v>14</v>
      </c>
      <c r="D442" s="10" t="s">
        <v>1002</v>
      </c>
      <c r="E442" s="10" t="s">
        <v>1975</v>
      </c>
      <c r="F442" s="9"/>
      <c r="G442" s="9">
        <v>6</v>
      </c>
      <c r="H442" s="9">
        <v>0</v>
      </c>
      <c r="I442" s="9">
        <v>6</v>
      </c>
      <c r="J442" s="11">
        <v>0</v>
      </c>
      <c r="K442" s="24">
        <v>0</v>
      </c>
      <c r="L442" s="24">
        <v>0</v>
      </c>
      <c r="M442" s="24">
        <v>0</v>
      </c>
      <c r="N442" s="9">
        <v>0</v>
      </c>
      <c r="O442" s="9">
        <v>0</v>
      </c>
      <c r="P442" s="9">
        <v>0</v>
      </c>
      <c r="Q442" s="11">
        <v>0</v>
      </c>
      <c r="R442" s="10" t="s">
        <v>176</v>
      </c>
      <c r="S442" s="6"/>
      <c r="T442" s="6"/>
    </row>
    <row r="443" spans="1:20">
      <c r="A443" s="7">
        <v>46216</v>
      </c>
      <c r="B443" s="8">
        <v>46229</v>
      </c>
      <c r="C443" s="9">
        <v>14</v>
      </c>
      <c r="D443" s="10" t="s">
        <v>1002</v>
      </c>
      <c r="E443" s="10" t="s">
        <v>249</v>
      </c>
      <c r="F443" s="9"/>
      <c r="G443" s="9">
        <v>2</v>
      </c>
      <c r="H443" s="9">
        <v>0</v>
      </c>
      <c r="I443" s="9">
        <v>2</v>
      </c>
      <c r="J443" s="11">
        <v>0</v>
      </c>
      <c r="K443" s="24">
        <v>0.1</v>
      </c>
      <c r="L443" s="24">
        <v>0</v>
      </c>
      <c r="M443" s="24">
        <v>0</v>
      </c>
      <c r="N443" s="9">
        <v>0</v>
      </c>
      <c r="O443" s="9">
        <v>0</v>
      </c>
      <c r="P443" s="9">
        <v>0</v>
      </c>
      <c r="Q443" s="11">
        <v>0</v>
      </c>
      <c r="R443" s="10" t="s">
        <v>176</v>
      </c>
      <c r="S443" s="6"/>
      <c r="T443" s="6"/>
    </row>
    <row r="444" spans="1:20">
      <c r="A444" s="7">
        <v>46216</v>
      </c>
      <c r="B444" s="8">
        <v>46229</v>
      </c>
      <c r="C444" s="9">
        <v>14</v>
      </c>
      <c r="D444" s="10" t="s">
        <v>1002</v>
      </c>
      <c r="E444" s="10" t="s">
        <v>1072</v>
      </c>
      <c r="F444" s="9"/>
      <c r="G444" s="9">
        <v>7</v>
      </c>
      <c r="H444" s="9">
        <v>0</v>
      </c>
      <c r="I444" s="9">
        <v>7</v>
      </c>
      <c r="J444" s="11">
        <v>0</v>
      </c>
      <c r="K444" s="24">
        <v>0.1</v>
      </c>
      <c r="L444" s="24">
        <v>0</v>
      </c>
      <c r="M444" s="24">
        <v>0</v>
      </c>
      <c r="N444" s="9">
        <v>0</v>
      </c>
      <c r="O444" s="9">
        <v>0</v>
      </c>
      <c r="P444" s="9">
        <v>0</v>
      </c>
      <c r="Q444" s="11">
        <v>0</v>
      </c>
      <c r="R444" s="10" t="s">
        <v>176</v>
      </c>
      <c r="S444" s="6"/>
      <c r="T444" s="6"/>
    </row>
    <row r="445" spans="1:20">
      <c r="A445" s="7">
        <v>46216</v>
      </c>
      <c r="B445" s="8">
        <v>46229</v>
      </c>
      <c r="C445" s="9">
        <v>14</v>
      </c>
      <c r="D445" s="10" t="s">
        <v>1002</v>
      </c>
      <c r="E445" s="10" t="s">
        <v>1656</v>
      </c>
      <c r="F445" s="9"/>
      <c r="G445" s="9">
        <v>1</v>
      </c>
      <c r="H445" s="9">
        <v>0</v>
      </c>
      <c r="I445" s="9">
        <v>1</v>
      </c>
      <c r="J445" s="11">
        <v>0</v>
      </c>
      <c r="K445" s="24">
        <v>0.1</v>
      </c>
      <c r="L445" s="24">
        <v>0</v>
      </c>
      <c r="M445" s="24">
        <v>0</v>
      </c>
      <c r="N445" s="9">
        <v>0</v>
      </c>
      <c r="O445" s="9">
        <v>0</v>
      </c>
      <c r="P445" s="9">
        <v>0</v>
      </c>
      <c r="Q445" s="11">
        <v>0</v>
      </c>
      <c r="R445" s="10" t="s">
        <v>176</v>
      </c>
      <c r="S445" s="6"/>
      <c r="T445" s="6"/>
    </row>
    <row r="446" spans="1:20">
      <c r="A446" s="7">
        <v>46216</v>
      </c>
      <c r="B446" s="8">
        <v>46229</v>
      </c>
      <c r="C446" s="9">
        <v>14</v>
      </c>
      <c r="D446" s="10" t="s">
        <v>1002</v>
      </c>
      <c r="E446" s="10" t="s">
        <v>250</v>
      </c>
      <c r="F446" s="9"/>
      <c r="G446" s="9">
        <v>10</v>
      </c>
      <c r="H446" s="9">
        <v>0</v>
      </c>
      <c r="I446" s="9">
        <v>10</v>
      </c>
      <c r="J446" s="11">
        <v>0</v>
      </c>
      <c r="K446" s="24">
        <v>0.1</v>
      </c>
      <c r="L446" s="24">
        <v>0</v>
      </c>
      <c r="M446" s="24">
        <v>0</v>
      </c>
      <c r="N446" s="9">
        <v>0</v>
      </c>
      <c r="O446" s="9">
        <v>0</v>
      </c>
      <c r="P446" s="9">
        <v>0</v>
      </c>
      <c r="Q446" s="11">
        <v>0</v>
      </c>
      <c r="R446" s="10" t="s">
        <v>176</v>
      </c>
      <c r="S446" s="6"/>
      <c r="T446" s="6"/>
    </row>
    <row r="447" spans="1:20">
      <c r="A447" s="7">
        <v>46216</v>
      </c>
      <c r="B447" s="8">
        <v>46229</v>
      </c>
      <c r="C447" s="9">
        <v>14</v>
      </c>
      <c r="D447" s="10" t="s">
        <v>1002</v>
      </c>
      <c r="E447" s="10" t="s">
        <v>1658</v>
      </c>
      <c r="F447" s="9"/>
      <c r="G447" s="9">
        <v>1</v>
      </c>
      <c r="H447" s="9">
        <v>0</v>
      </c>
      <c r="I447" s="9">
        <v>1</v>
      </c>
      <c r="J447" s="11">
        <v>0</v>
      </c>
      <c r="K447" s="24">
        <v>0.1</v>
      </c>
      <c r="L447" s="24">
        <v>0</v>
      </c>
      <c r="M447" s="24">
        <v>0</v>
      </c>
      <c r="N447" s="9">
        <v>0</v>
      </c>
      <c r="O447" s="9">
        <v>0</v>
      </c>
      <c r="P447" s="9">
        <v>0</v>
      </c>
      <c r="Q447" s="11">
        <v>0</v>
      </c>
      <c r="R447" s="10" t="s">
        <v>176</v>
      </c>
      <c r="S447" s="6"/>
      <c r="T447" s="6"/>
    </row>
    <row r="448" spans="1:20">
      <c r="A448" s="7">
        <v>46216</v>
      </c>
      <c r="B448" s="8">
        <v>46229</v>
      </c>
      <c r="C448" s="9">
        <v>14</v>
      </c>
      <c r="D448" s="10" t="s">
        <v>1002</v>
      </c>
      <c r="E448" s="10" t="s">
        <v>1660</v>
      </c>
      <c r="F448" s="9"/>
      <c r="G448" s="9">
        <v>1</v>
      </c>
      <c r="H448" s="9">
        <v>0</v>
      </c>
      <c r="I448" s="9">
        <v>1</v>
      </c>
      <c r="J448" s="11">
        <v>0</v>
      </c>
      <c r="K448" s="24">
        <v>0.1</v>
      </c>
      <c r="L448" s="24">
        <v>0</v>
      </c>
      <c r="M448" s="24">
        <v>0</v>
      </c>
      <c r="N448" s="9">
        <v>0</v>
      </c>
      <c r="O448" s="9">
        <v>0</v>
      </c>
      <c r="P448" s="9">
        <v>0</v>
      </c>
      <c r="Q448" s="11">
        <v>0</v>
      </c>
      <c r="R448" s="10" t="s">
        <v>176</v>
      </c>
      <c r="S448" s="6"/>
      <c r="T448" s="6"/>
    </row>
    <row r="449" spans="1:20">
      <c r="A449" s="7">
        <v>46216</v>
      </c>
      <c r="B449" s="8">
        <v>46229</v>
      </c>
      <c r="C449" s="9">
        <v>14</v>
      </c>
      <c r="D449" s="10" t="s">
        <v>1002</v>
      </c>
      <c r="E449" s="10" t="s">
        <v>252</v>
      </c>
      <c r="F449" s="9"/>
      <c r="G449" s="9">
        <v>4</v>
      </c>
      <c r="H449" s="9">
        <v>0</v>
      </c>
      <c r="I449" s="9">
        <v>4</v>
      </c>
      <c r="J449" s="11">
        <v>0</v>
      </c>
      <c r="K449" s="24">
        <v>0.1</v>
      </c>
      <c r="L449" s="24">
        <v>0</v>
      </c>
      <c r="M449" s="24">
        <v>0</v>
      </c>
      <c r="N449" s="9">
        <v>0</v>
      </c>
      <c r="O449" s="9">
        <v>0</v>
      </c>
      <c r="P449" s="9">
        <v>0</v>
      </c>
      <c r="Q449" s="11">
        <v>0</v>
      </c>
      <c r="R449" s="10" t="s">
        <v>176</v>
      </c>
      <c r="S449" s="6"/>
      <c r="T449" s="6"/>
    </row>
    <row r="450" spans="1:20">
      <c r="A450" s="7">
        <v>46216</v>
      </c>
      <c r="B450" s="8">
        <v>46229</v>
      </c>
      <c r="C450" s="9">
        <v>14</v>
      </c>
      <c r="D450" s="10" t="s">
        <v>1002</v>
      </c>
      <c r="E450" s="10" t="s">
        <v>253</v>
      </c>
      <c r="F450" s="9"/>
      <c r="G450" s="9">
        <v>3</v>
      </c>
      <c r="H450" s="9">
        <v>0</v>
      </c>
      <c r="I450" s="9">
        <v>3</v>
      </c>
      <c r="J450" s="11">
        <v>0</v>
      </c>
      <c r="K450" s="24">
        <v>0.1</v>
      </c>
      <c r="L450" s="24">
        <v>0</v>
      </c>
      <c r="M450" s="24">
        <v>0</v>
      </c>
      <c r="N450" s="9">
        <v>0</v>
      </c>
      <c r="O450" s="9">
        <v>0</v>
      </c>
      <c r="P450" s="9">
        <v>0</v>
      </c>
      <c r="Q450" s="11">
        <v>0</v>
      </c>
      <c r="R450" s="10" t="s">
        <v>176</v>
      </c>
      <c r="S450" s="6"/>
      <c r="T450" s="6"/>
    </row>
    <row r="451" spans="1:20">
      <c r="A451" s="7">
        <v>46216</v>
      </c>
      <c r="B451" s="8">
        <v>46229</v>
      </c>
      <c r="C451" s="9">
        <v>14</v>
      </c>
      <c r="D451" s="10" t="s">
        <v>1002</v>
      </c>
      <c r="E451" s="10" t="s">
        <v>55</v>
      </c>
      <c r="F451" s="9"/>
      <c r="G451" s="9">
        <v>3</v>
      </c>
      <c r="H451" s="9">
        <v>0</v>
      </c>
      <c r="I451" s="9">
        <v>3</v>
      </c>
      <c r="J451" s="11">
        <v>0</v>
      </c>
      <c r="K451" s="24">
        <v>0.1</v>
      </c>
      <c r="L451" s="24">
        <v>0</v>
      </c>
      <c r="M451" s="24">
        <v>0</v>
      </c>
      <c r="N451" s="9">
        <v>0</v>
      </c>
      <c r="O451" s="9">
        <v>0</v>
      </c>
      <c r="P451" s="9">
        <v>0</v>
      </c>
      <c r="Q451" s="11">
        <v>0</v>
      </c>
      <c r="R451" s="10" t="s">
        <v>176</v>
      </c>
      <c r="S451" s="6"/>
      <c r="T451" s="6"/>
    </row>
    <row r="452" spans="1:20">
      <c r="A452" s="7">
        <v>46216</v>
      </c>
      <c r="B452" s="8">
        <v>46229</v>
      </c>
      <c r="C452" s="9">
        <v>14</v>
      </c>
      <c r="D452" s="10" t="s">
        <v>1002</v>
      </c>
      <c r="E452" s="10" t="s">
        <v>83</v>
      </c>
      <c r="F452" s="9"/>
      <c r="G452" s="9">
        <v>3</v>
      </c>
      <c r="H452" s="9">
        <v>0</v>
      </c>
      <c r="I452" s="9">
        <v>3</v>
      </c>
      <c r="J452" s="11">
        <v>0</v>
      </c>
      <c r="K452" s="24">
        <v>0.1</v>
      </c>
      <c r="L452" s="24">
        <v>0</v>
      </c>
      <c r="M452" s="24">
        <v>0</v>
      </c>
      <c r="N452" s="9">
        <v>0</v>
      </c>
      <c r="O452" s="9">
        <v>0</v>
      </c>
      <c r="P452" s="9">
        <v>0</v>
      </c>
      <c r="Q452" s="11">
        <v>0</v>
      </c>
      <c r="R452" s="10" t="s">
        <v>176</v>
      </c>
      <c r="S452" s="6"/>
      <c r="T452" s="6"/>
    </row>
    <row r="453" spans="1:20">
      <c r="A453" s="7">
        <v>46216</v>
      </c>
      <c r="B453" s="8">
        <v>46229</v>
      </c>
      <c r="C453" s="9">
        <v>14</v>
      </c>
      <c r="D453" s="10" t="s">
        <v>1002</v>
      </c>
      <c r="E453" s="10" t="s">
        <v>1976</v>
      </c>
      <c r="F453" s="9"/>
      <c r="G453" s="9">
        <v>1</v>
      </c>
      <c r="H453" s="9">
        <v>0</v>
      </c>
      <c r="I453" s="9">
        <v>1</v>
      </c>
      <c r="J453" s="11">
        <v>0</v>
      </c>
      <c r="K453" s="24">
        <v>0</v>
      </c>
      <c r="L453" s="24">
        <v>0</v>
      </c>
      <c r="M453" s="24">
        <v>0</v>
      </c>
      <c r="N453" s="9">
        <v>0</v>
      </c>
      <c r="O453" s="9">
        <v>0</v>
      </c>
      <c r="P453" s="9">
        <v>0</v>
      </c>
      <c r="Q453" s="11">
        <v>0</v>
      </c>
      <c r="R453" s="10" t="s">
        <v>176</v>
      </c>
      <c r="S453" s="6"/>
      <c r="T453" s="6"/>
    </row>
    <row r="454" spans="1:20">
      <c r="A454" s="7">
        <v>46216</v>
      </c>
      <c r="B454" s="8">
        <v>46229</v>
      </c>
      <c r="C454" s="9">
        <v>14</v>
      </c>
      <c r="D454" s="10" t="s">
        <v>1002</v>
      </c>
      <c r="E454" s="10" t="s">
        <v>1977</v>
      </c>
      <c r="F454" s="9"/>
      <c r="G454" s="9">
        <v>2</v>
      </c>
      <c r="H454" s="9">
        <v>0</v>
      </c>
      <c r="I454" s="9">
        <v>2</v>
      </c>
      <c r="J454" s="11">
        <v>0</v>
      </c>
      <c r="K454" s="24">
        <v>0</v>
      </c>
      <c r="L454" s="24">
        <v>0</v>
      </c>
      <c r="M454" s="24">
        <v>0</v>
      </c>
      <c r="N454" s="9">
        <v>0</v>
      </c>
      <c r="O454" s="9">
        <v>0</v>
      </c>
      <c r="P454" s="9">
        <v>0</v>
      </c>
      <c r="Q454" s="11">
        <v>0</v>
      </c>
      <c r="R454" s="10" t="s">
        <v>176</v>
      </c>
      <c r="S454" s="6"/>
      <c r="T454" s="6"/>
    </row>
    <row r="455" spans="1:20">
      <c r="A455" s="7">
        <v>46216</v>
      </c>
      <c r="B455" s="8">
        <v>46229</v>
      </c>
      <c r="C455" s="9">
        <v>14</v>
      </c>
      <c r="D455" s="10" t="s">
        <v>1002</v>
      </c>
      <c r="E455" s="10" t="s">
        <v>1978</v>
      </c>
      <c r="F455" s="9"/>
      <c r="G455" s="9">
        <v>2</v>
      </c>
      <c r="H455" s="9">
        <v>0</v>
      </c>
      <c r="I455" s="9">
        <v>2</v>
      </c>
      <c r="J455" s="11">
        <v>0</v>
      </c>
      <c r="K455" s="24">
        <v>0</v>
      </c>
      <c r="L455" s="24">
        <v>0</v>
      </c>
      <c r="M455" s="24">
        <v>0</v>
      </c>
      <c r="N455" s="9">
        <v>0</v>
      </c>
      <c r="O455" s="9">
        <v>0</v>
      </c>
      <c r="P455" s="9">
        <v>0</v>
      </c>
      <c r="Q455" s="11">
        <v>0</v>
      </c>
      <c r="R455" s="10" t="s">
        <v>176</v>
      </c>
      <c r="S455" s="6"/>
      <c r="T455" s="6"/>
    </row>
    <row r="456" spans="1:20">
      <c r="A456" s="7">
        <v>46216</v>
      </c>
      <c r="B456" s="8">
        <v>46229</v>
      </c>
      <c r="C456" s="9">
        <v>14</v>
      </c>
      <c r="D456" s="10" t="s">
        <v>1002</v>
      </c>
      <c r="E456" s="10" t="s">
        <v>255</v>
      </c>
      <c r="F456" s="9"/>
      <c r="G456" s="9">
        <v>1</v>
      </c>
      <c r="H456" s="9">
        <v>0</v>
      </c>
      <c r="I456" s="9">
        <v>1</v>
      </c>
      <c r="J456" s="11">
        <v>0</v>
      </c>
      <c r="K456" s="24">
        <v>0.1</v>
      </c>
      <c r="L456" s="24">
        <v>0</v>
      </c>
      <c r="M456" s="24">
        <v>0</v>
      </c>
      <c r="N456" s="9">
        <v>0</v>
      </c>
      <c r="O456" s="9">
        <v>0</v>
      </c>
      <c r="P456" s="9">
        <v>0</v>
      </c>
      <c r="Q456" s="11">
        <v>0</v>
      </c>
      <c r="R456" s="10" t="s">
        <v>176</v>
      </c>
      <c r="S456" s="6"/>
      <c r="T456" s="6"/>
    </row>
    <row r="457" spans="1:20">
      <c r="A457" s="7">
        <v>46216</v>
      </c>
      <c r="B457" s="8">
        <v>46229</v>
      </c>
      <c r="C457" s="9">
        <v>14</v>
      </c>
      <c r="D457" s="10" t="s">
        <v>1002</v>
      </c>
      <c r="E457" s="10" t="s">
        <v>1979</v>
      </c>
      <c r="F457" s="9"/>
      <c r="G457" s="9">
        <v>6</v>
      </c>
      <c r="H457" s="9">
        <v>0</v>
      </c>
      <c r="I457" s="9">
        <v>6</v>
      </c>
      <c r="J457" s="11">
        <v>0</v>
      </c>
      <c r="K457" s="24">
        <v>0</v>
      </c>
      <c r="L457" s="24">
        <v>0</v>
      </c>
      <c r="M457" s="24">
        <v>0</v>
      </c>
      <c r="N457" s="9">
        <v>0</v>
      </c>
      <c r="O457" s="9">
        <v>0</v>
      </c>
      <c r="P457" s="9">
        <v>0</v>
      </c>
      <c r="Q457" s="11">
        <v>0</v>
      </c>
      <c r="R457" s="10" t="s">
        <v>176</v>
      </c>
      <c r="S457" s="6"/>
      <c r="T457" s="6"/>
    </row>
    <row r="458" spans="1:20">
      <c r="A458" s="7">
        <v>46216</v>
      </c>
      <c r="B458" s="8">
        <v>46229</v>
      </c>
      <c r="C458" s="9">
        <v>14</v>
      </c>
      <c r="D458" s="10" t="s">
        <v>1002</v>
      </c>
      <c r="E458" s="10" t="s">
        <v>1980</v>
      </c>
      <c r="F458" s="9"/>
      <c r="G458" s="9">
        <v>2</v>
      </c>
      <c r="H458" s="9">
        <v>0</v>
      </c>
      <c r="I458" s="9">
        <v>2</v>
      </c>
      <c r="J458" s="11">
        <v>0</v>
      </c>
      <c r="K458" s="24">
        <v>0</v>
      </c>
      <c r="L458" s="24">
        <v>0</v>
      </c>
      <c r="M458" s="24">
        <v>0</v>
      </c>
      <c r="N458" s="9">
        <v>0</v>
      </c>
      <c r="O458" s="9">
        <v>0</v>
      </c>
      <c r="P458" s="9">
        <v>0</v>
      </c>
      <c r="Q458" s="11">
        <v>0</v>
      </c>
      <c r="R458" s="10" t="s">
        <v>176</v>
      </c>
      <c r="S458" s="6"/>
      <c r="T458" s="6"/>
    </row>
    <row r="459" spans="1:20">
      <c r="A459" s="7">
        <v>46216</v>
      </c>
      <c r="B459" s="8">
        <v>46229</v>
      </c>
      <c r="C459" s="9">
        <v>14</v>
      </c>
      <c r="D459" s="10" t="s">
        <v>1002</v>
      </c>
      <c r="E459" s="10" t="s">
        <v>2001</v>
      </c>
      <c r="F459" s="9"/>
      <c r="G459" s="9">
        <v>1</v>
      </c>
      <c r="H459" s="9">
        <v>0</v>
      </c>
      <c r="I459" s="9">
        <v>1</v>
      </c>
      <c r="J459" s="11">
        <v>0</v>
      </c>
      <c r="K459" s="24">
        <v>0</v>
      </c>
      <c r="L459" s="24">
        <v>0</v>
      </c>
      <c r="M459" s="24">
        <v>0</v>
      </c>
      <c r="N459" s="9">
        <v>0</v>
      </c>
      <c r="O459" s="9">
        <v>0</v>
      </c>
      <c r="P459" s="9">
        <v>0</v>
      </c>
      <c r="Q459" s="11">
        <v>0</v>
      </c>
      <c r="R459" s="10" t="s">
        <v>176</v>
      </c>
      <c r="S459" s="6"/>
      <c r="T459" s="6"/>
    </row>
    <row r="460" spans="1:20">
      <c r="A460" s="7">
        <v>46216</v>
      </c>
      <c r="B460" s="8">
        <v>46229</v>
      </c>
      <c r="C460" s="9">
        <v>14</v>
      </c>
      <c r="D460" s="10" t="s">
        <v>1002</v>
      </c>
      <c r="E460" s="10" t="s">
        <v>283</v>
      </c>
      <c r="F460" s="9"/>
      <c r="G460" s="9">
        <v>2</v>
      </c>
      <c r="H460" s="9">
        <v>0</v>
      </c>
      <c r="I460" s="9">
        <v>2</v>
      </c>
      <c r="J460" s="11">
        <v>0</v>
      </c>
      <c r="K460" s="24">
        <v>1</v>
      </c>
      <c r="L460" s="24">
        <v>0</v>
      </c>
      <c r="M460" s="24">
        <v>0</v>
      </c>
      <c r="N460" s="9">
        <v>0</v>
      </c>
      <c r="O460" s="9">
        <v>0</v>
      </c>
      <c r="P460" s="9">
        <v>0</v>
      </c>
      <c r="Q460" s="11">
        <v>0</v>
      </c>
      <c r="R460" s="10" t="s">
        <v>176</v>
      </c>
      <c r="S460" s="6"/>
      <c r="T460" s="6"/>
    </row>
    <row r="461" spans="1:20">
      <c r="A461" s="7">
        <v>46216</v>
      </c>
      <c r="B461" s="8">
        <v>46229</v>
      </c>
      <c r="C461" s="9">
        <v>14</v>
      </c>
      <c r="D461" s="10" t="s">
        <v>1002</v>
      </c>
      <c r="E461" s="10" t="s">
        <v>1074</v>
      </c>
      <c r="F461" s="9"/>
      <c r="G461" s="9">
        <v>7</v>
      </c>
      <c r="H461" s="9">
        <v>0</v>
      </c>
      <c r="I461" s="9">
        <v>7</v>
      </c>
      <c r="J461" s="11">
        <v>0</v>
      </c>
      <c r="K461" s="24">
        <v>0.1</v>
      </c>
      <c r="L461" s="24">
        <v>0</v>
      </c>
      <c r="M461" s="24">
        <v>0</v>
      </c>
      <c r="N461" s="9">
        <v>0</v>
      </c>
      <c r="O461" s="9">
        <v>0</v>
      </c>
      <c r="P461" s="9">
        <v>0</v>
      </c>
      <c r="Q461" s="11">
        <v>0</v>
      </c>
      <c r="R461" s="10" t="s">
        <v>176</v>
      </c>
      <c r="S461" s="6"/>
      <c r="T461" s="6"/>
    </row>
    <row r="462" spans="1:20">
      <c r="A462" s="7">
        <v>46216</v>
      </c>
      <c r="B462" s="8">
        <v>46229</v>
      </c>
      <c r="C462" s="9">
        <v>14</v>
      </c>
      <c r="D462" s="10" t="s">
        <v>1002</v>
      </c>
      <c r="E462" s="10" t="s">
        <v>298</v>
      </c>
      <c r="F462" s="9"/>
      <c r="G462" s="9">
        <v>1</v>
      </c>
      <c r="H462" s="9">
        <v>0</v>
      </c>
      <c r="I462" s="9">
        <v>1</v>
      </c>
      <c r="J462" s="11">
        <v>0</v>
      </c>
      <c r="K462" s="24">
        <v>0</v>
      </c>
      <c r="L462" s="24">
        <v>0</v>
      </c>
      <c r="M462" s="24">
        <v>0</v>
      </c>
      <c r="N462" s="9">
        <v>0</v>
      </c>
      <c r="O462" s="9">
        <v>0</v>
      </c>
      <c r="P462" s="9">
        <v>0</v>
      </c>
      <c r="Q462" s="11">
        <v>0</v>
      </c>
      <c r="R462" s="10" t="s">
        <v>176</v>
      </c>
      <c r="S462" s="6"/>
      <c r="T462" s="6"/>
    </row>
    <row r="463" spans="1:20">
      <c r="A463" s="7">
        <v>46216</v>
      </c>
      <c r="B463" s="8">
        <v>46229</v>
      </c>
      <c r="C463" s="9">
        <v>14</v>
      </c>
      <c r="D463" s="10" t="s">
        <v>1002</v>
      </c>
      <c r="E463" s="10" t="s">
        <v>299</v>
      </c>
      <c r="F463" s="9"/>
      <c r="G463" s="9">
        <v>2</v>
      </c>
      <c r="H463" s="9">
        <v>0</v>
      </c>
      <c r="I463" s="9">
        <v>2</v>
      </c>
      <c r="J463" s="11">
        <v>0</v>
      </c>
      <c r="K463" s="24">
        <v>0</v>
      </c>
      <c r="L463" s="24">
        <v>0</v>
      </c>
      <c r="M463" s="24">
        <v>0</v>
      </c>
      <c r="N463" s="9">
        <v>0</v>
      </c>
      <c r="O463" s="9">
        <v>0</v>
      </c>
      <c r="P463" s="9">
        <v>0</v>
      </c>
      <c r="Q463" s="11">
        <v>0</v>
      </c>
      <c r="R463" s="10" t="s">
        <v>176</v>
      </c>
      <c r="S463" s="6"/>
      <c r="T463" s="6"/>
    </row>
    <row r="464" spans="1:20">
      <c r="A464" s="7">
        <v>46216</v>
      </c>
      <c r="B464" s="8">
        <v>46229</v>
      </c>
      <c r="C464" s="9">
        <v>14</v>
      </c>
      <c r="D464" s="10" t="s">
        <v>1002</v>
      </c>
      <c r="E464" s="10" t="s">
        <v>2010</v>
      </c>
      <c r="F464" s="9"/>
      <c r="G464" s="9">
        <v>1</v>
      </c>
      <c r="H464" s="9">
        <v>0</v>
      </c>
      <c r="I464" s="9">
        <v>1</v>
      </c>
      <c r="J464" s="11">
        <v>0</v>
      </c>
      <c r="K464" s="24">
        <v>0</v>
      </c>
      <c r="L464" s="24">
        <v>0</v>
      </c>
      <c r="M464" s="24">
        <v>0</v>
      </c>
      <c r="N464" s="9">
        <v>0</v>
      </c>
      <c r="O464" s="9">
        <v>0</v>
      </c>
      <c r="P464" s="9">
        <v>0</v>
      </c>
      <c r="Q464" s="11">
        <v>0</v>
      </c>
      <c r="R464" s="10" t="s">
        <v>176</v>
      </c>
      <c r="S464" s="6"/>
      <c r="T464" s="6"/>
    </row>
    <row r="465" spans="1:20">
      <c r="A465" s="7">
        <v>46216</v>
      </c>
      <c r="B465" s="8">
        <v>46229</v>
      </c>
      <c r="C465" s="9">
        <v>14</v>
      </c>
      <c r="D465" s="10" t="s">
        <v>1002</v>
      </c>
      <c r="E465" s="10" t="s">
        <v>2011</v>
      </c>
      <c r="F465" s="9"/>
      <c r="G465" s="9">
        <v>2</v>
      </c>
      <c r="H465" s="9">
        <v>0</v>
      </c>
      <c r="I465" s="9">
        <v>2</v>
      </c>
      <c r="J465" s="11">
        <v>0</v>
      </c>
      <c r="K465" s="24">
        <v>0</v>
      </c>
      <c r="L465" s="24">
        <v>0</v>
      </c>
      <c r="M465" s="24">
        <v>0</v>
      </c>
      <c r="N465" s="9">
        <v>0</v>
      </c>
      <c r="O465" s="9">
        <v>0</v>
      </c>
      <c r="P465" s="9">
        <v>0</v>
      </c>
      <c r="Q465" s="11">
        <v>0</v>
      </c>
      <c r="R465" s="10" t="s">
        <v>176</v>
      </c>
      <c r="S465" s="6"/>
      <c r="T465" s="6"/>
    </row>
    <row r="466" spans="1:20">
      <c r="A466" s="7">
        <v>46216</v>
      </c>
      <c r="B466" s="8">
        <v>46229</v>
      </c>
      <c r="C466" s="9">
        <v>14</v>
      </c>
      <c r="D466" s="10" t="s">
        <v>1002</v>
      </c>
      <c r="E466" s="10" t="s">
        <v>2012</v>
      </c>
      <c r="F466" s="9"/>
      <c r="G466" s="9">
        <v>2</v>
      </c>
      <c r="H466" s="9">
        <v>0</v>
      </c>
      <c r="I466" s="9">
        <v>2</v>
      </c>
      <c r="J466" s="11">
        <v>0</v>
      </c>
      <c r="K466" s="24">
        <v>0</v>
      </c>
      <c r="L466" s="24">
        <v>0</v>
      </c>
      <c r="M466" s="24">
        <v>0</v>
      </c>
      <c r="N466" s="9">
        <v>0</v>
      </c>
      <c r="O466" s="9">
        <v>0</v>
      </c>
      <c r="P466" s="9">
        <v>0</v>
      </c>
      <c r="Q466" s="11">
        <v>0</v>
      </c>
      <c r="R466" s="10" t="s">
        <v>176</v>
      </c>
      <c r="S466" s="6"/>
      <c r="T466" s="6"/>
    </row>
    <row r="467" spans="1:20">
      <c r="A467" s="7">
        <v>46216</v>
      </c>
      <c r="B467" s="8">
        <v>46229</v>
      </c>
      <c r="C467" s="9">
        <v>14</v>
      </c>
      <c r="D467" s="10" t="s">
        <v>1002</v>
      </c>
      <c r="E467" s="10" t="s">
        <v>2013</v>
      </c>
      <c r="F467" s="9"/>
      <c r="G467" s="9">
        <v>2</v>
      </c>
      <c r="H467" s="9">
        <v>0</v>
      </c>
      <c r="I467" s="9">
        <v>2</v>
      </c>
      <c r="J467" s="11">
        <v>0</v>
      </c>
      <c r="K467" s="24">
        <v>0</v>
      </c>
      <c r="L467" s="24">
        <v>0</v>
      </c>
      <c r="M467" s="24">
        <v>0</v>
      </c>
      <c r="N467" s="9">
        <v>0</v>
      </c>
      <c r="O467" s="9">
        <v>0</v>
      </c>
      <c r="P467" s="9">
        <v>0</v>
      </c>
      <c r="Q467" s="11">
        <v>0</v>
      </c>
      <c r="R467" s="10" t="s">
        <v>176</v>
      </c>
      <c r="S467" s="6"/>
      <c r="T467" s="6"/>
    </row>
    <row r="468" spans="1:20">
      <c r="A468" s="7">
        <v>46216</v>
      </c>
      <c r="B468" s="8">
        <v>46229</v>
      </c>
      <c r="C468" s="9">
        <v>14</v>
      </c>
      <c r="D468" s="10" t="s">
        <v>1002</v>
      </c>
      <c r="E468" s="10" t="s">
        <v>2014</v>
      </c>
      <c r="F468" s="9"/>
      <c r="G468" s="9">
        <v>2</v>
      </c>
      <c r="H468" s="9">
        <v>0</v>
      </c>
      <c r="I468" s="9">
        <v>2</v>
      </c>
      <c r="J468" s="11">
        <v>0</v>
      </c>
      <c r="K468" s="24">
        <v>0</v>
      </c>
      <c r="L468" s="24">
        <v>0</v>
      </c>
      <c r="M468" s="24">
        <v>0</v>
      </c>
      <c r="N468" s="9">
        <v>0</v>
      </c>
      <c r="O468" s="9">
        <v>0</v>
      </c>
      <c r="P468" s="9">
        <v>0</v>
      </c>
      <c r="Q468" s="11">
        <v>0</v>
      </c>
      <c r="R468" s="10" t="s">
        <v>176</v>
      </c>
      <c r="S468" s="6"/>
      <c r="T468" s="6"/>
    </row>
    <row r="469" spans="1:20">
      <c r="A469" s="7">
        <v>46216</v>
      </c>
      <c r="B469" s="8">
        <v>46229</v>
      </c>
      <c r="C469" s="9">
        <v>14</v>
      </c>
      <c r="D469" s="10" t="s">
        <v>1002</v>
      </c>
      <c r="E469" s="10" t="s">
        <v>301</v>
      </c>
      <c r="F469" s="9"/>
      <c r="G469" s="9">
        <v>1</v>
      </c>
      <c r="H469" s="9">
        <v>0</v>
      </c>
      <c r="I469" s="9">
        <v>1</v>
      </c>
      <c r="J469" s="11">
        <v>0</v>
      </c>
      <c r="K469" s="24">
        <v>0.1</v>
      </c>
      <c r="L469" s="24">
        <v>0</v>
      </c>
      <c r="M469" s="24">
        <v>0</v>
      </c>
      <c r="N469" s="9">
        <v>0</v>
      </c>
      <c r="O469" s="9">
        <v>0</v>
      </c>
      <c r="P469" s="9">
        <v>0</v>
      </c>
      <c r="Q469" s="11">
        <v>0</v>
      </c>
      <c r="R469" s="10" t="s">
        <v>176</v>
      </c>
      <c r="S469" s="6"/>
      <c r="T469" s="6"/>
    </row>
    <row r="470" spans="1:20">
      <c r="A470" s="7">
        <v>46216</v>
      </c>
      <c r="B470" s="8">
        <v>46229</v>
      </c>
      <c r="C470" s="9">
        <v>14</v>
      </c>
      <c r="D470" s="10" t="s">
        <v>1002</v>
      </c>
      <c r="E470" s="10" t="s">
        <v>1187</v>
      </c>
      <c r="F470" s="9"/>
      <c r="G470" s="9">
        <v>4</v>
      </c>
      <c r="H470" s="9">
        <v>0</v>
      </c>
      <c r="I470" s="9">
        <v>4</v>
      </c>
      <c r="J470" s="11">
        <v>0</v>
      </c>
      <c r="K470" s="24">
        <v>0.1</v>
      </c>
      <c r="L470" s="24">
        <v>0</v>
      </c>
      <c r="M470" s="24">
        <v>0</v>
      </c>
      <c r="N470" s="9">
        <v>0</v>
      </c>
      <c r="O470" s="9">
        <v>0</v>
      </c>
      <c r="P470" s="9">
        <v>0</v>
      </c>
      <c r="Q470" s="11">
        <v>0</v>
      </c>
      <c r="R470" s="10" t="s">
        <v>176</v>
      </c>
      <c r="S470" s="6"/>
      <c r="T470" s="6"/>
    </row>
    <row r="471" spans="1:20">
      <c r="A471" s="7">
        <v>46216</v>
      </c>
      <c r="B471" s="8">
        <v>46229</v>
      </c>
      <c r="C471" s="9">
        <v>14</v>
      </c>
      <c r="D471" s="10" t="s">
        <v>1002</v>
      </c>
      <c r="E471" s="10" t="s">
        <v>1005</v>
      </c>
      <c r="F471" s="9"/>
      <c r="G471" s="9">
        <v>3</v>
      </c>
      <c r="H471" s="9">
        <v>0</v>
      </c>
      <c r="I471" s="9">
        <v>3</v>
      </c>
      <c r="J471" s="11">
        <v>0</v>
      </c>
      <c r="K471" s="24">
        <v>5</v>
      </c>
      <c r="L471" s="24">
        <v>0</v>
      </c>
      <c r="M471" s="24">
        <v>0</v>
      </c>
      <c r="N471" s="9">
        <v>0</v>
      </c>
      <c r="O471" s="9">
        <v>0</v>
      </c>
      <c r="P471" s="9">
        <v>0</v>
      </c>
      <c r="Q471" s="11">
        <v>0</v>
      </c>
      <c r="R471" s="10" t="s">
        <v>176</v>
      </c>
      <c r="S471" s="6"/>
      <c r="T471" s="6"/>
    </row>
    <row r="472" spans="1:20">
      <c r="A472" s="7">
        <v>46216</v>
      </c>
      <c r="B472" s="8">
        <v>46229</v>
      </c>
      <c r="C472" s="9">
        <v>14</v>
      </c>
      <c r="D472" s="10" t="s">
        <v>1002</v>
      </c>
      <c r="E472" s="10" t="s">
        <v>1189</v>
      </c>
      <c r="F472" s="9"/>
      <c r="G472" s="9">
        <v>5</v>
      </c>
      <c r="H472" s="9">
        <v>0</v>
      </c>
      <c r="I472" s="9">
        <v>5</v>
      </c>
      <c r="J472" s="11">
        <v>0</v>
      </c>
      <c r="K472" s="24">
        <v>0.1</v>
      </c>
      <c r="L472" s="24">
        <v>0</v>
      </c>
      <c r="M472" s="24">
        <v>0</v>
      </c>
      <c r="N472" s="9">
        <v>0</v>
      </c>
      <c r="O472" s="9">
        <v>0</v>
      </c>
      <c r="P472" s="9">
        <v>0</v>
      </c>
      <c r="Q472" s="11">
        <v>0</v>
      </c>
      <c r="R472" s="10" t="s">
        <v>176</v>
      </c>
      <c r="S472" s="6"/>
      <c r="T472" s="6"/>
    </row>
    <row r="473" spans="1:20">
      <c r="A473" s="7">
        <v>46216</v>
      </c>
      <c r="B473" s="8">
        <v>46229</v>
      </c>
      <c r="C473" s="9">
        <v>14</v>
      </c>
      <c r="D473" s="10" t="s">
        <v>1002</v>
      </c>
      <c r="E473" s="10" t="s">
        <v>2015</v>
      </c>
      <c r="F473" s="9"/>
      <c r="G473" s="9">
        <v>6</v>
      </c>
      <c r="H473" s="9">
        <v>0</v>
      </c>
      <c r="I473" s="9">
        <v>6</v>
      </c>
      <c r="J473" s="11">
        <v>0</v>
      </c>
      <c r="K473" s="24">
        <v>0.1</v>
      </c>
      <c r="L473" s="24">
        <v>0</v>
      </c>
      <c r="M473" s="24">
        <v>0</v>
      </c>
      <c r="N473" s="9">
        <v>0</v>
      </c>
      <c r="O473" s="9">
        <v>0</v>
      </c>
      <c r="P473" s="9">
        <v>0</v>
      </c>
      <c r="Q473" s="11">
        <v>0</v>
      </c>
      <c r="R473" s="10" t="s">
        <v>176</v>
      </c>
      <c r="S473" s="6"/>
      <c r="T473" s="6"/>
    </row>
    <row r="474" spans="1:20">
      <c r="A474" s="7">
        <v>46216</v>
      </c>
      <c r="B474" s="8">
        <v>46229</v>
      </c>
      <c r="C474" s="9">
        <v>14</v>
      </c>
      <c r="D474" s="10" t="s">
        <v>1002</v>
      </c>
      <c r="E474" s="10" t="s">
        <v>304</v>
      </c>
      <c r="F474" s="9"/>
      <c r="G474" s="9">
        <v>8</v>
      </c>
      <c r="H474" s="9">
        <v>0</v>
      </c>
      <c r="I474" s="9">
        <v>8</v>
      </c>
      <c r="J474" s="11">
        <v>0</v>
      </c>
      <c r="K474" s="24">
        <v>0.1</v>
      </c>
      <c r="L474" s="24">
        <v>0</v>
      </c>
      <c r="M474" s="24">
        <v>0</v>
      </c>
      <c r="N474" s="9">
        <v>0</v>
      </c>
      <c r="O474" s="9">
        <v>0</v>
      </c>
      <c r="P474" s="9">
        <v>0</v>
      </c>
      <c r="Q474" s="11">
        <v>0</v>
      </c>
      <c r="R474" s="10" t="s">
        <v>176</v>
      </c>
      <c r="S474" s="6"/>
      <c r="T474" s="6"/>
    </row>
    <row r="475" spans="1:20">
      <c r="A475" s="7">
        <v>46216</v>
      </c>
      <c r="B475" s="8">
        <v>46229</v>
      </c>
      <c r="C475" s="9">
        <v>14</v>
      </c>
      <c r="D475" s="10" t="s">
        <v>1002</v>
      </c>
      <c r="E475" s="10" t="s">
        <v>1191</v>
      </c>
      <c r="F475" s="9"/>
      <c r="G475" s="9">
        <v>4</v>
      </c>
      <c r="H475" s="9">
        <v>0</v>
      </c>
      <c r="I475" s="9">
        <v>4</v>
      </c>
      <c r="J475" s="11">
        <v>0</v>
      </c>
      <c r="K475" s="24">
        <v>0.1</v>
      </c>
      <c r="L475" s="24">
        <v>0</v>
      </c>
      <c r="M475" s="24">
        <v>0</v>
      </c>
      <c r="N475" s="9">
        <v>0</v>
      </c>
      <c r="O475" s="9">
        <v>0</v>
      </c>
      <c r="P475" s="9">
        <v>0</v>
      </c>
      <c r="Q475" s="11">
        <v>0</v>
      </c>
      <c r="R475" s="10" t="s">
        <v>176</v>
      </c>
      <c r="S475" s="6"/>
      <c r="T475" s="6"/>
    </row>
    <row r="476" spans="1:20">
      <c r="A476" s="7">
        <v>46216</v>
      </c>
      <c r="B476" s="8">
        <v>46229</v>
      </c>
      <c r="C476" s="9">
        <v>14</v>
      </c>
      <c r="D476" s="10" t="s">
        <v>1002</v>
      </c>
      <c r="E476" s="10" t="s">
        <v>1193</v>
      </c>
      <c r="F476" s="9"/>
      <c r="G476" s="9">
        <v>4</v>
      </c>
      <c r="H476" s="9">
        <v>0</v>
      </c>
      <c r="I476" s="9">
        <v>4</v>
      </c>
      <c r="J476" s="11">
        <v>0</v>
      </c>
      <c r="K476" s="24">
        <v>0.1</v>
      </c>
      <c r="L476" s="24">
        <v>0</v>
      </c>
      <c r="M476" s="24">
        <v>0</v>
      </c>
      <c r="N476" s="9">
        <v>0</v>
      </c>
      <c r="O476" s="9">
        <v>0</v>
      </c>
      <c r="P476" s="9">
        <v>0</v>
      </c>
      <c r="Q476" s="11">
        <v>0</v>
      </c>
      <c r="R476" s="10" t="s">
        <v>176</v>
      </c>
      <c r="S476" s="6"/>
      <c r="T476" s="6"/>
    </row>
    <row r="477" spans="1:20">
      <c r="A477" s="7">
        <v>46216</v>
      </c>
      <c r="B477" s="8">
        <v>46229</v>
      </c>
      <c r="C477" s="9">
        <v>14</v>
      </c>
      <c r="D477" s="10" t="s">
        <v>1002</v>
      </c>
      <c r="E477" s="10" t="s">
        <v>1043</v>
      </c>
      <c r="F477" s="9"/>
      <c r="G477" s="9">
        <v>9</v>
      </c>
      <c r="H477" s="9">
        <v>0</v>
      </c>
      <c r="I477" s="9">
        <v>9</v>
      </c>
      <c r="J477" s="11">
        <v>0</v>
      </c>
      <c r="K477" s="24">
        <v>0.1</v>
      </c>
      <c r="L477" s="24">
        <v>0</v>
      </c>
      <c r="M477" s="24">
        <v>0</v>
      </c>
      <c r="N477" s="9">
        <v>0</v>
      </c>
      <c r="O477" s="9">
        <v>0</v>
      </c>
      <c r="P477" s="9">
        <v>0</v>
      </c>
      <c r="Q477" s="11">
        <v>0</v>
      </c>
      <c r="R477" s="10" t="s">
        <v>176</v>
      </c>
      <c r="S477" s="6"/>
      <c r="T477" s="6"/>
    </row>
    <row r="478" spans="1:20">
      <c r="A478" s="7">
        <v>46216</v>
      </c>
      <c r="B478" s="8">
        <v>46229</v>
      </c>
      <c r="C478" s="9">
        <v>14</v>
      </c>
      <c r="D478" s="10" t="s">
        <v>1002</v>
      </c>
      <c r="E478" s="10" t="s">
        <v>1054</v>
      </c>
      <c r="F478" s="9"/>
      <c r="G478" s="9">
        <v>8</v>
      </c>
      <c r="H478" s="9">
        <v>0</v>
      </c>
      <c r="I478" s="9">
        <v>8</v>
      </c>
      <c r="J478" s="11">
        <v>0</v>
      </c>
      <c r="K478" s="24">
        <v>0.1</v>
      </c>
      <c r="L478" s="24">
        <v>0</v>
      </c>
      <c r="M478" s="24">
        <v>0</v>
      </c>
      <c r="N478" s="9">
        <v>0</v>
      </c>
      <c r="O478" s="9">
        <v>0</v>
      </c>
      <c r="P478" s="9">
        <v>0</v>
      </c>
      <c r="Q478" s="11">
        <v>0</v>
      </c>
      <c r="R478" s="10" t="s">
        <v>176</v>
      </c>
      <c r="S478" s="6"/>
      <c r="T478" s="6"/>
    </row>
    <row r="479" spans="1:20">
      <c r="A479" s="7">
        <v>46216</v>
      </c>
      <c r="B479" s="8">
        <v>46229</v>
      </c>
      <c r="C479" s="9">
        <v>14</v>
      </c>
      <c r="D479" s="10" t="s">
        <v>1002</v>
      </c>
      <c r="E479" s="10" t="s">
        <v>305</v>
      </c>
      <c r="F479" s="9"/>
      <c r="G479" s="9">
        <v>1</v>
      </c>
      <c r="H479" s="9">
        <v>0</v>
      </c>
      <c r="I479" s="9">
        <v>1</v>
      </c>
      <c r="J479" s="11">
        <v>0</v>
      </c>
      <c r="K479" s="24">
        <v>0.1</v>
      </c>
      <c r="L479" s="24">
        <v>0</v>
      </c>
      <c r="M479" s="24">
        <v>0</v>
      </c>
      <c r="N479" s="9">
        <v>0</v>
      </c>
      <c r="O479" s="9">
        <v>0</v>
      </c>
      <c r="P479" s="9">
        <v>0</v>
      </c>
      <c r="Q479" s="11">
        <v>0</v>
      </c>
      <c r="R479" s="10" t="s">
        <v>176</v>
      </c>
      <c r="S479" s="6"/>
      <c r="T479" s="6"/>
    </row>
    <row r="480" spans="1:20">
      <c r="A480" s="7">
        <v>46216</v>
      </c>
      <c r="B480" s="8">
        <v>46229</v>
      </c>
      <c r="C480" s="9">
        <v>14</v>
      </c>
      <c r="D480" s="10" t="s">
        <v>1002</v>
      </c>
      <c r="E480" s="10" t="s">
        <v>1195</v>
      </c>
      <c r="F480" s="9"/>
      <c r="G480" s="9">
        <v>5</v>
      </c>
      <c r="H480" s="9">
        <v>0</v>
      </c>
      <c r="I480" s="9">
        <v>5</v>
      </c>
      <c r="J480" s="11">
        <v>0</v>
      </c>
      <c r="K480" s="24">
        <v>0.1</v>
      </c>
      <c r="L480" s="24">
        <v>0</v>
      </c>
      <c r="M480" s="24">
        <v>0</v>
      </c>
      <c r="N480" s="9">
        <v>0</v>
      </c>
      <c r="O480" s="9">
        <v>0</v>
      </c>
      <c r="P480" s="9">
        <v>0</v>
      </c>
      <c r="Q480" s="11">
        <v>0</v>
      </c>
      <c r="R480" s="10" t="s">
        <v>176</v>
      </c>
      <c r="S480" s="6"/>
      <c r="T480" s="6"/>
    </row>
    <row r="481" spans="1:20">
      <c r="A481" s="7">
        <v>46216</v>
      </c>
      <c r="B481" s="8">
        <v>46229</v>
      </c>
      <c r="C481" s="9">
        <v>14</v>
      </c>
      <c r="D481" s="10" t="s">
        <v>1002</v>
      </c>
      <c r="E481" s="10" t="s">
        <v>306</v>
      </c>
      <c r="F481" s="9"/>
      <c r="G481" s="9">
        <v>9</v>
      </c>
      <c r="H481" s="9">
        <v>0</v>
      </c>
      <c r="I481" s="9">
        <v>9</v>
      </c>
      <c r="J481" s="11">
        <v>0</v>
      </c>
      <c r="K481" s="24">
        <v>0.1</v>
      </c>
      <c r="L481" s="24">
        <v>0</v>
      </c>
      <c r="M481" s="24">
        <v>0</v>
      </c>
      <c r="N481" s="9">
        <v>0</v>
      </c>
      <c r="O481" s="9">
        <v>0</v>
      </c>
      <c r="P481" s="9">
        <v>0</v>
      </c>
      <c r="Q481" s="11">
        <v>0</v>
      </c>
      <c r="R481" s="10" t="s">
        <v>176</v>
      </c>
      <c r="S481" s="6"/>
      <c r="T481" s="6"/>
    </row>
    <row r="482" spans="1:20">
      <c r="A482" s="7">
        <v>46216</v>
      </c>
      <c r="B482" s="8">
        <v>46229</v>
      </c>
      <c r="C482" s="9">
        <v>14</v>
      </c>
      <c r="D482" s="10" t="s">
        <v>1002</v>
      </c>
      <c r="E482" s="10" t="s">
        <v>1313</v>
      </c>
      <c r="F482" s="9"/>
      <c r="G482" s="9">
        <v>3</v>
      </c>
      <c r="H482" s="9">
        <v>0</v>
      </c>
      <c r="I482" s="9">
        <v>3</v>
      </c>
      <c r="J482" s="11">
        <v>0</v>
      </c>
      <c r="K482" s="24">
        <v>0.1</v>
      </c>
      <c r="L482" s="24">
        <v>0</v>
      </c>
      <c r="M482" s="24">
        <v>0</v>
      </c>
      <c r="N482" s="9">
        <v>0</v>
      </c>
      <c r="O482" s="9">
        <v>0</v>
      </c>
      <c r="P482" s="9">
        <v>0</v>
      </c>
      <c r="Q482" s="11">
        <v>0</v>
      </c>
      <c r="R482" s="10" t="s">
        <v>176</v>
      </c>
      <c r="S482" s="6"/>
      <c r="T482" s="6"/>
    </row>
    <row r="483" spans="1:20">
      <c r="A483" s="7">
        <v>46216</v>
      </c>
      <c r="B483" s="8">
        <v>46229</v>
      </c>
      <c r="C483" s="9">
        <v>14</v>
      </c>
      <c r="D483" s="10" t="s">
        <v>1002</v>
      </c>
      <c r="E483" s="10" t="s">
        <v>307</v>
      </c>
      <c r="F483" s="9"/>
      <c r="G483" s="9">
        <v>2</v>
      </c>
      <c r="H483" s="9">
        <v>0</v>
      </c>
      <c r="I483" s="9">
        <v>2</v>
      </c>
      <c r="J483" s="11">
        <v>0</v>
      </c>
      <c r="K483" s="24">
        <v>0.1</v>
      </c>
      <c r="L483" s="24">
        <v>0</v>
      </c>
      <c r="M483" s="24">
        <v>0</v>
      </c>
      <c r="N483" s="9">
        <v>0</v>
      </c>
      <c r="O483" s="9">
        <v>0</v>
      </c>
      <c r="P483" s="9">
        <v>0</v>
      </c>
      <c r="Q483" s="11">
        <v>0</v>
      </c>
      <c r="R483" s="10" t="s">
        <v>176</v>
      </c>
      <c r="S483" s="6"/>
      <c r="T483" s="6"/>
    </row>
    <row r="484" spans="1:20">
      <c r="A484" s="7">
        <v>46216</v>
      </c>
      <c r="B484" s="8">
        <v>46229</v>
      </c>
      <c r="C484" s="9">
        <v>14</v>
      </c>
      <c r="D484" s="10" t="s">
        <v>1002</v>
      </c>
      <c r="E484" s="10" t="s">
        <v>1197</v>
      </c>
      <c r="F484" s="9"/>
      <c r="G484" s="9">
        <v>4</v>
      </c>
      <c r="H484" s="9">
        <v>0</v>
      </c>
      <c r="I484" s="9">
        <v>4</v>
      </c>
      <c r="J484" s="11">
        <v>0</v>
      </c>
      <c r="K484" s="24">
        <v>0.1</v>
      </c>
      <c r="L484" s="24">
        <v>0</v>
      </c>
      <c r="M484" s="24">
        <v>0</v>
      </c>
      <c r="N484" s="9">
        <v>0</v>
      </c>
      <c r="O484" s="9">
        <v>0</v>
      </c>
      <c r="P484" s="9">
        <v>0</v>
      </c>
      <c r="Q484" s="11">
        <v>0</v>
      </c>
      <c r="R484" s="10" t="s">
        <v>176</v>
      </c>
      <c r="S484" s="6"/>
      <c r="T484" s="6"/>
    </row>
    <row r="485" spans="1:20">
      <c r="A485" s="7">
        <v>46216</v>
      </c>
      <c r="B485" s="8">
        <v>46229</v>
      </c>
      <c r="C485" s="9">
        <v>14</v>
      </c>
      <c r="D485" s="10" t="s">
        <v>1002</v>
      </c>
      <c r="E485" s="10" t="s">
        <v>1665</v>
      </c>
      <c r="F485" s="9"/>
      <c r="G485" s="9">
        <v>1</v>
      </c>
      <c r="H485" s="9">
        <v>0</v>
      </c>
      <c r="I485" s="9">
        <v>1</v>
      </c>
      <c r="J485" s="11">
        <v>0</v>
      </c>
      <c r="K485" s="24">
        <v>0.1</v>
      </c>
      <c r="L485" s="24">
        <v>0</v>
      </c>
      <c r="M485" s="24">
        <v>0</v>
      </c>
      <c r="N485" s="9">
        <v>0</v>
      </c>
      <c r="O485" s="9">
        <v>0</v>
      </c>
      <c r="P485" s="9">
        <v>0</v>
      </c>
      <c r="Q485" s="11">
        <v>0</v>
      </c>
      <c r="R485" s="10" t="s">
        <v>176</v>
      </c>
      <c r="S485" s="6"/>
      <c r="T485" s="6"/>
    </row>
    <row r="486" spans="1:20">
      <c r="A486" s="7">
        <v>46216</v>
      </c>
      <c r="B486" s="8">
        <v>46229</v>
      </c>
      <c r="C486" s="9">
        <v>14</v>
      </c>
      <c r="D486" s="10" t="s">
        <v>1002</v>
      </c>
      <c r="E486" s="10" t="s">
        <v>1450</v>
      </c>
      <c r="F486" s="9"/>
      <c r="G486" s="9">
        <v>2</v>
      </c>
      <c r="H486" s="9">
        <v>0</v>
      </c>
      <c r="I486" s="9">
        <v>2</v>
      </c>
      <c r="J486" s="11">
        <v>0</v>
      </c>
      <c r="K486" s="24">
        <v>0.1</v>
      </c>
      <c r="L486" s="24">
        <v>0</v>
      </c>
      <c r="M486" s="24">
        <v>0</v>
      </c>
      <c r="N486" s="9">
        <v>0</v>
      </c>
      <c r="O486" s="9">
        <v>0</v>
      </c>
      <c r="P486" s="9">
        <v>0</v>
      </c>
      <c r="Q486" s="11">
        <v>0</v>
      </c>
      <c r="R486" s="10" t="s">
        <v>176</v>
      </c>
      <c r="S486" s="6"/>
      <c r="T486" s="6"/>
    </row>
    <row r="487" spans="1:20">
      <c r="A487" s="7">
        <v>46216</v>
      </c>
      <c r="B487" s="8">
        <v>46229</v>
      </c>
      <c r="C487" s="9">
        <v>14</v>
      </c>
      <c r="D487" s="10" t="s">
        <v>1002</v>
      </c>
      <c r="E487" s="10" t="s">
        <v>310</v>
      </c>
      <c r="F487" s="9"/>
      <c r="G487" s="9">
        <v>2</v>
      </c>
      <c r="H487" s="9">
        <v>0</v>
      </c>
      <c r="I487" s="9">
        <v>2</v>
      </c>
      <c r="J487" s="11">
        <v>0</v>
      </c>
      <c r="K487" s="24">
        <v>0.1</v>
      </c>
      <c r="L487" s="24">
        <v>0</v>
      </c>
      <c r="M487" s="24">
        <v>0</v>
      </c>
      <c r="N487" s="9">
        <v>0</v>
      </c>
      <c r="O487" s="9">
        <v>0</v>
      </c>
      <c r="P487" s="9">
        <v>0</v>
      </c>
      <c r="Q487" s="11">
        <v>0</v>
      </c>
      <c r="R487" s="10" t="s">
        <v>176</v>
      </c>
      <c r="S487" s="6"/>
      <c r="T487" s="6"/>
    </row>
    <row r="488" spans="1:20">
      <c r="A488" s="7">
        <v>46216</v>
      </c>
      <c r="B488" s="8">
        <v>46229</v>
      </c>
      <c r="C488" s="9">
        <v>14</v>
      </c>
      <c r="D488" s="10" t="s">
        <v>1002</v>
      </c>
      <c r="E488" s="10" t="s">
        <v>94</v>
      </c>
      <c r="F488" s="9"/>
      <c r="G488" s="9">
        <v>3</v>
      </c>
      <c r="H488" s="9">
        <v>0</v>
      </c>
      <c r="I488" s="9">
        <v>3</v>
      </c>
      <c r="J488" s="11">
        <v>0</v>
      </c>
      <c r="K488" s="24">
        <v>0.1</v>
      </c>
      <c r="L488" s="24">
        <v>0</v>
      </c>
      <c r="M488" s="24">
        <v>0</v>
      </c>
      <c r="N488" s="9">
        <v>0</v>
      </c>
      <c r="O488" s="9">
        <v>0</v>
      </c>
      <c r="P488" s="9">
        <v>0</v>
      </c>
      <c r="Q488" s="11">
        <v>0</v>
      </c>
      <c r="R488" s="10" t="s">
        <v>176</v>
      </c>
      <c r="S488" s="6"/>
      <c r="T488" s="6"/>
    </row>
    <row r="489" spans="1:20">
      <c r="A489" s="7">
        <v>46216</v>
      </c>
      <c r="B489" s="8">
        <v>46229</v>
      </c>
      <c r="C489" s="9">
        <v>14</v>
      </c>
      <c r="D489" s="10" t="s">
        <v>1002</v>
      </c>
      <c r="E489" s="10" t="s">
        <v>1199</v>
      </c>
      <c r="F489" s="9"/>
      <c r="G489" s="9">
        <v>4</v>
      </c>
      <c r="H489" s="9">
        <v>0</v>
      </c>
      <c r="I489" s="9">
        <v>4</v>
      </c>
      <c r="J489" s="11">
        <v>0</v>
      </c>
      <c r="K489" s="24">
        <v>0.1</v>
      </c>
      <c r="L489" s="24">
        <v>0</v>
      </c>
      <c r="M489" s="24">
        <v>0</v>
      </c>
      <c r="N489" s="9">
        <v>0</v>
      </c>
      <c r="O489" s="9">
        <v>0</v>
      </c>
      <c r="P489" s="9">
        <v>0</v>
      </c>
      <c r="Q489" s="11">
        <v>0</v>
      </c>
      <c r="R489" s="10" t="s">
        <v>176</v>
      </c>
      <c r="S489" s="6"/>
      <c r="T489" s="6"/>
    </row>
    <row r="490" spans="1:20">
      <c r="A490" s="7">
        <v>46216</v>
      </c>
      <c r="B490" s="8">
        <v>46229</v>
      </c>
      <c r="C490" s="9">
        <v>14</v>
      </c>
      <c r="D490" s="10" t="s">
        <v>1002</v>
      </c>
      <c r="E490" s="10" t="s">
        <v>312</v>
      </c>
      <c r="F490" s="9"/>
      <c r="G490" s="9">
        <v>5</v>
      </c>
      <c r="H490" s="9">
        <v>0</v>
      </c>
      <c r="I490" s="9">
        <v>5</v>
      </c>
      <c r="J490" s="11">
        <v>0</v>
      </c>
      <c r="K490" s="24">
        <v>0.1</v>
      </c>
      <c r="L490" s="24">
        <v>0</v>
      </c>
      <c r="M490" s="24">
        <v>0</v>
      </c>
      <c r="N490" s="9">
        <v>0</v>
      </c>
      <c r="O490" s="9">
        <v>0</v>
      </c>
      <c r="P490" s="9">
        <v>0</v>
      </c>
      <c r="Q490" s="11">
        <v>0</v>
      </c>
      <c r="R490" s="10" t="s">
        <v>176</v>
      </c>
      <c r="S490" s="6"/>
      <c r="T490" s="6"/>
    </row>
    <row r="491" spans="1:20">
      <c r="A491" s="7">
        <v>46216</v>
      </c>
      <c r="B491" s="8">
        <v>46229</v>
      </c>
      <c r="C491" s="9">
        <v>14</v>
      </c>
      <c r="D491" s="10" t="s">
        <v>1002</v>
      </c>
      <c r="E491" s="10" t="s">
        <v>2017</v>
      </c>
      <c r="F491" s="9"/>
      <c r="G491" s="9">
        <v>2</v>
      </c>
      <c r="H491" s="9">
        <v>0</v>
      </c>
      <c r="I491" s="9">
        <v>2</v>
      </c>
      <c r="J491" s="11">
        <v>0</v>
      </c>
      <c r="K491" s="24">
        <v>0</v>
      </c>
      <c r="L491" s="24">
        <v>0</v>
      </c>
      <c r="M491" s="24">
        <v>0</v>
      </c>
      <c r="N491" s="9">
        <v>0</v>
      </c>
      <c r="O491" s="9">
        <v>0</v>
      </c>
      <c r="P491" s="9">
        <v>0</v>
      </c>
      <c r="Q491" s="11">
        <v>0</v>
      </c>
      <c r="R491" s="10" t="s">
        <v>176</v>
      </c>
      <c r="S491" s="6"/>
      <c r="T491" s="6"/>
    </row>
    <row r="492" spans="1:20">
      <c r="A492" s="7">
        <v>46216</v>
      </c>
      <c r="B492" s="8">
        <v>46229</v>
      </c>
      <c r="C492" s="9">
        <v>14</v>
      </c>
      <c r="D492" s="10" t="s">
        <v>1002</v>
      </c>
      <c r="E492" s="10" t="s">
        <v>2018</v>
      </c>
      <c r="F492" s="9"/>
      <c r="G492" s="9">
        <v>2</v>
      </c>
      <c r="H492" s="9">
        <v>0</v>
      </c>
      <c r="I492" s="9">
        <v>2</v>
      </c>
      <c r="J492" s="11">
        <v>0</v>
      </c>
      <c r="K492" s="24">
        <v>0</v>
      </c>
      <c r="L492" s="24">
        <v>0</v>
      </c>
      <c r="M492" s="24">
        <v>0</v>
      </c>
      <c r="N492" s="9">
        <v>0</v>
      </c>
      <c r="O492" s="9">
        <v>0</v>
      </c>
      <c r="P492" s="9">
        <v>0</v>
      </c>
      <c r="Q492" s="11">
        <v>0</v>
      </c>
      <c r="R492" s="10" t="s">
        <v>176</v>
      </c>
      <c r="S492" s="6"/>
      <c r="T492" s="6"/>
    </row>
    <row r="493" spans="1:20">
      <c r="A493" s="7">
        <v>46216</v>
      </c>
      <c r="B493" s="8">
        <v>46229</v>
      </c>
      <c r="C493" s="9">
        <v>14</v>
      </c>
      <c r="D493" s="10" t="s">
        <v>1002</v>
      </c>
      <c r="E493" s="10" t="s">
        <v>2019</v>
      </c>
      <c r="F493" s="9"/>
      <c r="G493" s="9">
        <v>2</v>
      </c>
      <c r="H493" s="9">
        <v>0</v>
      </c>
      <c r="I493" s="9">
        <v>2</v>
      </c>
      <c r="J493" s="11">
        <v>0</v>
      </c>
      <c r="K493" s="24">
        <v>0</v>
      </c>
      <c r="L493" s="24">
        <v>0</v>
      </c>
      <c r="M493" s="24">
        <v>0</v>
      </c>
      <c r="N493" s="9">
        <v>0</v>
      </c>
      <c r="O493" s="9">
        <v>0</v>
      </c>
      <c r="P493" s="9">
        <v>0</v>
      </c>
      <c r="Q493" s="11">
        <v>0</v>
      </c>
      <c r="R493" s="10" t="s">
        <v>176</v>
      </c>
      <c r="S493" s="6"/>
      <c r="T493" s="6"/>
    </row>
    <row r="494" spans="1:20">
      <c r="A494" s="7">
        <v>46216</v>
      </c>
      <c r="B494" s="8">
        <v>46229</v>
      </c>
      <c r="C494" s="9">
        <v>14</v>
      </c>
      <c r="D494" s="10" t="s">
        <v>1002</v>
      </c>
      <c r="E494" s="10" t="s">
        <v>2020</v>
      </c>
      <c r="F494" s="9"/>
      <c r="G494" s="9">
        <v>2</v>
      </c>
      <c r="H494" s="9">
        <v>0</v>
      </c>
      <c r="I494" s="9">
        <v>2</v>
      </c>
      <c r="J494" s="11">
        <v>0</v>
      </c>
      <c r="K494" s="24">
        <v>0</v>
      </c>
      <c r="L494" s="24">
        <v>0</v>
      </c>
      <c r="M494" s="24">
        <v>0</v>
      </c>
      <c r="N494" s="9">
        <v>0</v>
      </c>
      <c r="O494" s="9">
        <v>0</v>
      </c>
      <c r="P494" s="9">
        <v>0</v>
      </c>
      <c r="Q494" s="11">
        <v>0</v>
      </c>
      <c r="R494" s="10" t="s">
        <v>176</v>
      </c>
      <c r="S494" s="6"/>
      <c r="T494" s="6"/>
    </row>
    <row r="495" spans="1:20">
      <c r="A495" s="7">
        <v>46216</v>
      </c>
      <c r="B495" s="8">
        <v>46229</v>
      </c>
      <c r="C495" s="9">
        <v>14</v>
      </c>
      <c r="D495" s="10" t="s">
        <v>1002</v>
      </c>
      <c r="E495" s="10" t="s">
        <v>2021</v>
      </c>
      <c r="F495" s="9"/>
      <c r="G495" s="9">
        <v>2</v>
      </c>
      <c r="H495" s="9">
        <v>0</v>
      </c>
      <c r="I495" s="9">
        <v>2</v>
      </c>
      <c r="J495" s="11">
        <v>0</v>
      </c>
      <c r="K495" s="24">
        <v>0</v>
      </c>
      <c r="L495" s="24">
        <v>0</v>
      </c>
      <c r="M495" s="24">
        <v>0</v>
      </c>
      <c r="N495" s="9">
        <v>0</v>
      </c>
      <c r="O495" s="9">
        <v>0</v>
      </c>
      <c r="P495" s="9">
        <v>0</v>
      </c>
      <c r="Q495" s="11">
        <v>0</v>
      </c>
      <c r="R495" s="10" t="s">
        <v>176</v>
      </c>
      <c r="S495" s="6"/>
      <c r="T495" s="6"/>
    </row>
    <row r="496" spans="1:20">
      <c r="A496" s="7">
        <v>46216</v>
      </c>
      <c r="B496" s="8">
        <v>46229</v>
      </c>
      <c r="C496" s="9">
        <v>14</v>
      </c>
      <c r="D496" s="10" t="s">
        <v>1002</v>
      </c>
      <c r="E496" s="10" t="s">
        <v>2022</v>
      </c>
      <c r="F496" s="9"/>
      <c r="G496" s="9">
        <v>2</v>
      </c>
      <c r="H496" s="9">
        <v>0</v>
      </c>
      <c r="I496" s="9">
        <v>2</v>
      </c>
      <c r="J496" s="11">
        <v>0</v>
      </c>
      <c r="K496" s="24">
        <v>0</v>
      </c>
      <c r="L496" s="24">
        <v>0</v>
      </c>
      <c r="M496" s="24">
        <v>0</v>
      </c>
      <c r="N496" s="9">
        <v>0</v>
      </c>
      <c r="O496" s="9">
        <v>0</v>
      </c>
      <c r="P496" s="9">
        <v>0</v>
      </c>
      <c r="Q496" s="11">
        <v>0</v>
      </c>
      <c r="R496" s="10" t="s">
        <v>176</v>
      </c>
      <c r="S496" s="6"/>
      <c r="T496" s="6"/>
    </row>
    <row r="497" spans="1:20">
      <c r="A497" s="7">
        <v>46216</v>
      </c>
      <c r="B497" s="8">
        <v>46229</v>
      </c>
      <c r="C497" s="9">
        <v>14</v>
      </c>
      <c r="D497" s="10" t="s">
        <v>1002</v>
      </c>
      <c r="E497" s="10" t="s">
        <v>2023</v>
      </c>
      <c r="F497" s="9"/>
      <c r="G497" s="9">
        <v>2</v>
      </c>
      <c r="H497" s="9">
        <v>0</v>
      </c>
      <c r="I497" s="9">
        <v>2</v>
      </c>
      <c r="J497" s="11">
        <v>0</v>
      </c>
      <c r="K497" s="24">
        <v>0</v>
      </c>
      <c r="L497" s="24">
        <v>0</v>
      </c>
      <c r="M497" s="24">
        <v>0</v>
      </c>
      <c r="N497" s="9">
        <v>0</v>
      </c>
      <c r="O497" s="9">
        <v>0</v>
      </c>
      <c r="P497" s="9">
        <v>0</v>
      </c>
      <c r="Q497" s="11">
        <v>0</v>
      </c>
      <c r="R497" s="10" t="s">
        <v>176</v>
      </c>
      <c r="S497" s="6"/>
      <c r="T497" s="6"/>
    </row>
    <row r="498" spans="1:20">
      <c r="A498" s="7">
        <v>46216</v>
      </c>
      <c r="B498" s="8">
        <v>46229</v>
      </c>
      <c r="C498" s="9">
        <v>14</v>
      </c>
      <c r="D498" s="10" t="s">
        <v>1002</v>
      </c>
      <c r="E498" s="10" t="s">
        <v>2024</v>
      </c>
      <c r="F498" s="9"/>
      <c r="G498" s="9">
        <v>2</v>
      </c>
      <c r="H498" s="9">
        <v>0</v>
      </c>
      <c r="I498" s="9">
        <v>2</v>
      </c>
      <c r="J498" s="11">
        <v>0</v>
      </c>
      <c r="K498" s="24">
        <v>0</v>
      </c>
      <c r="L498" s="24">
        <v>0</v>
      </c>
      <c r="M498" s="24">
        <v>0</v>
      </c>
      <c r="N498" s="9">
        <v>0</v>
      </c>
      <c r="O498" s="9">
        <v>0</v>
      </c>
      <c r="P498" s="9">
        <v>0</v>
      </c>
      <c r="Q498" s="11">
        <v>0</v>
      </c>
      <c r="R498" s="10" t="s">
        <v>176</v>
      </c>
      <c r="S498" s="6"/>
      <c r="T498" s="6"/>
    </row>
    <row r="499" spans="1:20">
      <c r="A499" s="7">
        <v>46216</v>
      </c>
      <c r="B499" s="8">
        <v>46229</v>
      </c>
      <c r="C499" s="9">
        <v>14</v>
      </c>
      <c r="D499" s="10" t="s">
        <v>1002</v>
      </c>
      <c r="E499" s="10" t="s">
        <v>2025</v>
      </c>
      <c r="F499" s="9"/>
      <c r="G499" s="9">
        <v>2</v>
      </c>
      <c r="H499" s="9">
        <v>0</v>
      </c>
      <c r="I499" s="9">
        <v>2</v>
      </c>
      <c r="J499" s="11">
        <v>0</v>
      </c>
      <c r="K499" s="24">
        <v>0</v>
      </c>
      <c r="L499" s="24">
        <v>0</v>
      </c>
      <c r="M499" s="24">
        <v>0</v>
      </c>
      <c r="N499" s="9">
        <v>0</v>
      </c>
      <c r="O499" s="9">
        <v>0</v>
      </c>
      <c r="P499" s="9">
        <v>0</v>
      </c>
      <c r="Q499" s="11">
        <v>0</v>
      </c>
      <c r="R499" s="10" t="s">
        <v>176</v>
      </c>
      <c r="S499" s="6"/>
      <c r="T499" s="6"/>
    </row>
    <row r="500" spans="1:20">
      <c r="A500" s="7">
        <v>46216</v>
      </c>
      <c r="B500" s="8">
        <v>46229</v>
      </c>
      <c r="C500" s="9">
        <v>14</v>
      </c>
      <c r="D500" s="10" t="s">
        <v>1002</v>
      </c>
      <c r="E500" s="10" t="s">
        <v>2026</v>
      </c>
      <c r="F500" s="9"/>
      <c r="G500" s="9">
        <v>2</v>
      </c>
      <c r="H500" s="9">
        <v>0</v>
      </c>
      <c r="I500" s="9">
        <v>2</v>
      </c>
      <c r="J500" s="11">
        <v>0</v>
      </c>
      <c r="K500" s="24">
        <v>0</v>
      </c>
      <c r="L500" s="24">
        <v>0</v>
      </c>
      <c r="M500" s="24">
        <v>0</v>
      </c>
      <c r="N500" s="9">
        <v>0</v>
      </c>
      <c r="O500" s="9">
        <v>0</v>
      </c>
      <c r="P500" s="9">
        <v>0</v>
      </c>
      <c r="Q500" s="11">
        <v>0</v>
      </c>
      <c r="R500" s="10" t="s">
        <v>176</v>
      </c>
      <c r="S500" s="6"/>
      <c r="T500" s="6"/>
    </row>
    <row r="501" spans="1:20">
      <c r="A501" s="7">
        <v>46216</v>
      </c>
      <c r="B501" s="8">
        <v>46229</v>
      </c>
      <c r="C501" s="9">
        <v>14</v>
      </c>
      <c r="D501" s="10" t="s">
        <v>1002</v>
      </c>
      <c r="E501" s="10" t="s">
        <v>313</v>
      </c>
      <c r="F501" s="9"/>
      <c r="G501" s="9">
        <v>2</v>
      </c>
      <c r="H501" s="9">
        <v>0</v>
      </c>
      <c r="I501" s="9">
        <v>2</v>
      </c>
      <c r="J501" s="11">
        <v>0</v>
      </c>
      <c r="K501" s="24">
        <v>0</v>
      </c>
      <c r="L501" s="24">
        <v>0</v>
      </c>
      <c r="M501" s="24">
        <v>0</v>
      </c>
      <c r="N501" s="9">
        <v>0</v>
      </c>
      <c r="O501" s="9">
        <v>0</v>
      </c>
      <c r="P501" s="9">
        <v>0</v>
      </c>
      <c r="Q501" s="11">
        <v>0</v>
      </c>
      <c r="R501" s="10" t="s">
        <v>176</v>
      </c>
      <c r="S501" s="6"/>
      <c r="T501" s="6"/>
    </row>
    <row r="502" spans="1:20">
      <c r="A502" s="7">
        <v>46216</v>
      </c>
      <c r="B502" s="8">
        <v>46229</v>
      </c>
      <c r="C502" s="9">
        <v>14</v>
      </c>
      <c r="D502" s="10" t="s">
        <v>1002</v>
      </c>
      <c r="E502" s="10" t="s">
        <v>2027</v>
      </c>
      <c r="F502" s="9"/>
      <c r="G502" s="9">
        <v>2</v>
      </c>
      <c r="H502" s="9">
        <v>0</v>
      </c>
      <c r="I502" s="9">
        <v>2</v>
      </c>
      <c r="J502" s="11">
        <v>0</v>
      </c>
      <c r="K502" s="24">
        <v>0</v>
      </c>
      <c r="L502" s="24">
        <v>0</v>
      </c>
      <c r="M502" s="24">
        <v>0</v>
      </c>
      <c r="N502" s="9">
        <v>0</v>
      </c>
      <c r="O502" s="9">
        <v>0</v>
      </c>
      <c r="P502" s="9">
        <v>0</v>
      </c>
      <c r="Q502" s="11">
        <v>0</v>
      </c>
      <c r="R502" s="10" t="s">
        <v>176</v>
      </c>
      <c r="S502" s="6"/>
      <c r="T502" s="6"/>
    </row>
    <row r="503" spans="1:20">
      <c r="A503" s="7">
        <v>46216</v>
      </c>
      <c r="B503" s="8">
        <v>46229</v>
      </c>
      <c r="C503" s="9">
        <v>14</v>
      </c>
      <c r="D503" s="10" t="s">
        <v>1002</v>
      </c>
      <c r="E503" s="10" t="s">
        <v>315</v>
      </c>
      <c r="F503" s="9"/>
      <c r="G503" s="9">
        <v>14</v>
      </c>
      <c r="H503" s="9">
        <v>0</v>
      </c>
      <c r="I503" s="9">
        <v>14</v>
      </c>
      <c r="J503" s="11">
        <v>0</v>
      </c>
      <c r="K503" s="24">
        <v>0.1</v>
      </c>
      <c r="L503" s="24">
        <v>0</v>
      </c>
      <c r="M503" s="24">
        <v>0</v>
      </c>
      <c r="N503" s="9">
        <v>0</v>
      </c>
      <c r="O503" s="9">
        <v>0</v>
      </c>
      <c r="P503" s="9">
        <v>0</v>
      </c>
      <c r="Q503" s="11">
        <v>0</v>
      </c>
      <c r="R503" s="10" t="s">
        <v>176</v>
      </c>
      <c r="S503" s="6"/>
      <c r="T503" s="6"/>
    </row>
    <row r="504" spans="1:20">
      <c r="A504" s="7">
        <v>46216</v>
      </c>
      <c r="B504" s="8">
        <v>46229</v>
      </c>
      <c r="C504" s="9">
        <v>14</v>
      </c>
      <c r="D504" s="10" t="s">
        <v>1002</v>
      </c>
      <c r="E504" s="10" t="s">
        <v>1316</v>
      </c>
      <c r="F504" s="9"/>
      <c r="G504" s="9">
        <v>3</v>
      </c>
      <c r="H504" s="9">
        <v>0</v>
      </c>
      <c r="I504" s="9">
        <v>3</v>
      </c>
      <c r="J504" s="11">
        <v>0</v>
      </c>
      <c r="K504" s="24">
        <v>0.1</v>
      </c>
      <c r="L504" s="24">
        <v>0</v>
      </c>
      <c r="M504" s="24">
        <v>0</v>
      </c>
      <c r="N504" s="9">
        <v>0</v>
      </c>
      <c r="O504" s="9">
        <v>0</v>
      </c>
      <c r="P504" s="9">
        <v>0</v>
      </c>
      <c r="Q504" s="11">
        <v>0</v>
      </c>
      <c r="R504" s="10" t="s">
        <v>176</v>
      </c>
      <c r="S504" s="6"/>
      <c r="T504" s="6"/>
    </row>
    <row r="505" spans="1:20">
      <c r="A505" s="7">
        <v>46216</v>
      </c>
      <c r="B505" s="8">
        <v>46229</v>
      </c>
      <c r="C505" s="9">
        <v>14</v>
      </c>
      <c r="D505" s="10" t="s">
        <v>1002</v>
      </c>
      <c r="E505" s="10" t="s">
        <v>2029</v>
      </c>
      <c r="F505" s="9"/>
      <c r="G505" s="9">
        <v>2</v>
      </c>
      <c r="H505" s="9">
        <v>0</v>
      </c>
      <c r="I505" s="9">
        <v>2</v>
      </c>
      <c r="J505" s="11">
        <v>0</v>
      </c>
      <c r="K505" s="24">
        <v>0</v>
      </c>
      <c r="L505" s="24">
        <v>0</v>
      </c>
      <c r="M505" s="24">
        <v>0</v>
      </c>
      <c r="N505" s="9">
        <v>0</v>
      </c>
      <c r="O505" s="9">
        <v>0</v>
      </c>
      <c r="P505" s="9">
        <v>0</v>
      </c>
      <c r="Q505" s="11">
        <v>0</v>
      </c>
      <c r="R505" s="10" t="s">
        <v>176</v>
      </c>
      <c r="S505" s="6"/>
      <c r="T505" s="6"/>
    </row>
    <row r="506" spans="1:20">
      <c r="A506" s="7">
        <v>46216</v>
      </c>
      <c r="B506" s="8">
        <v>46229</v>
      </c>
      <c r="C506" s="9">
        <v>14</v>
      </c>
      <c r="D506" s="10" t="s">
        <v>1002</v>
      </c>
      <c r="E506" s="10" t="s">
        <v>2031</v>
      </c>
      <c r="F506" s="9"/>
      <c r="G506" s="9">
        <v>2</v>
      </c>
      <c r="H506" s="9">
        <v>0</v>
      </c>
      <c r="I506" s="9">
        <v>2</v>
      </c>
      <c r="J506" s="11">
        <v>0</v>
      </c>
      <c r="K506" s="24">
        <v>0.1</v>
      </c>
      <c r="L506" s="24">
        <v>0</v>
      </c>
      <c r="M506" s="24">
        <v>0</v>
      </c>
      <c r="N506" s="9">
        <v>0</v>
      </c>
      <c r="O506" s="9">
        <v>0</v>
      </c>
      <c r="P506" s="9">
        <v>0</v>
      </c>
      <c r="Q506" s="11">
        <v>0</v>
      </c>
      <c r="R506" s="10" t="s">
        <v>176</v>
      </c>
      <c r="S506" s="6"/>
      <c r="T506" s="6"/>
    </row>
    <row r="507" spans="1:20">
      <c r="A507" s="7">
        <v>46216</v>
      </c>
      <c r="B507" s="8">
        <v>46229</v>
      </c>
      <c r="C507" s="9">
        <v>14</v>
      </c>
      <c r="D507" s="10" t="s">
        <v>1002</v>
      </c>
      <c r="E507" s="10" t="s">
        <v>321</v>
      </c>
      <c r="F507" s="9"/>
      <c r="G507" s="9">
        <v>5</v>
      </c>
      <c r="H507" s="9">
        <v>0</v>
      </c>
      <c r="I507" s="9">
        <v>5</v>
      </c>
      <c r="J507" s="11">
        <v>0</v>
      </c>
      <c r="K507" s="24">
        <v>0.1</v>
      </c>
      <c r="L507" s="24">
        <v>0</v>
      </c>
      <c r="M507" s="24">
        <v>0</v>
      </c>
      <c r="N507" s="9">
        <v>0</v>
      </c>
      <c r="O507" s="9">
        <v>0</v>
      </c>
      <c r="P507" s="9">
        <v>0</v>
      </c>
      <c r="Q507" s="11">
        <v>0</v>
      </c>
      <c r="R507" s="10" t="s">
        <v>176</v>
      </c>
      <c r="S507" s="6"/>
      <c r="T507" s="6"/>
    </row>
    <row r="508" spans="1:20">
      <c r="A508" s="7">
        <v>46216</v>
      </c>
      <c r="B508" s="8">
        <v>46229</v>
      </c>
      <c r="C508" s="9">
        <v>14</v>
      </c>
      <c r="D508" s="10" t="s">
        <v>1002</v>
      </c>
      <c r="E508" s="10" t="s">
        <v>322</v>
      </c>
      <c r="F508" s="9"/>
      <c r="G508" s="9">
        <v>4</v>
      </c>
      <c r="H508" s="9">
        <v>0</v>
      </c>
      <c r="I508" s="9">
        <v>4</v>
      </c>
      <c r="J508" s="11">
        <v>0</v>
      </c>
      <c r="K508" s="24">
        <v>0.1</v>
      </c>
      <c r="L508" s="24">
        <v>0</v>
      </c>
      <c r="M508" s="24">
        <v>0</v>
      </c>
      <c r="N508" s="9">
        <v>0</v>
      </c>
      <c r="O508" s="9">
        <v>0</v>
      </c>
      <c r="P508" s="9">
        <v>0</v>
      </c>
      <c r="Q508" s="11">
        <v>0</v>
      </c>
      <c r="R508" s="10" t="s">
        <v>176</v>
      </c>
      <c r="S508" s="6"/>
      <c r="T508" s="6"/>
    </row>
    <row r="509" spans="1:20">
      <c r="A509" s="7">
        <v>46216</v>
      </c>
      <c r="B509" s="8">
        <v>46229</v>
      </c>
      <c r="C509" s="9">
        <v>14</v>
      </c>
      <c r="D509" s="10" t="s">
        <v>1002</v>
      </c>
      <c r="E509" s="10" t="s">
        <v>323</v>
      </c>
      <c r="F509" s="9"/>
      <c r="G509" s="9">
        <v>2</v>
      </c>
      <c r="H509" s="9">
        <v>0</v>
      </c>
      <c r="I509" s="9">
        <v>2</v>
      </c>
      <c r="J509" s="11">
        <v>0</v>
      </c>
      <c r="K509" s="24">
        <v>0.1</v>
      </c>
      <c r="L509" s="24">
        <v>0</v>
      </c>
      <c r="M509" s="24">
        <v>0</v>
      </c>
      <c r="N509" s="9">
        <v>0</v>
      </c>
      <c r="O509" s="9">
        <v>0</v>
      </c>
      <c r="P509" s="9">
        <v>0</v>
      </c>
      <c r="Q509" s="11">
        <v>0</v>
      </c>
      <c r="R509" s="10" t="s">
        <v>176</v>
      </c>
      <c r="S509" s="6"/>
      <c r="T509" s="6"/>
    </row>
    <row r="510" spans="1:20">
      <c r="A510" s="7">
        <v>46216</v>
      </c>
      <c r="B510" s="8">
        <v>46229</v>
      </c>
      <c r="C510" s="9">
        <v>14</v>
      </c>
      <c r="D510" s="10" t="s">
        <v>1002</v>
      </c>
      <c r="E510" s="10" t="s">
        <v>1015</v>
      </c>
      <c r="F510" s="9"/>
      <c r="G510" s="9">
        <v>15</v>
      </c>
      <c r="H510" s="9">
        <v>0</v>
      </c>
      <c r="I510" s="9">
        <v>15</v>
      </c>
      <c r="J510" s="11">
        <v>0</v>
      </c>
      <c r="K510" s="24">
        <v>0.1</v>
      </c>
      <c r="L510" s="24">
        <v>0</v>
      </c>
      <c r="M510" s="24">
        <v>0</v>
      </c>
      <c r="N510" s="9">
        <v>0</v>
      </c>
      <c r="O510" s="9">
        <v>0</v>
      </c>
      <c r="P510" s="9">
        <v>0</v>
      </c>
      <c r="Q510" s="11">
        <v>0</v>
      </c>
      <c r="R510" s="10" t="s">
        <v>176</v>
      </c>
      <c r="S510" s="6"/>
      <c r="T510" s="6"/>
    </row>
    <row r="511" spans="1:20">
      <c r="A511" s="7">
        <v>46216</v>
      </c>
      <c r="B511" s="8">
        <v>46229</v>
      </c>
      <c r="C511" s="9">
        <v>14</v>
      </c>
      <c r="D511" s="10" t="s">
        <v>1002</v>
      </c>
      <c r="E511" s="10" t="s">
        <v>324</v>
      </c>
      <c r="F511" s="9"/>
      <c r="G511" s="9">
        <v>20</v>
      </c>
      <c r="H511" s="9">
        <v>0</v>
      </c>
      <c r="I511" s="9">
        <v>20</v>
      </c>
      <c r="J511" s="11">
        <v>0</v>
      </c>
      <c r="K511" s="24">
        <v>0.1</v>
      </c>
      <c r="L511" s="24">
        <v>0</v>
      </c>
      <c r="M511" s="24">
        <v>0</v>
      </c>
      <c r="N511" s="9">
        <v>0</v>
      </c>
      <c r="O511" s="9">
        <v>0</v>
      </c>
      <c r="P511" s="9">
        <v>0</v>
      </c>
      <c r="Q511" s="11">
        <v>0</v>
      </c>
      <c r="R511" s="10" t="s">
        <v>176</v>
      </c>
      <c r="S511" s="6"/>
      <c r="T511" s="6"/>
    </row>
    <row r="512" spans="1:20">
      <c r="A512" s="7">
        <v>46216</v>
      </c>
      <c r="B512" s="8">
        <v>46229</v>
      </c>
      <c r="C512" s="9">
        <v>14</v>
      </c>
      <c r="D512" s="10" t="s">
        <v>1002</v>
      </c>
      <c r="E512" s="10" t="s">
        <v>2032</v>
      </c>
      <c r="F512" s="9"/>
      <c r="G512" s="9">
        <v>1</v>
      </c>
      <c r="H512" s="9">
        <v>0</v>
      </c>
      <c r="I512" s="9">
        <v>1</v>
      </c>
      <c r="J512" s="11">
        <v>0</v>
      </c>
      <c r="K512" s="24">
        <v>0</v>
      </c>
      <c r="L512" s="24">
        <v>0</v>
      </c>
      <c r="M512" s="24">
        <v>0</v>
      </c>
      <c r="N512" s="9">
        <v>0</v>
      </c>
      <c r="O512" s="9">
        <v>0</v>
      </c>
      <c r="P512" s="9">
        <v>0</v>
      </c>
      <c r="Q512" s="11">
        <v>0</v>
      </c>
      <c r="R512" s="10" t="s">
        <v>176</v>
      </c>
      <c r="S512" s="6"/>
      <c r="T512" s="6"/>
    </row>
    <row r="513" spans="1:20">
      <c r="A513" s="7">
        <v>46216</v>
      </c>
      <c r="B513" s="8">
        <v>46229</v>
      </c>
      <c r="C513" s="9">
        <v>14</v>
      </c>
      <c r="D513" s="10" t="s">
        <v>1002</v>
      </c>
      <c r="E513" s="10" t="s">
        <v>1457</v>
      </c>
      <c r="F513" s="9"/>
      <c r="G513" s="9">
        <v>2</v>
      </c>
      <c r="H513" s="9">
        <v>0</v>
      </c>
      <c r="I513" s="9">
        <v>2</v>
      </c>
      <c r="J513" s="11">
        <v>0</v>
      </c>
      <c r="K513" s="24">
        <v>0.1</v>
      </c>
      <c r="L513" s="24">
        <v>0</v>
      </c>
      <c r="M513" s="24">
        <v>0</v>
      </c>
      <c r="N513" s="9">
        <v>0</v>
      </c>
      <c r="O513" s="9">
        <v>0</v>
      </c>
      <c r="P513" s="9">
        <v>0</v>
      </c>
      <c r="Q513" s="11">
        <v>0</v>
      </c>
      <c r="R513" s="10" t="s">
        <v>176</v>
      </c>
      <c r="S513" s="6"/>
      <c r="T513" s="6"/>
    </row>
    <row r="514" spans="1:20">
      <c r="A514" s="7">
        <v>46216</v>
      </c>
      <c r="B514" s="8">
        <v>46229</v>
      </c>
      <c r="C514" s="9">
        <v>14</v>
      </c>
      <c r="D514" s="10" t="s">
        <v>1002</v>
      </c>
      <c r="E514" s="10" t="s">
        <v>1667</v>
      </c>
      <c r="F514" s="9"/>
      <c r="G514" s="9">
        <v>1</v>
      </c>
      <c r="H514" s="9">
        <v>0</v>
      </c>
      <c r="I514" s="9">
        <v>1</v>
      </c>
      <c r="J514" s="11">
        <v>0</v>
      </c>
      <c r="K514" s="24">
        <v>0.1</v>
      </c>
      <c r="L514" s="24">
        <v>0</v>
      </c>
      <c r="M514" s="24">
        <v>0</v>
      </c>
      <c r="N514" s="9">
        <v>0</v>
      </c>
      <c r="O514" s="9">
        <v>0</v>
      </c>
      <c r="P514" s="9">
        <v>0</v>
      </c>
      <c r="Q514" s="11">
        <v>0</v>
      </c>
      <c r="R514" s="10" t="s">
        <v>176</v>
      </c>
      <c r="S514" s="6"/>
      <c r="T514" s="6"/>
    </row>
    <row r="515" spans="1:20">
      <c r="A515" s="7">
        <v>46216</v>
      </c>
      <c r="B515" s="8">
        <v>46229</v>
      </c>
      <c r="C515" s="9">
        <v>14</v>
      </c>
      <c r="D515" s="10" t="s">
        <v>1002</v>
      </c>
      <c r="E515" s="10" t="s">
        <v>3857</v>
      </c>
      <c r="F515" s="9"/>
      <c r="G515" s="9">
        <v>1</v>
      </c>
      <c r="H515" s="9">
        <v>0</v>
      </c>
      <c r="I515" s="9">
        <v>1</v>
      </c>
      <c r="J515" s="11">
        <v>0</v>
      </c>
      <c r="K515" s="24">
        <v>0</v>
      </c>
      <c r="L515" s="24">
        <v>0</v>
      </c>
      <c r="M515" s="24">
        <v>0</v>
      </c>
      <c r="N515" s="9">
        <v>0</v>
      </c>
      <c r="O515" s="9">
        <v>0</v>
      </c>
      <c r="P515" s="9">
        <v>0</v>
      </c>
      <c r="Q515" s="11">
        <v>0</v>
      </c>
      <c r="R515" s="10" t="s">
        <v>176</v>
      </c>
      <c r="S515" s="6"/>
      <c r="T515" s="6"/>
    </row>
    <row r="516" spans="1:20">
      <c r="A516" s="7">
        <v>46216</v>
      </c>
      <c r="B516" s="8">
        <v>46229</v>
      </c>
      <c r="C516" s="9">
        <v>14</v>
      </c>
      <c r="D516" s="10" t="s">
        <v>1002</v>
      </c>
      <c r="E516" s="10" t="s">
        <v>1669</v>
      </c>
      <c r="F516" s="9"/>
      <c r="G516" s="9">
        <v>1</v>
      </c>
      <c r="H516" s="9">
        <v>0</v>
      </c>
      <c r="I516" s="9">
        <v>1</v>
      </c>
      <c r="J516" s="11">
        <v>0</v>
      </c>
      <c r="K516" s="24">
        <v>0.1</v>
      </c>
      <c r="L516" s="24">
        <v>0</v>
      </c>
      <c r="M516" s="24">
        <v>0</v>
      </c>
      <c r="N516" s="9">
        <v>0</v>
      </c>
      <c r="O516" s="9">
        <v>0</v>
      </c>
      <c r="P516" s="9">
        <v>0</v>
      </c>
      <c r="Q516" s="11">
        <v>0</v>
      </c>
      <c r="R516" s="10" t="s">
        <v>176</v>
      </c>
      <c r="S516" s="6"/>
      <c r="T516" s="6"/>
    </row>
    <row r="517" spans="1:20">
      <c r="A517" s="7">
        <v>46216</v>
      </c>
      <c r="B517" s="8">
        <v>46229</v>
      </c>
      <c r="C517" s="9">
        <v>14</v>
      </c>
      <c r="D517" s="10" t="s">
        <v>1002</v>
      </c>
      <c r="E517" s="10" t="s">
        <v>326</v>
      </c>
      <c r="F517" s="9"/>
      <c r="G517" s="9">
        <v>6</v>
      </c>
      <c r="H517" s="9">
        <v>0</v>
      </c>
      <c r="I517" s="9">
        <v>6</v>
      </c>
      <c r="J517" s="11">
        <v>0</v>
      </c>
      <c r="K517" s="24">
        <v>0.1</v>
      </c>
      <c r="L517" s="24">
        <v>0</v>
      </c>
      <c r="M517" s="24">
        <v>0</v>
      </c>
      <c r="N517" s="9">
        <v>0</v>
      </c>
      <c r="O517" s="9">
        <v>0</v>
      </c>
      <c r="P517" s="9">
        <v>0</v>
      </c>
      <c r="Q517" s="11">
        <v>0</v>
      </c>
      <c r="R517" s="10" t="s">
        <v>176</v>
      </c>
      <c r="S517" s="6"/>
      <c r="T517" s="6"/>
    </row>
    <row r="518" spans="1:20">
      <c r="A518" s="7">
        <v>46216</v>
      </c>
      <c r="B518" s="8">
        <v>46229</v>
      </c>
      <c r="C518" s="9">
        <v>14</v>
      </c>
      <c r="D518" s="10" t="s">
        <v>1002</v>
      </c>
      <c r="E518" s="10" t="s">
        <v>1318</v>
      </c>
      <c r="F518" s="9"/>
      <c r="G518" s="9">
        <v>3</v>
      </c>
      <c r="H518" s="9">
        <v>0</v>
      </c>
      <c r="I518" s="9">
        <v>3</v>
      </c>
      <c r="J518" s="11">
        <v>0</v>
      </c>
      <c r="K518" s="24">
        <v>0.1</v>
      </c>
      <c r="L518" s="24">
        <v>0</v>
      </c>
      <c r="M518" s="24">
        <v>0</v>
      </c>
      <c r="N518" s="9">
        <v>0</v>
      </c>
      <c r="O518" s="9">
        <v>0</v>
      </c>
      <c r="P518" s="9">
        <v>0</v>
      </c>
      <c r="Q518" s="11">
        <v>0</v>
      </c>
      <c r="R518" s="10" t="s">
        <v>176</v>
      </c>
      <c r="S518" s="6"/>
      <c r="T518" s="6"/>
    </row>
    <row r="519" spans="1:20">
      <c r="A519" s="7">
        <v>46216</v>
      </c>
      <c r="B519" s="8">
        <v>46229</v>
      </c>
      <c r="C519" s="9">
        <v>14</v>
      </c>
      <c r="D519" s="10" t="s">
        <v>1002</v>
      </c>
      <c r="E519" s="10" t="s">
        <v>1671</v>
      </c>
      <c r="F519" s="9"/>
      <c r="G519" s="9">
        <v>1</v>
      </c>
      <c r="H519" s="9">
        <v>0</v>
      </c>
      <c r="I519" s="9">
        <v>1</v>
      </c>
      <c r="J519" s="11">
        <v>0</v>
      </c>
      <c r="K519" s="24">
        <v>0.1</v>
      </c>
      <c r="L519" s="24">
        <v>0</v>
      </c>
      <c r="M519" s="24">
        <v>0</v>
      </c>
      <c r="N519" s="9">
        <v>0</v>
      </c>
      <c r="O519" s="9">
        <v>0</v>
      </c>
      <c r="P519" s="9">
        <v>0</v>
      </c>
      <c r="Q519" s="11">
        <v>0</v>
      </c>
      <c r="R519" s="10" t="s">
        <v>176</v>
      </c>
      <c r="S519" s="6"/>
      <c r="T519" s="6"/>
    </row>
    <row r="520" spans="1:20">
      <c r="A520" s="7">
        <v>46216</v>
      </c>
      <c r="B520" s="8">
        <v>46229</v>
      </c>
      <c r="C520" s="9">
        <v>14</v>
      </c>
      <c r="D520" s="10" t="s">
        <v>1002</v>
      </c>
      <c r="E520" s="10" t="s">
        <v>2039</v>
      </c>
      <c r="F520" s="9"/>
      <c r="G520" s="9">
        <v>5</v>
      </c>
      <c r="H520" s="9">
        <v>0</v>
      </c>
      <c r="I520" s="9">
        <v>5</v>
      </c>
      <c r="J520" s="11">
        <v>0</v>
      </c>
      <c r="K520" s="24">
        <v>0.1</v>
      </c>
      <c r="L520" s="24">
        <v>0</v>
      </c>
      <c r="M520" s="24">
        <v>0</v>
      </c>
      <c r="N520" s="9">
        <v>0</v>
      </c>
      <c r="O520" s="9">
        <v>0</v>
      </c>
      <c r="P520" s="9">
        <v>0</v>
      </c>
      <c r="Q520" s="11">
        <v>0</v>
      </c>
      <c r="R520" s="10" t="s">
        <v>176</v>
      </c>
      <c r="S520" s="6"/>
      <c r="T520" s="6"/>
    </row>
    <row r="521" spans="1:20">
      <c r="A521" s="7">
        <v>46216</v>
      </c>
      <c r="B521" s="8">
        <v>46229</v>
      </c>
      <c r="C521" s="9">
        <v>14</v>
      </c>
      <c r="D521" s="10" t="s">
        <v>1002</v>
      </c>
      <c r="E521" s="10" t="s">
        <v>2040</v>
      </c>
      <c r="F521" s="9"/>
      <c r="G521" s="9">
        <v>4</v>
      </c>
      <c r="H521" s="9">
        <v>0</v>
      </c>
      <c r="I521" s="9">
        <v>4</v>
      </c>
      <c r="J521" s="11">
        <v>0</v>
      </c>
      <c r="K521" s="24">
        <v>0.1</v>
      </c>
      <c r="L521" s="24">
        <v>0</v>
      </c>
      <c r="M521" s="24">
        <v>0</v>
      </c>
      <c r="N521" s="9">
        <v>0</v>
      </c>
      <c r="O521" s="9">
        <v>0</v>
      </c>
      <c r="P521" s="9">
        <v>0</v>
      </c>
      <c r="Q521" s="11">
        <v>0</v>
      </c>
      <c r="R521" s="10" t="s">
        <v>176</v>
      </c>
      <c r="S521" s="6"/>
      <c r="T521" s="6"/>
    </row>
    <row r="522" spans="1:20">
      <c r="A522" s="7">
        <v>46216</v>
      </c>
      <c r="B522" s="8">
        <v>46229</v>
      </c>
      <c r="C522" s="9">
        <v>14</v>
      </c>
      <c r="D522" s="10" t="s">
        <v>1002</v>
      </c>
      <c r="E522" s="10" t="s">
        <v>2041</v>
      </c>
      <c r="F522" s="9"/>
      <c r="G522" s="9">
        <v>8</v>
      </c>
      <c r="H522" s="9">
        <v>0</v>
      </c>
      <c r="I522" s="9">
        <v>8</v>
      </c>
      <c r="J522" s="11">
        <v>0</v>
      </c>
      <c r="K522" s="24">
        <v>0.1</v>
      </c>
      <c r="L522" s="24">
        <v>0</v>
      </c>
      <c r="M522" s="24">
        <v>0</v>
      </c>
      <c r="N522" s="9">
        <v>0</v>
      </c>
      <c r="O522" s="9">
        <v>0</v>
      </c>
      <c r="P522" s="9">
        <v>0</v>
      </c>
      <c r="Q522" s="11">
        <v>0</v>
      </c>
      <c r="R522" s="10" t="s">
        <v>176</v>
      </c>
      <c r="S522" s="6"/>
      <c r="T522" s="6"/>
    </row>
    <row r="523" spans="1:20">
      <c r="A523" s="7">
        <v>46216</v>
      </c>
      <c r="B523" s="8">
        <v>46229</v>
      </c>
      <c r="C523" s="9">
        <v>14</v>
      </c>
      <c r="D523" s="10" t="s">
        <v>1002</v>
      </c>
      <c r="E523" s="10" t="s">
        <v>2042</v>
      </c>
      <c r="F523" s="9"/>
      <c r="G523" s="9">
        <v>3</v>
      </c>
      <c r="H523" s="9">
        <v>0</v>
      </c>
      <c r="I523" s="9">
        <v>3</v>
      </c>
      <c r="J523" s="11">
        <v>0</v>
      </c>
      <c r="K523" s="24">
        <v>0.1</v>
      </c>
      <c r="L523" s="24">
        <v>0</v>
      </c>
      <c r="M523" s="24">
        <v>0</v>
      </c>
      <c r="N523" s="9">
        <v>0</v>
      </c>
      <c r="O523" s="9">
        <v>0</v>
      </c>
      <c r="P523" s="9">
        <v>0</v>
      </c>
      <c r="Q523" s="11">
        <v>0</v>
      </c>
      <c r="R523" s="10" t="s">
        <v>176</v>
      </c>
      <c r="S523" s="6"/>
      <c r="T523" s="6"/>
    </row>
    <row r="524" spans="1:20">
      <c r="A524" s="7">
        <v>46216</v>
      </c>
      <c r="B524" s="8">
        <v>46229</v>
      </c>
      <c r="C524" s="9">
        <v>14</v>
      </c>
      <c r="D524" s="10" t="s">
        <v>1002</v>
      </c>
      <c r="E524" s="10" t="s">
        <v>2043</v>
      </c>
      <c r="F524" s="9"/>
      <c r="G524" s="9">
        <v>4</v>
      </c>
      <c r="H524" s="9">
        <v>0</v>
      </c>
      <c r="I524" s="9">
        <v>4</v>
      </c>
      <c r="J524" s="11">
        <v>0</v>
      </c>
      <c r="K524" s="24">
        <v>0.1</v>
      </c>
      <c r="L524" s="24">
        <v>0</v>
      </c>
      <c r="M524" s="24">
        <v>0</v>
      </c>
      <c r="N524" s="9">
        <v>0</v>
      </c>
      <c r="O524" s="9">
        <v>0</v>
      </c>
      <c r="P524" s="9">
        <v>0</v>
      </c>
      <c r="Q524" s="11">
        <v>0</v>
      </c>
      <c r="R524" s="10" t="s">
        <v>176</v>
      </c>
      <c r="S524" s="6"/>
      <c r="T524" s="6"/>
    </row>
    <row r="525" spans="1:20">
      <c r="A525" s="7">
        <v>46216</v>
      </c>
      <c r="B525" s="8">
        <v>46229</v>
      </c>
      <c r="C525" s="9">
        <v>14</v>
      </c>
      <c r="D525" s="10" t="s">
        <v>1002</v>
      </c>
      <c r="E525" s="10" t="s">
        <v>2044</v>
      </c>
      <c r="F525" s="9"/>
      <c r="G525" s="9">
        <v>4</v>
      </c>
      <c r="H525" s="9">
        <v>0</v>
      </c>
      <c r="I525" s="9">
        <v>4</v>
      </c>
      <c r="J525" s="11">
        <v>0</v>
      </c>
      <c r="K525" s="24">
        <v>0.1</v>
      </c>
      <c r="L525" s="24">
        <v>0</v>
      </c>
      <c r="M525" s="24">
        <v>0</v>
      </c>
      <c r="N525" s="9">
        <v>0</v>
      </c>
      <c r="O525" s="9">
        <v>0</v>
      </c>
      <c r="P525" s="9">
        <v>0</v>
      </c>
      <c r="Q525" s="11">
        <v>0</v>
      </c>
      <c r="R525" s="10" t="s">
        <v>176</v>
      </c>
      <c r="S525" s="6"/>
      <c r="T525" s="6"/>
    </row>
    <row r="526" spans="1:20">
      <c r="A526" s="7">
        <v>46216</v>
      </c>
      <c r="B526" s="8">
        <v>46229</v>
      </c>
      <c r="C526" s="9">
        <v>14</v>
      </c>
      <c r="D526" s="10" t="s">
        <v>1002</v>
      </c>
      <c r="E526" s="10" t="s">
        <v>2045</v>
      </c>
      <c r="F526" s="9"/>
      <c r="G526" s="9">
        <v>2</v>
      </c>
      <c r="H526" s="9">
        <v>0</v>
      </c>
      <c r="I526" s="9">
        <v>2</v>
      </c>
      <c r="J526" s="11">
        <v>0</v>
      </c>
      <c r="K526" s="24">
        <v>0.1</v>
      </c>
      <c r="L526" s="24">
        <v>0</v>
      </c>
      <c r="M526" s="24">
        <v>0</v>
      </c>
      <c r="N526" s="9">
        <v>0</v>
      </c>
      <c r="O526" s="9">
        <v>0</v>
      </c>
      <c r="P526" s="9">
        <v>0</v>
      </c>
      <c r="Q526" s="11">
        <v>0</v>
      </c>
      <c r="R526" s="10" t="s">
        <v>176</v>
      </c>
      <c r="S526" s="6"/>
      <c r="T526" s="6"/>
    </row>
    <row r="527" spans="1:20">
      <c r="A527" s="7">
        <v>46216</v>
      </c>
      <c r="B527" s="8">
        <v>46229</v>
      </c>
      <c r="C527" s="9">
        <v>14</v>
      </c>
      <c r="D527" s="10" t="s">
        <v>1002</v>
      </c>
      <c r="E527" s="10" t="s">
        <v>2046</v>
      </c>
      <c r="F527" s="9"/>
      <c r="G527" s="9">
        <v>4</v>
      </c>
      <c r="H527" s="9">
        <v>0</v>
      </c>
      <c r="I527" s="9">
        <v>4</v>
      </c>
      <c r="J527" s="11">
        <v>0</v>
      </c>
      <c r="K527" s="24">
        <v>0.1</v>
      </c>
      <c r="L527" s="24">
        <v>0</v>
      </c>
      <c r="M527" s="24">
        <v>0</v>
      </c>
      <c r="N527" s="9">
        <v>0</v>
      </c>
      <c r="O527" s="9">
        <v>0</v>
      </c>
      <c r="P527" s="9">
        <v>0</v>
      </c>
      <c r="Q527" s="11">
        <v>0</v>
      </c>
      <c r="R527" s="10" t="s">
        <v>176</v>
      </c>
      <c r="S527" s="6"/>
      <c r="T527" s="6"/>
    </row>
    <row r="528" spans="1:20">
      <c r="A528" s="7">
        <v>46216</v>
      </c>
      <c r="B528" s="8">
        <v>46229</v>
      </c>
      <c r="C528" s="9">
        <v>14</v>
      </c>
      <c r="D528" s="10" t="s">
        <v>1002</v>
      </c>
      <c r="E528" s="10" t="s">
        <v>2047</v>
      </c>
      <c r="F528" s="9"/>
      <c r="G528" s="9">
        <v>1</v>
      </c>
      <c r="H528" s="9">
        <v>0</v>
      </c>
      <c r="I528" s="9">
        <v>1</v>
      </c>
      <c r="J528" s="11">
        <v>0</v>
      </c>
      <c r="K528" s="24">
        <v>0.1</v>
      </c>
      <c r="L528" s="24">
        <v>0</v>
      </c>
      <c r="M528" s="24">
        <v>0</v>
      </c>
      <c r="N528" s="9">
        <v>0</v>
      </c>
      <c r="O528" s="9">
        <v>0</v>
      </c>
      <c r="P528" s="9">
        <v>0</v>
      </c>
      <c r="Q528" s="11">
        <v>0</v>
      </c>
      <c r="R528" s="10" t="s">
        <v>176</v>
      </c>
      <c r="S528" s="6"/>
      <c r="T528" s="6"/>
    </row>
    <row r="529" spans="1:20">
      <c r="A529" s="7">
        <v>46216</v>
      </c>
      <c r="B529" s="8">
        <v>46229</v>
      </c>
      <c r="C529" s="9">
        <v>14</v>
      </c>
      <c r="D529" s="10" t="s">
        <v>1002</v>
      </c>
      <c r="E529" s="10" t="s">
        <v>2048</v>
      </c>
      <c r="F529" s="9"/>
      <c r="G529" s="9">
        <v>2</v>
      </c>
      <c r="H529" s="9">
        <v>0</v>
      </c>
      <c r="I529" s="9">
        <v>2</v>
      </c>
      <c r="J529" s="11">
        <v>0</v>
      </c>
      <c r="K529" s="24">
        <v>0.1</v>
      </c>
      <c r="L529" s="24">
        <v>0</v>
      </c>
      <c r="M529" s="24">
        <v>0</v>
      </c>
      <c r="N529" s="9">
        <v>0</v>
      </c>
      <c r="O529" s="9">
        <v>0</v>
      </c>
      <c r="P529" s="9">
        <v>0</v>
      </c>
      <c r="Q529" s="11">
        <v>0</v>
      </c>
      <c r="R529" s="10" t="s">
        <v>176</v>
      </c>
      <c r="S529" s="6"/>
      <c r="T529" s="6"/>
    </row>
    <row r="530" spans="1:20">
      <c r="A530" s="7">
        <v>46216</v>
      </c>
      <c r="B530" s="8">
        <v>46229</v>
      </c>
      <c r="C530" s="9">
        <v>14</v>
      </c>
      <c r="D530" s="10" t="s">
        <v>1002</v>
      </c>
      <c r="E530" s="10" t="s">
        <v>327</v>
      </c>
      <c r="F530" s="9"/>
      <c r="G530" s="9">
        <v>3</v>
      </c>
      <c r="H530" s="9">
        <v>0</v>
      </c>
      <c r="I530" s="9">
        <v>3</v>
      </c>
      <c r="J530" s="11">
        <v>0</v>
      </c>
      <c r="K530" s="24">
        <v>0.1</v>
      </c>
      <c r="L530" s="24">
        <v>0</v>
      </c>
      <c r="M530" s="24">
        <v>0</v>
      </c>
      <c r="N530" s="9">
        <v>0</v>
      </c>
      <c r="O530" s="9">
        <v>0</v>
      </c>
      <c r="P530" s="9">
        <v>0</v>
      </c>
      <c r="Q530" s="11">
        <v>0</v>
      </c>
      <c r="R530" s="10" t="s">
        <v>176</v>
      </c>
      <c r="S530" s="6"/>
      <c r="T530" s="6"/>
    </row>
    <row r="531" spans="1:20">
      <c r="A531" s="7">
        <v>46216</v>
      </c>
      <c r="B531" s="8">
        <v>46229</v>
      </c>
      <c r="C531" s="9">
        <v>14</v>
      </c>
      <c r="D531" s="10" t="s">
        <v>1002</v>
      </c>
      <c r="E531" s="10" t="s">
        <v>2049</v>
      </c>
      <c r="F531" s="9"/>
      <c r="G531" s="9">
        <v>3</v>
      </c>
      <c r="H531" s="9">
        <v>0</v>
      </c>
      <c r="I531" s="9">
        <v>3</v>
      </c>
      <c r="J531" s="11">
        <v>0</v>
      </c>
      <c r="K531" s="24">
        <v>0.1</v>
      </c>
      <c r="L531" s="24">
        <v>0</v>
      </c>
      <c r="M531" s="24">
        <v>0</v>
      </c>
      <c r="N531" s="9">
        <v>0</v>
      </c>
      <c r="O531" s="9">
        <v>0</v>
      </c>
      <c r="P531" s="9">
        <v>0</v>
      </c>
      <c r="Q531" s="11">
        <v>0</v>
      </c>
      <c r="R531" s="10" t="s">
        <v>176</v>
      </c>
      <c r="S531" s="6"/>
      <c r="T531" s="6"/>
    </row>
    <row r="532" spans="1:20">
      <c r="A532" s="7">
        <v>46216</v>
      </c>
      <c r="B532" s="8">
        <v>46229</v>
      </c>
      <c r="C532" s="9">
        <v>14</v>
      </c>
      <c r="D532" s="10" t="s">
        <v>1002</v>
      </c>
      <c r="E532" s="10" t="s">
        <v>2050</v>
      </c>
      <c r="F532" s="9"/>
      <c r="G532" s="9">
        <v>2</v>
      </c>
      <c r="H532" s="9">
        <v>0</v>
      </c>
      <c r="I532" s="9">
        <v>2</v>
      </c>
      <c r="J532" s="11">
        <v>0</v>
      </c>
      <c r="K532" s="24">
        <v>0.1</v>
      </c>
      <c r="L532" s="24">
        <v>0</v>
      </c>
      <c r="M532" s="24">
        <v>0</v>
      </c>
      <c r="N532" s="9">
        <v>0</v>
      </c>
      <c r="O532" s="9">
        <v>0</v>
      </c>
      <c r="P532" s="9">
        <v>0</v>
      </c>
      <c r="Q532" s="11">
        <v>0</v>
      </c>
      <c r="R532" s="10" t="s">
        <v>176</v>
      </c>
      <c r="S532" s="6"/>
      <c r="T532" s="6"/>
    </row>
    <row r="533" spans="1:20">
      <c r="A533" s="7">
        <v>46216</v>
      </c>
      <c r="B533" s="8">
        <v>46229</v>
      </c>
      <c r="C533" s="9">
        <v>14</v>
      </c>
      <c r="D533" s="10" t="s">
        <v>1002</v>
      </c>
      <c r="E533" s="10" t="s">
        <v>329</v>
      </c>
      <c r="F533" s="9"/>
      <c r="G533" s="9">
        <v>1</v>
      </c>
      <c r="H533" s="9">
        <v>0</v>
      </c>
      <c r="I533" s="9">
        <v>1</v>
      </c>
      <c r="J533" s="11">
        <v>0</v>
      </c>
      <c r="K533" s="24">
        <v>0.1</v>
      </c>
      <c r="L533" s="24">
        <v>0</v>
      </c>
      <c r="M533" s="24">
        <v>0</v>
      </c>
      <c r="N533" s="9">
        <v>0</v>
      </c>
      <c r="O533" s="9">
        <v>0</v>
      </c>
      <c r="P533" s="9">
        <v>0</v>
      </c>
      <c r="Q533" s="11">
        <v>0</v>
      </c>
      <c r="R533" s="10" t="s">
        <v>176</v>
      </c>
      <c r="S533" s="6"/>
      <c r="T533" s="6"/>
    </row>
    <row r="534" spans="1:20">
      <c r="A534" s="7">
        <v>46216</v>
      </c>
      <c r="B534" s="8">
        <v>46229</v>
      </c>
      <c r="C534" s="9">
        <v>14</v>
      </c>
      <c r="D534" s="10" t="s">
        <v>1002</v>
      </c>
      <c r="E534" s="10" t="s">
        <v>2051</v>
      </c>
      <c r="F534" s="9"/>
      <c r="G534" s="9">
        <v>2</v>
      </c>
      <c r="H534" s="9">
        <v>0</v>
      </c>
      <c r="I534" s="9">
        <v>2</v>
      </c>
      <c r="J534" s="11">
        <v>0</v>
      </c>
      <c r="K534" s="24">
        <v>0.1</v>
      </c>
      <c r="L534" s="24">
        <v>0</v>
      </c>
      <c r="M534" s="24">
        <v>0</v>
      </c>
      <c r="N534" s="9">
        <v>0</v>
      </c>
      <c r="O534" s="9">
        <v>0</v>
      </c>
      <c r="P534" s="9">
        <v>0</v>
      </c>
      <c r="Q534" s="11">
        <v>0</v>
      </c>
      <c r="R534" s="10" t="s">
        <v>176</v>
      </c>
      <c r="S534" s="6"/>
      <c r="T534" s="6"/>
    </row>
    <row r="535" spans="1:20">
      <c r="A535" s="7">
        <v>46216</v>
      </c>
      <c r="B535" s="8">
        <v>46229</v>
      </c>
      <c r="C535" s="9">
        <v>14</v>
      </c>
      <c r="D535" s="10" t="s">
        <v>1002</v>
      </c>
      <c r="E535" s="10" t="s">
        <v>330</v>
      </c>
      <c r="F535" s="9"/>
      <c r="G535" s="9">
        <v>2</v>
      </c>
      <c r="H535" s="9">
        <v>0</v>
      </c>
      <c r="I535" s="9">
        <v>2</v>
      </c>
      <c r="J535" s="11">
        <v>0</v>
      </c>
      <c r="K535" s="24">
        <v>0.1</v>
      </c>
      <c r="L535" s="24">
        <v>0</v>
      </c>
      <c r="M535" s="24">
        <v>0</v>
      </c>
      <c r="N535" s="9">
        <v>0</v>
      </c>
      <c r="O535" s="9">
        <v>0</v>
      </c>
      <c r="P535" s="9">
        <v>0</v>
      </c>
      <c r="Q535" s="11">
        <v>0</v>
      </c>
      <c r="R535" s="10" t="s">
        <v>176</v>
      </c>
      <c r="S535" s="6"/>
      <c r="T535" s="6"/>
    </row>
    <row r="536" spans="1:20">
      <c r="A536" s="7">
        <v>46216</v>
      </c>
      <c r="B536" s="8">
        <v>46229</v>
      </c>
      <c r="C536" s="9">
        <v>14</v>
      </c>
      <c r="D536" s="10" t="s">
        <v>1002</v>
      </c>
      <c r="E536" s="10" t="s">
        <v>331</v>
      </c>
      <c r="F536" s="9"/>
      <c r="G536" s="9">
        <v>2</v>
      </c>
      <c r="H536" s="9">
        <v>0</v>
      </c>
      <c r="I536" s="9">
        <v>2</v>
      </c>
      <c r="J536" s="11">
        <v>0</v>
      </c>
      <c r="K536" s="24">
        <v>0.1</v>
      </c>
      <c r="L536" s="24">
        <v>0</v>
      </c>
      <c r="M536" s="24">
        <v>0</v>
      </c>
      <c r="N536" s="9">
        <v>0</v>
      </c>
      <c r="O536" s="9">
        <v>0</v>
      </c>
      <c r="P536" s="9">
        <v>0</v>
      </c>
      <c r="Q536" s="11">
        <v>0</v>
      </c>
      <c r="R536" s="10" t="s">
        <v>176</v>
      </c>
      <c r="S536" s="6"/>
      <c r="T536" s="6"/>
    </row>
    <row r="537" spans="1:20">
      <c r="A537" s="7">
        <v>46216</v>
      </c>
      <c r="B537" s="8">
        <v>46229</v>
      </c>
      <c r="C537" s="9">
        <v>14</v>
      </c>
      <c r="D537" s="10" t="s">
        <v>1002</v>
      </c>
      <c r="E537" s="10" t="s">
        <v>332</v>
      </c>
      <c r="F537" s="9"/>
      <c r="G537" s="9">
        <v>1</v>
      </c>
      <c r="H537" s="9">
        <v>0</v>
      </c>
      <c r="I537" s="9">
        <v>1</v>
      </c>
      <c r="J537" s="11">
        <v>0</v>
      </c>
      <c r="K537" s="24">
        <v>0.1</v>
      </c>
      <c r="L537" s="24">
        <v>0</v>
      </c>
      <c r="M537" s="24">
        <v>0</v>
      </c>
      <c r="N537" s="9">
        <v>0</v>
      </c>
      <c r="O537" s="9">
        <v>0</v>
      </c>
      <c r="P537" s="9">
        <v>0</v>
      </c>
      <c r="Q537" s="11">
        <v>0</v>
      </c>
      <c r="R537" s="10" t="s">
        <v>176</v>
      </c>
      <c r="S537" s="6"/>
      <c r="T537" s="6"/>
    </row>
    <row r="538" spans="1:20">
      <c r="A538" s="7">
        <v>46216</v>
      </c>
      <c r="B538" s="8">
        <v>46229</v>
      </c>
      <c r="C538" s="9">
        <v>14</v>
      </c>
      <c r="D538" s="10" t="s">
        <v>1002</v>
      </c>
      <c r="E538" s="10" t="s">
        <v>1683</v>
      </c>
      <c r="F538" s="9"/>
      <c r="G538" s="9">
        <v>1</v>
      </c>
      <c r="H538" s="9">
        <v>0</v>
      </c>
      <c r="I538" s="9">
        <v>1</v>
      </c>
      <c r="J538" s="11">
        <v>0</v>
      </c>
      <c r="K538" s="24">
        <v>0.1</v>
      </c>
      <c r="L538" s="24">
        <v>0</v>
      </c>
      <c r="M538" s="24">
        <v>0</v>
      </c>
      <c r="N538" s="9">
        <v>0</v>
      </c>
      <c r="O538" s="9">
        <v>0</v>
      </c>
      <c r="P538" s="9">
        <v>0</v>
      </c>
      <c r="Q538" s="11">
        <v>0</v>
      </c>
      <c r="R538" s="10" t="s">
        <v>176</v>
      </c>
      <c r="S538" s="6"/>
      <c r="T538" s="6"/>
    </row>
    <row r="539" spans="1:20">
      <c r="A539" s="7">
        <v>46216</v>
      </c>
      <c r="B539" s="8">
        <v>46229</v>
      </c>
      <c r="C539" s="9">
        <v>14</v>
      </c>
      <c r="D539" s="10" t="s">
        <v>1002</v>
      </c>
      <c r="E539" s="10" t="s">
        <v>333</v>
      </c>
      <c r="F539" s="9"/>
      <c r="G539" s="9">
        <v>4</v>
      </c>
      <c r="H539" s="9">
        <v>0</v>
      </c>
      <c r="I539" s="9">
        <v>4</v>
      </c>
      <c r="J539" s="11">
        <v>0</v>
      </c>
      <c r="K539" s="24">
        <v>0.1</v>
      </c>
      <c r="L539" s="24">
        <v>0</v>
      </c>
      <c r="M539" s="24">
        <v>0</v>
      </c>
      <c r="N539" s="9">
        <v>0</v>
      </c>
      <c r="O539" s="9">
        <v>0</v>
      </c>
      <c r="P539" s="9">
        <v>0</v>
      </c>
      <c r="Q539" s="11">
        <v>0</v>
      </c>
      <c r="R539" s="10" t="s">
        <v>176</v>
      </c>
      <c r="S539" s="6"/>
      <c r="T539" s="6"/>
    </row>
    <row r="540" spans="1:20">
      <c r="A540" s="7">
        <v>46216</v>
      </c>
      <c r="B540" s="8">
        <v>46229</v>
      </c>
      <c r="C540" s="9">
        <v>14</v>
      </c>
      <c r="D540" s="10" t="s">
        <v>1002</v>
      </c>
      <c r="E540" s="10" t="s">
        <v>2052</v>
      </c>
      <c r="F540" s="9"/>
      <c r="G540" s="9">
        <v>2</v>
      </c>
      <c r="H540" s="9">
        <v>0</v>
      </c>
      <c r="I540" s="9">
        <v>2</v>
      </c>
      <c r="J540" s="11">
        <v>0</v>
      </c>
      <c r="K540" s="24">
        <v>0.1</v>
      </c>
      <c r="L540" s="24">
        <v>0</v>
      </c>
      <c r="M540" s="24">
        <v>0</v>
      </c>
      <c r="N540" s="9">
        <v>0</v>
      </c>
      <c r="O540" s="9">
        <v>0</v>
      </c>
      <c r="P540" s="9">
        <v>0</v>
      </c>
      <c r="Q540" s="11">
        <v>0</v>
      </c>
      <c r="R540" s="10" t="s">
        <v>176</v>
      </c>
      <c r="S540" s="6"/>
      <c r="T540" s="6"/>
    </row>
    <row r="541" spans="1:20">
      <c r="A541" s="7">
        <v>46216</v>
      </c>
      <c r="B541" s="8">
        <v>46229</v>
      </c>
      <c r="C541" s="9">
        <v>14</v>
      </c>
      <c r="D541" s="10" t="s">
        <v>1002</v>
      </c>
      <c r="E541" s="10" t="s">
        <v>334</v>
      </c>
      <c r="F541" s="9"/>
      <c r="G541" s="9">
        <v>4</v>
      </c>
      <c r="H541" s="9">
        <v>0</v>
      </c>
      <c r="I541" s="9">
        <v>4</v>
      </c>
      <c r="J541" s="11">
        <v>0</v>
      </c>
      <c r="K541" s="24">
        <v>0.1</v>
      </c>
      <c r="L541" s="24">
        <v>0</v>
      </c>
      <c r="M541" s="24">
        <v>0</v>
      </c>
      <c r="N541" s="9">
        <v>0</v>
      </c>
      <c r="O541" s="9">
        <v>0</v>
      </c>
      <c r="P541" s="9">
        <v>0</v>
      </c>
      <c r="Q541" s="11">
        <v>0</v>
      </c>
      <c r="R541" s="10" t="s">
        <v>176</v>
      </c>
      <c r="S541" s="6"/>
      <c r="T541" s="6"/>
    </row>
    <row r="542" spans="1:20">
      <c r="A542" s="7">
        <v>46216</v>
      </c>
      <c r="B542" s="8">
        <v>46229</v>
      </c>
      <c r="C542" s="9">
        <v>14</v>
      </c>
      <c r="D542" s="10" t="s">
        <v>1002</v>
      </c>
      <c r="E542" s="10" t="s">
        <v>2053</v>
      </c>
      <c r="F542" s="9"/>
      <c r="G542" s="9">
        <v>2</v>
      </c>
      <c r="H542" s="9">
        <v>0</v>
      </c>
      <c r="I542" s="9">
        <v>2</v>
      </c>
      <c r="J542" s="11">
        <v>0</v>
      </c>
      <c r="K542" s="24">
        <v>0.1</v>
      </c>
      <c r="L542" s="24">
        <v>0</v>
      </c>
      <c r="M542" s="24">
        <v>0</v>
      </c>
      <c r="N542" s="9">
        <v>0</v>
      </c>
      <c r="O542" s="9">
        <v>0</v>
      </c>
      <c r="P542" s="9">
        <v>0</v>
      </c>
      <c r="Q542" s="11">
        <v>0</v>
      </c>
      <c r="R542" s="10" t="s">
        <v>176</v>
      </c>
      <c r="S542" s="6"/>
      <c r="T542" s="6"/>
    </row>
    <row r="543" spans="1:20">
      <c r="A543" s="7">
        <v>46216</v>
      </c>
      <c r="B543" s="8">
        <v>46229</v>
      </c>
      <c r="C543" s="9">
        <v>14</v>
      </c>
      <c r="D543" s="10" t="s">
        <v>1002</v>
      </c>
      <c r="E543" s="10" t="s">
        <v>335</v>
      </c>
      <c r="F543" s="9"/>
      <c r="G543" s="9">
        <v>6</v>
      </c>
      <c r="H543" s="9">
        <v>0</v>
      </c>
      <c r="I543" s="9">
        <v>6</v>
      </c>
      <c r="J543" s="11">
        <v>0</v>
      </c>
      <c r="K543" s="24">
        <v>0.1</v>
      </c>
      <c r="L543" s="24">
        <v>0</v>
      </c>
      <c r="M543" s="24">
        <v>0</v>
      </c>
      <c r="N543" s="9">
        <v>0</v>
      </c>
      <c r="O543" s="9">
        <v>0</v>
      </c>
      <c r="P543" s="9">
        <v>0</v>
      </c>
      <c r="Q543" s="11">
        <v>0</v>
      </c>
      <c r="R543" s="10" t="s">
        <v>176</v>
      </c>
      <c r="S543" s="6"/>
      <c r="T543" s="6"/>
    </row>
    <row r="544" spans="1:20">
      <c r="A544" s="7">
        <v>46216</v>
      </c>
      <c r="B544" s="8">
        <v>46229</v>
      </c>
      <c r="C544" s="9">
        <v>14</v>
      </c>
      <c r="D544" s="10" t="s">
        <v>1002</v>
      </c>
      <c r="E544" s="10" t="s">
        <v>336</v>
      </c>
      <c r="F544" s="9"/>
      <c r="G544" s="9">
        <v>2</v>
      </c>
      <c r="H544" s="9">
        <v>0</v>
      </c>
      <c r="I544" s="9">
        <v>2</v>
      </c>
      <c r="J544" s="11">
        <v>0</v>
      </c>
      <c r="K544" s="24">
        <v>0.1</v>
      </c>
      <c r="L544" s="24">
        <v>0</v>
      </c>
      <c r="M544" s="24">
        <v>0</v>
      </c>
      <c r="N544" s="9">
        <v>0</v>
      </c>
      <c r="O544" s="9">
        <v>0</v>
      </c>
      <c r="P544" s="9">
        <v>0</v>
      </c>
      <c r="Q544" s="11">
        <v>0</v>
      </c>
      <c r="R544" s="10" t="s">
        <v>176</v>
      </c>
      <c r="S544" s="6"/>
      <c r="T544" s="6"/>
    </row>
    <row r="545" spans="1:20">
      <c r="A545" s="7">
        <v>46216</v>
      </c>
      <c r="B545" s="8">
        <v>46229</v>
      </c>
      <c r="C545" s="9">
        <v>14</v>
      </c>
      <c r="D545" s="10" t="s">
        <v>1002</v>
      </c>
      <c r="E545" s="10" t="s">
        <v>2054</v>
      </c>
      <c r="F545" s="9"/>
      <c r="G545" s="9">
        <v>4</v>
      </c>
      <c r="H545" s="9">
        <v>0</v>
      </c>
      <c r="I545" s="9">
        <v>4</v>
      </c>
      <c r="J545" s="11">
        <v>0</v>
      </c>
      <c r="K545" s="24">
        <v>0.1</v>
      </c>
      <c r="L545" s="24">
        <v>0</v>
      </c>
      <c r="M545" s="24">
        <v>0</v>
      </c>
      <c r="N545" s="9">
        <v>0</v>
      </c>
      <c r="O545" s="9">
        <v>0</v>
      </c>
      <c r="P545" s="9">
        <v>0</v>
      </c>
      <c r="Q545" s="11">
        <v>0</v>
      </c>
      <c r="R545" s="10" t="s">
        <v>176</v>
      </c>
      <c r="S545" s="6"/>
      <c r="T545" s="6"/>
    </row>
    <row r="546" spans="1:20">
      <c r="A546" s="7">
        <v>46216</v>
      </c>
      <c r="B546" s="8">
        <v>46229</v>
      </c>
      <c r="C546" s="9">
        <v>14</v>
      </c>
      <c r="D546" s="10" t="s">
        <v>1002</v>
      </c>
      <c r="E546" s="10" t="s">
        <v>338</v>
      </c>
      <c r="F546" s="9"/>
      <c r="G546" s="9">
        <v>3</v>
      </c>
      <c r="H546" s="9">
        <v>0</v>
      </c>
      <c r="I546" s="9">
        <v>3</v>
      </c>
      <c r="J546" s="11">
        <v>0</v>
      </c>
      <c r="K546" s="24">
        <v>0.1</v>
      </c>
      <c r="L546" s="24">
        <v>0</v>
      </c>
      <c r="M546" s="24">
        <v>0</v>
      </c>
      <c r="N546" s="9">
        <v>0</v>
      </c>
      <c r="O546" s="9">
        <v>0</v>
      </c>
      <c r="P546" s="9">
        <v>0</v>
      </c>
      <c r="Q546" s="11">
        <v>0</v>
      </c>
      <c r="R546" s="10" t="s">
        <v>176</v>
      </c>
      <c r="S546" s="6"/>
      <c r="T546" s="6"/>
    </row>
    <row r="547" spans="1:20">
      <c r="A547" s="7">
        <v>46216</v>
      </c>
      <c r="B547" s="8">
        <v>46229</v>
      </c>
      <c r="C547" s="9">
        <v>14</v>
      </c>
      <c r="D547" s="10" t="s">
        <v>1002</v>
      </c>
      <c r="E547" s="10" t="s">
        <v>2055</v>
      </c>
      <c r="F547" s="9"/>
      <c r="G547" s="9">
        <v>5</v>
      </c>
      <c r="H547" s="9">
        <v>0</v>
      </c>
      <c r="I547" s="9">
        <v>5</v>
      </c>
      <c r="J547" s="11">
        <v>0</v>
      </c>
      <c r="K547" s="24">
        <v>0.1</v>
      </c>
      <c r="L547" s="24">
        <v>0</v>
      </c>
      <c r="M547" s="24">
        <v>0</v>
      </c>
      <c r="N547" s="9">
        <v>0</v>
      </c>
      <c r="O547" s="9">
        <v>0</v>
      </c>
      <c r="P547" s="9">
        <v>0</v>
      </c>
      <c r="Q547" s="11">
        <v>0</v>
      </c>
      <c r="R547" s="10" t="s">
        <v>176</v>
      </c>
      <c r="S547" s="6"/>
      <c r="T547" s="6"/>
    </row>
    <row r="548" spans="1:20">
      <c r="A548" s="7">
        <v>46216</v>
      </c>
      <c r="B548" s="8">
        <v>46229</v>
      </c>
      <c r="C548" s="9">
        <v>14</v>
      </c>
      <c r="D548" s="10" t="s">
        <v>1002</v>
      </c>
      <c r="E548" s="10" t="s">
        <v>2056</v>
      </c>
      <c r="F548" s="9"/>
      <c r="G548" s="9">
        <v>8</v>
      </c>
      <c r="H548" s="9">
        <v>0</v>
      </c>
      <c r="I548" s="9">
        <v>8</v>
      </c>
      <c r="J548" s="11">
        <v>0</v>
      </c>
      <c r="K548" s="24">
        <v>0.1</v>
      </c>
      <c r="L548" s="24">
        <v>0</v>
      </c>
      <c r="M548" s="24">
        <v>0</v>
      </c>
      <c r="N548" s="9">
        <v>0</v>
      </c>
      <c r="O548" s="9">
        <v>0</v>
      </c>
      <c r="P548" s="9">
        <v>0</v>
      </c>
      <c r="Q548" s="11">
        <v>0</v>
      </c>
      <c r="R548" s="10" t="s">
        <v>176</v>
      </c>
      <c r="S548" s="6"/>
      <c r="T548" s="6"/>
    </row>
    <row r="549" spans="1:20">
      <c r="A549" s="7">
        <v>46216</v>
      </c>
      <c r="B549" s="8">
        <v>46229</v>
      </c>
      <c r="C549" s="9">
        <v>14</v>
      </c>
      <c r="D549" s="10" t="s">
        <v>1002</v>
      </c>
      <c r="E549" s="10" t="s">
        <v>339</v>
      </c>
      <c r="F549" s="9"/>
      <c r="G549" s="9">
        <v>4</v>
      </c>
      <c r="H549" s="9">
        <v>0</v>
      </c>
      <c r="I549" s="9">
        <v>4</v>
      </c>
      <c r="J549" s="11">
        <v>0</v>
      </c>
      <c r="K549" s="24">
        <v>0.1</v>
      </c>
      <c r="L549" s="24">
        <v>0</v>
      </c>
      <c r="M549" s="24">
        <v>0</v>
      </c>
      <c r="N549" s="9">
        <v>0</v>
      </c>
      <c r="O549" s="9">
        <v>0</v>
      </c>
      <c r="P549" s="9">
        <v>0</v>
      </c>
      <c r="Q549" s="11">
        <v>0</v>
      </c>
      <c r="R549" s="10" t="s">
        <v>176</v>
      </c>
      <c r="S549" s="6"/>
      <c r="T549" s="6"/>
    </row>
    <row r="550" spans="1:20">
      <c r="A550" s="7">
        <v>46216</v>
      </c>
      <c r="B550" s="8">
        <v>46229</v>
      </c>
      <c r="C550" s="9">
        <v>14</v>
      </c>
      <c r="D550" s="10" t="s">
        <v>1002</v>
      </c>
      <c r="E550" s="10" t="s">
        <v>2057</v>
      </c>
      <c r="F550" s="9"/>
      <c r="G550" s="9">
        <v>3</v>
      </c>
      <c r="H550" s="9">
        <v>0</v>
      </c>
      <c r="I550" s="9">
        <v>3</v>
      </c>
      <c r="J550" s="11">
        <v>0</v>
      </c>
      <c r="K550" s="24">
        <v>0.1</v>
      </c>
      <c r="L550" s="24">
        <v>0</v>
      </c>
      <c r="M550" s="24">
        <v>0</v>
      </c>
      <c r="N550" s="9">
        <v>0</v>
      </c>
      <c r="O550" s="9">
        <v>0</v>
      </c>
      <c r="P550" s="9">
        <v>0</v>
      </c>
      <c r="Q550" s="11">
        <v>0</v>
      </c>
      <c r="R550" s="10" t="s">
        <v>176</v>
      </c>
      <c r="S550" s="6"/>
      <c r="T550" s="6"/>
    </row>
    <row r="551" spans="1:20">
      <c r="A551" s="7">
        <v>46216</v>
      </c>
      <c r="B551" s="8">
        <v>46229</v>
      </c>
      <c r="C551" s="9">
        <v>14</v>
      </c>
      <c r="D551" s="10" t="s">
        <v>1002</v>
      </c>
      <c r="E551" s="10" t="s">
        <v>2058</v>
      </c>
      <c r="F551" s="9"/>
      <c r="G551" s="9">
        <v>4</v>
      </c>
      <c r="H551" s="9">
        <v>0</v>
      </c>
      <c r="I551" s="9">
        <v>4</v>
      </c>
      <c r="J551" s="11">
        <v>0</v>
      </c>
      <c r="K551" s="24">
        <v>0.1</v>
      </c>
      <c r="L551" s="24">
        <v>0</v>
      </c>
      <c r="M551" s="24">
        <v>0</v>
      </c>
      <c r="N551" s="9">
        <v>0</v>
      </c>
      <c r="O551" s="9">
        <v>0</v>
      </c>
      <c r="P551" s="9">
        <v>0</v>
      </c>
      <c r="Q551" s="11">
        <v>0</v>
      </c>
      <c r="R551" s="10" t="s">
        <v>176</v>
      </c>
      <c r="S551" s="6"/>
      <c r="T551" s="6"/>
    </row>
    <row r="552" spans="1:20">
      <c r="A552" s="7">
        <v>46216</v>
      </c>
      <c r="B552" s="8">
        <v>46229</v>
      </c>
      <c r="C552" s="9">
        <v>14</v>
      </c>
      <c r="D552" s="10" t="s">
        <v>1002</v>
      </c>
      <c r="E552" s="10" t="s">
        <v>340</v>
      </c>
      <c r="F552" s="9"/>
      <c r="G552" s="9">
        <v>3</v>
      </c>
      <c r="H552" s="9">
        <v>0</v>
      </c>
      <c r="I552" s="9">
        <v>3</v>
      </c>
      <c r="J552" s="11">
        <v>0</v>
      </c>
      <c r="K552" s="24">
        <v>0.1</v>
      </c>
      <c r="L552" s="24">
        <v>0</v>
      </c>
      <c r="M552" s="24">
        <v>0</v>
      </c>
      <c r="N552" s="9">
        <v>0</v>
      </c>
      <c r="O552" s="9">
        <v>0</v>
      </c>
      <c r="P552" s="9">
        <v>0</v>
      </c>
      <c r="Q552" s="11">
        <v>0</v>
      </c>
      <c r="R552" s="10" t="s">
        <v>176</v>
      </c>
      <c r="S552" s="6"/>
      <c r="T552" s="6"/>
    </row>
    <row r="553" spans="1:20">
      <c r="A553" s="7">
        <v>46216</v>
      </c>
      <c r="B553" s="8">
        <v>46229</v>
      </c>
      <c r="C553" s="9">
        <v>14</v>
      </c>
      <c r="D553" s="10" t="s">
        <v>1002</v>
      </c>
      <c r="E553" s="10" t="s">
        <v>341</v>
      </c>
      <c r="F553" s="9"/>
      <c r="G553" s="9">
        <v>6</v>
      </c>
      <c r="H553" s="9">
        <v>0</v>
      </c>
      <c r="I553" s="9">
        <v>6</v>
      </c>
      <c r="J553" s="11">
        <v>0</v>
      </c>
      <c r="K553" s="24">
        <v>0.1</v>
      </c>
      <c r="L553" s="24">
        <v>0</v>
      </c>
      <c r="M553" s="24">
        <v>0</v>
      </c>
      <c r="N553" s="9">
        <v>0</v>
      </c>
      <c r="O553" s="9">
        <v>0</v>
      </c>
      <c r="P553" s="9">
        <v>0</v>
      </c>
      <c r="Q553" s="11">
        <v>0</v>
      </c>
      <c r="R553" s="10" t="s">
        <v>176</v>
      </c>
      <c r="S553" s="6"/>
      <c r="T553" s="6"/>
    </row>
    <row r="554" spans="1:20">
      <c r="A554" s="7">
        <v>46216</v>
      </c>
      <c r="B554" s="8">
        <v>46229</v>
      </c>
      <c r="C554" s="9">
        <v>14</v>
      </c>
      <c r="D554" s="10" t="s">
        <v>1002</v>
      </c>
      <c r="E554" s="10" t="s">
        <v>2059</v>
      </c>
      <c r="F554" s="9"/>
      <c r="G554" s="9">
        <v>7</v>
      </c>
      <c r="H554" s="9">
        <v>0</v>
      </c>
      <c r="I554" s="9">
        <v>7</v>
      </c>
      <c r="J554" s="11">
        <v>0</v>
      </c>
      <c r="K554" s="24">
        <v>0.1</v>
      </c>
      <c r="L554" s="24">
        <v>0</v>
      </c>
      <c r="M554" s="24">
        <v>0</v>
      </c>
      <c r="N554" s="9">
        <v>0</v>
      </c>
      <c r="O554" s="9">
        <v>0</v>
      </c>
      <c r="P554" s="9">
        <v>0</v>
      </c>
      <c r="Q554" s="11">
        <v>0</v>
      </c>
      <c r="R554" s="10" t="s">
        <v>176</v>
      </c>
      <c r="S554" s="6"/>
      <c r="T554" s="6"/>
    </row>
    <row r="555" spans="1:20">
      <c r="A555" s="7">
        <v>46216</v>
      </c>
      <c r="B555" s="8">
        <v>46229</v>
      </c>
      <c r="C555" s="9">
        <v>14</v>
      </c>
      <c r="D555" s="10" t="s">
        <v>1002</v>
      </c>
      <c r="E555" s="10" t="s">
        <v>2060</v>
      </c>
      <c r="F555" s="9"/>
      <c r="G555" s="9">
        <v>6</v>
      </c>
      <c r="H555" s="9">
        <v>0</v>
      </c>
      <c r="I555" s="9">
        <v>6</v>
      </c>
      <c r="J555" s="11">
        <v>0</v>
      </c>
      <c r="K555" s="24">
        <v>0.1</v>
      </c>
      <c r="L555" s="24">
        <v>0</v>
      </c>
      <c r="M555" s="24">
        <v>0</v>
      </c>
      <c r="N555" s="9">
        <v>0</v>
      </c>
      <c r="O555" s="9">
        <v>0</v>
      </c>
      <c r="P555" s="9">
        <v>0</v>
      </c>
      <c r="Q555" s="11">
        <v>0</v>
      </c>
      <c r="R555" s="10" t="s">
        <v>176</v>
      </c>
      <c r="S555" s="6"/>
      <c r="T555" s="6"/>
    </row>
    <row r="556" spans="1:20">
      <c r="A556" s="7">
        <v>46216</v>
      </c>
      <c r="B556" s="8">
        <v>46229</v>
      </c>
      <c r="C556" s="9">
        <v>14</v>
      </c>
      <c r="D556" s="10" t="s">
        <v>1002</v>
      </c>
      <c r="E556" s="10" t="s">
        <v>342</v>
      </c>
      <c r="F556" s="9"/>
      <c r="G556" s="9">
        <v>3</v>
      </c>
      <c r="H556" s="9">
        <v>0</v>
      </c>
      <c r="I556" s="9">
        <v>3</v>
      </c>
      <c r="J556" s="11">
        <v>0</v>
      </c>
      <c r="K556" s="24">
        <v>0.1</v>
      </c>
      <c r="L556" s="24">
        <v>0</v>
      </c>
      <c r="M556" s="24">
        <v>0</v>
      </c>
      <c r="N556" s="9">
        <v>0</v>
      </c>
      <c r="O556" s="9">
        <v>0</v>
      </c>
      <c r="P556" s="9">
        <v>0</v>
      </c>
      <c r="Q556" s="11">
        <v>0</v>
      </c>
      <c r="R556" s="10" t="s">
        <v>176</v>
      </c>
      <c r="S556" s="6"/>
      <c r="T556" s="6"/>
    </row>
    <row r="557" spans="1:20">
      <c r="A557" s="7">
        <v>46216</v>
      </c>
      <c r="B557" s="8">
        <v>46229</v>
      </c>
      <c r="C557" s="9">
        <v>14</v>
      </c>
      <c r="D557" s="10" t="s">
        <v>1002</v>
      </c>
      <c r="E557" s="10" t="s">
        <v>343</v>
      </c>
      <c r="F557" s="9"/>
      <c r="G557" s="9">
        <v>5</v>
      </c>
      <c r="H557" s="9">
        <v>0</v>
      </c>
      <c r="I557" s="9">
        <v>5</v>
      </c>
      <c r="J557" s="11">
        <v>0</v>
      </c>
      <c r="K557" s="24">
        <v>0.1</v>
      </c>
      <c r="L557" s="24">
        <v>0</v>
      </c>
      <c r="M557" s="24">
        <v>0</v>
      </c>
      <c r="N557" s="9">
        <v>0</v>
      </c>
      <c r="O557" s="9">
        <v>0</v>
      </c>
      <c r="P557" s="9">
        <v>0</v>
      </c>
      <c r="Q557" s="11">
        <v>0</v>
      </c>
      <c r="R557" s="10" t="s">
        <v>176</v>
      </c>
      <c r="S557" s="6"/>
      <c r="T557" s="6"/>
    </row>
    <row r="558" spans="1:20">
      <c r="A558" s="7">
        <v>46216</v>
      </c>
      <c r="B558" s="8">
        <v>46229</v>
      </c>
      <c r="C558" s="9">
        <v>14</v>
      </c>
      <c r="D558" s="10" t="s">
        <v>1002</v>
      </c>
      <c r="E558" s="10" t="s">
        <v>2061</v>
      </c>
      <c r="F558" s="9"/>
      <c r="G558" s="9">
        <v>2</v>
      </c>
      <c r="H558" s="9">
        <v>0</v>
      </c>
      <c r="I558" s="9">
        <v>2</v>
      </c>
      <c r="J558" s="11">
        <v>0</v>
      </c>
      <c r="K558" s="24">
        <v>0.1</v>
      </c>
      <c r="L558" s="24">
        <v>0</v>
      </c>
      <c r="M558" s="24">
        <v>0</v>
      </c>
      <c r="N558" s="9">
        <v>0</v>
      </c>
      <c r="O558" s="9">
        <v>0</v>
      </c>
      <c r="P558" s="9">
        <v>0</v>
      </c>
      <c r="Q558" s="11">
        <v>0</v>
      </c>
      <c r="R558" s="10" t="s">
        <v>176</v>
      </c>
      <c r="S558" s="6"/>
      <c r="T558" s="6"/>
    </row>
    <row r="559" spans="1:20">
      <c r="A559" s="7">
        <v>46216</v>
      </c>
      <c r="B559" s="8">
        <v>46229</v>
      </c>
      <c r="C559" s="9">
        <v>14</v>
      </c>
      <c r="D559" s="10" t="s">
        <v>1002</v>
      </c>
      <c r="E559" s="10" t="s">
        <v>2062</v>
      </c>
      <c r="F559" s="9"/>
      <c r="G559" s="9">
        <v>4</v>
      </c>
      <c r="H559" s="9">
        <v>0</v>
      </c>
      <c r="I559" s="9">
        <v>4</v>
      </c>
      <c r="J559" s="11">
        <v>0</v>
      </c>
      <c r="K559" s="24">
        <v>0.1</v>
      </c>
      <c r="L559" s="24">
        <v>0</v>
      </c>
      <c r="M559" s="24">
        <v>0</v>
      </c>
      <c r="N559" s="9">
        <v>0</v>
      </c>
      <c r="O559" s="9">
        <v>0</v>
      </c>
      <c r="P559" s="9">
        <v>0</v>
      </c>
      <c r="Q559" s="11">
        <v>0</v>
      </c>
      <c r="R559" s="10" t="s">
        <v>176</v>
      </c>
      <c r="S559" s="6"/>
      <c r="T559" s="6"/>
    </row>
    <row r="560" spans="1:20">
      <c r="A560" s="7">
        <v>46216</v>
      </c>
      <c r="B560" s="8">
        <v>46229</v>
      </c>
      <c r="C560" s="9">
        <v>14</v>
      </c>
      <c r="D560" s="10" t="s">
        <v>1002</v>
      </c>
      <c r="E560" s="10" t="s">
        <v>2063</v>
      </c>
      <c r="F560" s="9"/>
      <c r="G560" s="9">
        <v>1</v>
      </c>
      <c r="H560" s="9">
        <v>0</v>
      </c>
      <c r="I560" s="9">
        <v>1</v>
      </c>
      <c r="J560" s="11">
        <v>0</v>
      </c>
      <c r="K560" s="24">
        <v>0.1</v>
      </c>
      <c r="L560" s="24">
        <v>0</v>
      </c>
      <c r="M560" s="24">
        <v>0</v>
      </c>
      <c r="N560" s="9">
        <v>0</v>
      </c>
      <c r="O560" s="9">
        <v>0</v>
      </c>
      <c r="P560" s="9">
        <v>0</v>
      </c>
      <c r="Q560" s="11">
        <v>0</v>
      </c>
      <c r="R560" s="10" t="s">
        <v>176</v>
      </c>
      <c r="S560" s="6"/>
      <c r="T560" s="6"/>
    </row>
    <row r="561" spans="1:20">
      <c r="A561" s="7">
        <v>46216</v>
      </c>
      <c r="B561" s="8">
        <v>46229</v>
      </c>
      <c r="C561" s="9">
        <v>14</v>
      </c>
      <c r="D561" s="10" t="s">
        <v>1002</v>
      </c>
      <c r="E561" s="10" t="s">
        <v>2064</v>
      </c>
      <c r="F561" s="9"/>
      <c r="G561" s="9">
        <v>4</v>
      </c>
      <c r="H561" s="9">
        <v>0</v>
      </c>
      <c r="I561" s="9">
        <v>4</v>
      </c>
      <c r="J561" s="11">
        <v>0</v>
      </c>
      <c r="K561" s="24">
        <v>0.1</v>
      </c>
      <c r="L561" s="24">
        <v>0</v>
      </c>
      <c r="M561" s="24">
        <v>0</v>
      </c>
      <c r="N561" s="9">
        <v>0</v>
      </c>
      <c r="O561" s="9">
        <v>0</v>
      </c>
      <c r="P561" s="9">
        <v>0</v>
      </c>
      <c r="Q561" s="11">
        <v>0</v>
      </c>
      <c r="R561" s="10" t="s">
        <v>176</v>
      </c>
      <c r="S561" s="6"/>
      <c r="T561" s="6"/>
    </row>
    <row r="562" spans="1:20">
      <c r="A562" s="7">
        <v>46216</v>
      </c>
      <c r="B562" s="8">
        <v>46229</v>
      </c>
      <c r="C562" s="9">
        <v>14</v>
      </c>
      <c r="D562" s="10" t="s">
        <v>1002</v>
      </c>
      <c r="E562" s="10" t="s">
        <v>2065</v>
      </c>
      <c r="F562" s="9"/>
      <c r="G562" s="9">
        <v>10</v>
      </c>
      <c r="H562" s="9">
        <v>1</v>
      </c>
      <c r="I562" s="9">
        <v>9</v>
      </c>
      <c r="J562" s="11">
        <v>0.1</v>
      </c>
      <c r="K562" s="24">
        <v>0.04</v>
      </c>
      <c r="L562" s="24">
        <v>0</v>
      </c>
      <c r="M562" s="24">
        <v>0</v>
      </c>
      <c r="N562" s="9">
        <v>1</v>
      </c>
      <c r="O562" s="9">
        <v>1</v>
      </c>
      <c r="P562" s="9">
        <v>2</v>
      </c>
      <c r="Q562" s="11">
        <v>0.1</v>
      </c>
      <c r="R562" s="10" t="s">
        <v>3075</v>
      </c>
      <c r="S562" s="6"/>
      <c r="T562" s="6"/>
    </row>
    <row r="563" spans="1:20">
      <c r="A563" s="7">
        <v>46216</v>
      </c>
      <c r="B563" s="8">
        <v>46229</v>
      </c>
      <c r="C563" s="9">
        <v>14</v>
      </c>
      <c r="D563" s="10" t="s">
        <v>1002</v>
      </c>
      <c r="E563" s="10" t="s">
        <v>2066</v>
      </c>
      <c r="F563" s="9"/>
      <c r="G563" s="9">
        <v>4</v>
      </c>
      <c r="H563" s="9">
        <v>0</v>
      </c>
      <c r="I563" s="9">
        <v>4</v>
      </c>
      <c r="J563" s="11">
        <v>0</v>
      </c>
      <c r="K563" s="24">
        <v>0.1</v>
      </c>
      <c r="L563" s="24">
        <v>0</v>
      </c>
      <c r="M563" s="24">
        <v>0</v>
      </c>
      <c r="N563" s="9">
        <v>0</v>
      </c>
      <c r="O563" s="9">
        <v>0</v>
      </c>
      <c r="P563" s="9">
        <v>0</v>
      </c>
      <c r="Q563" s="11">
        <v>0</v>
      </c>
      <c r="R563" s="10" t="s">
        <v>176</v>
      </c>
      <c r="S563" s="6"/>
      <c r="T563" s="6"/>
    </row>
    <row r="564" spans="1:20">
      <c r="A564" s="7">
        <v>46216</v>
      </c>
      <c r="B564" s="8">
        <v>46229</v>
      </c>
      <c r="C564" s="9">
        <v>14</v>
      </c>
      <c r="D564" s="10" t="s">
        <v>1002</v>
      </c>
      <c r="E564" s="10" t="s">
        <v>2067</v>
      </c>
      <c r="F564" s="9"/>
      <c r="G564" s="9">
        <v>4</v>
      </c>
      <c r="H564" s="9">
        <v>0</v>
      </c>
      <c r="I564" s="9">
        <v>4</v>
      </c>
      <c r="J564" s="11">
        <v>0</v>
      </c>
      <c r="K564" s="24">
        <v>0.1</v>
      </c>
      <c r="L564" s="24">
        <v>0</v>
      </c>
      <c r="M564" s="24">
        <v>0</v>
      </c>
      <c r="N564" s="9">
        <v>0</v>
      </c>
      <c r="O564" s="9">
        <v>0</v>
      </c>
      <c r="P564" s="9">
        <v>0</v>
      </c>
      <c r="Q564" s="11">
        <v>0</v>
      </c>
      <c r="R564" s="10" t="s">
        <v>176</v>
      </c>
      <c r="S564" s="6"/>
      <c r="T564" s="6"/>
    </row>
    <row r="565" spans="1:20">
      <c r="A565" s="7">
        <v>46216</v>
      </c>
      <c r="B565" s="8">
        <v>46229</v>
      </c>
      <c r="C565" s="9">
        <v>14</v>
      </c>
      <c r="D565" s="10" t="s">
        <v>1002</v>
      </c>
      <c r="E565" s="10" t="s">
        <v>2068</v>
      </c>
      <c r="F565" s="9"/>
      <c r="G565" s="9">
        <v>10</v>
      </c>
      <c r="H565" s="9">
        <v>0</v>
      </c>
      <c r="I565" s="9">
        <v>10</v>
      </c>
      <c r="J565" s="11">
        <v>0</v>
      </c>
      <c r="K565" s="24">
        <v>0.04</v>
      </c>
      <c r="L565" s="24">
        <v>0</v>
      </c>
      <c r="M565" s="24">
        <v>0</v>
      </c>
      <c r="N565" s="9">
        <v>1</v>
      </c>
      <c r="O565" s="9">
        <v>1</v>
      </c>
      <c r="P565" s="9">
        <v>1</v>
      </c>
      <c r="Q565" s="11">
        <v>0.1</v>
      </c>
      <c r="R565" s="10" t="s">
        <v>3075</v>
      </c>
      <c r="S565" s="6"/>
      <c r="T565" s="6"/>
    </row>
    <row r="566" spans="1:20">
      <c r="A566" s="7">
        <v>46216</v>
      </c>
      <c r="B566" s="8">
        <v>46229</v>
      </c>
      <c r="C566" s="9">
        <v>14</v>
      </c>
      <c r="D566" s="10" t="s">
        <v>1002</v>
      </c>
      <c r="E566" s="10" t="s">
        <v>2069</v>
      </c>
      <c r="F566" s="9"/>
      <c r="G566" s="9">
        <v>4</v>
      </c>
      <c r="H566" s="9">
        <v>0</v>
      </c>
      <c r="I566" s="9">
        <v>4</v>
      </c>
      <c r="J566" s="11">
        <v>0</v>
      </c>
      <c r="K566" s="24">
        <v>0.1</v>
      </c>
      <c r="L566" s="24">
        <v>0</v>
      </c>
      <c r="M566" s="24">
        <v>0</v>
      </c>
      <c r="N566" s="9">
        <v>0</v>
      </c>
      <c r="O566" s="9">
        <v>0</v>
      </c>
      <c r="P566" s="9">
        <v>0</v>
      </c>
      <c r="Q566" s="11">
        <v>0</v>
      </c>
      <c r="R566" s="10" t="s">
        <v>176</v>
      </c>
      <c r="S566" s="6"/>
      <c r="T566" s="6"/>
    </row>
    <row r="567" spans="1:20">
      <c r="A567" s="7">
        <v>46216</v>
      </c>
      <c r="B567" s="8">
        <v>46229</v>
      </c>
      <c r="C567" s="9">
        <v>14</v>
      </c>
      <c r="D567" s="10" t="s">
        <v>1002</v>
      </c>
      <c r="E567" s="10" t="s">
        <v>344</v>
      </c>
      <c r="F567" s="9"/>
      <c r="G567" s="9">
        <v>7</v>
      </c>
      <c r="H567" s="9">
        <v>0</v>
      </c>
      <c r="I567" s="9">
        <v>7</v>
      </c>
      <c r="J567" s="11">
        <v>0</v>
      </c>
      <c r="K567" s="24">
        <v>0.1</v>
      </c>
      <c r="L567" s="24">
        <v>0</v>
      </c>
      <c r="M567" s="24">
        <v>0</v>
      </c>
      <c r="N567" s="9">
        <v>0</v>
      </c>
      <c r="O567" s="9">
        <v>0</v>
      </c>
      <c r="P567" s="9">
        <v>0</v>
      </c>
      <c r="Q567" s="11">
        <v>0</v>
      </c>
      <c r="R567" s="10" t="s">
        <v>176</v>
      </c>
      <c r="S567" s="6"/>
      <c r="T567" s="6"/>
    </row>
    <row r="568" spans="1:20">
      <c r="A568" s="7">
        <v>46216</v>
      </c>
      <c r="B568" s="8">
        <v>46229</v>
      </c>
      <c r="C568" s="9">
        <v>14</v>
      </c>
      <c r="D568" s="10" t="s">
        <v>1002</v>
      </c>
      <c r="E568" s="10" t="s">
        <v>345</v>
      </c>
      <c r="F568" s="9"/>
      <c r="G568" s="9">
        <v>11</v>
      </c>
      <c r="H568" s="9">
        <v>0</v>
      </c>
      <c r="I568" s="9">
        <v>11</v>
      </c>
      <c r="J568" s="11">
        <v>0</v>
      </c>
      <c r="K568" s="24">
        <v>3.6400000000000002E-2</v>
      </c>
      <c r="L568" s="24">
        <v>0</v>
      </c>
      <c r="M568" s="24">
        <v>0</v>
      </c>
      <c r="N568" s="9">
        <v>0</v>
      </c>
      <c r="O568" s="9">
        <v>0</v>
      </c>
      <c r="P568" s="9">
        <v>0</v>
      </c>
      <c r="Q568" s="11">
        <v>0</v>
      </c>
      <c r="R568" s="10" t="s">
        <v>176</v>
      </c>
      <c r="S568" s="6"/>
      <c r="T568" s="6"/>
    </row>
    <row r="569" spans="1:20">
      <c r="A569" s="7">
        <v>46216</v>
      </c>
      <c r="B569" s="8">
        <v>46229</v>
      </c>
      <c r="C569" s="9">
        <v>14</v>
      </c>
      <c r="D569" s="10" t="s">
        <v>1002</v>
      </c>
      <c r="E569" s="10" t="s">
        <v>346</v>
      </c>
      <c r="F569" s="9"/>
      <c r="G569" s="9">
        <v>3</v>
      </c>
      <c r="H569" s="9">
        <v>0</v>
      </c>
      <c r="I569" s="9">
        <v>3</v>
      </c>
      <c r="J569" s="11">
        <v>0</v>
      </c>
      <c r="K569" s="24">
        <v>0.1</v>
      </c>
      <c r="L569" s="24">
        <v>0</v>
      </c>
      <c r="M569" s="24">
        <v>0</v>
      </c>
      <c r="N569" s="9">
        <v>0</v>
      </c>
      <c r="O569" s="9">
        <v>0</v>
      </c>
      <c r="P569" s="9">
        <v>0</v>
      </c>
      <c r="Q569" s="11">
        <v>0</v>
      </c>
      <c r="R569" s="10" t="s">
        <v>176</v>
      </c>
      <c r="S569" s="6"/>
      <c r="T569" s="6"/>
    </row>
    <row r="570" spans="1:20">
      <c r="A570" s="7">
        <v>46216</v>
      </c>
      <c r="B570" s="8">
        <v>46229</v>
      </c>
      <c r="C570" s="9">
        <v>14</v>
      </c>
      <c r="D570" s="10" t="s">
        <v>1002</v>
      </c>
      <c r="E570" s="10" t="s">
        <v>347</v>
      </c>
      <c r="F570" s="9"/>
      <c r="G570" s="9">
        <v>8</v>
      </c>
      <c r="H570" s="9">
        <v>0</v>
      </c>
      <c r="I570" s="9">
        <v>8</v>
      </c>
      <c r="J570" s="11">
        <v>0</v>
      </c>
      <c r="K570" s="24">
        <v>7.4999999999999997E-2</v>
      </c>
      <c r="L570" s="24">
        <v>0</v>
      </c>
      <c r="M570" s="24">
        <v>0</v>
      </c>
      <c r="N570" s="9">
        <v>0</v>
      </c>
      <c r="O570" s="9">
        <v>0</v>
      </c>
      <c r="P570" s="9">
        <v>0</v>
      </c>
      <c r="Q570" s="11">
        <v>0</v>
      </c>
      <c r="R570" s="10" t="s">
        <v>176</v>
      </c>
      <c r="S570" s="6"/>
      <c r="T570" s="6"/>
    </row>
    <row r="571" spans="1:20">
      <c r="A571" s="7">
        <v>46216</v>
      </c>
      <c r="B571" s="8">
        <v>46229</v>
      </c>
      <c r="C571" s="9">
        <v>14</v>
      </c>
      <c r="D571" s="10" t="s">
        <v>1002</v>
      </c>
      <c r="E571" s="10" t="s">
        <v>348</v>
      </c>
      <c r="F571" s="9"/>
      <c r="G571" s="9">
        <v>5</v>
      </c>
      <c r="H571" s="9">
        <v>0</v>
      </c>
      <c r="I571" s="9">
        <v>5</v>
      </c>
      <c r="J571" s="11">
        <v>0</v>
      </c>
      <c r="K571" s="24">
        <v>0.1</v>
      </c>
      <c r="L571" s="24">
        <v>0</v>
      </c>
      <c r="M571" s="24">
        <v>0</v>
      </c>
      <c r="N571" s="9">
        <v>0</v>
      </c>
      <c r="O571" s="9">
        <v>0</v>
      </c>
      <c r="P571" s="9">
        <v>0</v>
      </c>
      <c r="Q571" s="11">
        <v>0</v>
      </c>
      <c r="R571" s="10" t="s">
        <v>176</v>
      </c>
      <c r="S571" s="6"/>
      <c r="T571" s="6"/>
    </row>
    <row r="572" spans="1:20">
      <c r="A572" s="7">
        <v>46216</v>
      </c>
      <c r="B572" s="8">
        <v>46229</v>
      </c>
      <c r="C572" s="9">
        <v>14</v>
      </c>
      <c r="D572" s="10" t="s">
        <v>1002</v>
      </c>
      <c r="E572" s="10" t="s">
        <v>349</v>
      </c>
      <c r="F572" s="9"/>
      <c r="G572" s="9">
        <v>15</v>
      </c>
      <c r="H572" s="9">
        <v>0</v>
      </c>
      <c r="I572" s="9">
        <v>15</v>
      </c>
      <c r="J572" s="11">
        <v>0</v>
      </c>
      <c r="K572" s="24">
        <v>6.6699999999999995E-2</v>
      </c>
      <c r="L572" s="24">
        <v>0</v>
      </c>
      <c r="M572" s="24">
        <v>0</v>
      </c>
      <c r="N572" s="9">
        <v>0</v>
      </c>
      <c r="O572" s="9">
        <v>0</v>
      </c>
      <c r="P572" s="9">
        <v>0</v>
      </c>
      <c r="Q572" s="11">
        <v>0</v>
      </c>
      <c r="R572" s="10" t="s">
        <v>176</v>
      </c>
      <c r="S572" s="6"/>
      <c r="T572" s="6"/>
    </row>
    <row r="573" spans="1:20">
      <c r="A573" s="7">
        <v>46216</v>
      </c>
      <c r="B573" s="8">
        <v>46229</v>
      </c>
      <c r="C573" s="9">
        <v>14</v>
      </c>
      <c r="D573" s="10" t="s">
        <v>1002</v>
      </c>
      <c r="E573" s="10" t="s">
        <v>350</v>
      </c>
      <c r="F573" s="9"/>
      <c r="G573" s="9">
        <v>5</v>
      </c>
      <c r="H573" s="9">
        <v>0</v>
      </c>
      <c r="I573" s="9">
        <v>5</v>
      </c>
      <c r="J573" s="11">
        <v>0</v>
      </c>
      <c r="K573" s="24">
        <v>0.06</v>
      </c>
      <c r="L573" s="24">
        <v>0</v>
      </c>
      <c r="M573" s="24">
        <v>0</v>
      </c>
      <c r="N573" s="9">
        <v>0</v>
      </c>
      <c r="O573" s="9">
        <v>0</v>
      </c>
      <c r="P573" s="9">
        <v>0</v>
      </c>
      <c r="Q573" s="11">
        <v>0</v>
      </c>
      <c r="R573" s="10" t="s">
        <v>176</v>
      </c>
      <c r="S573" s="6"/>
      <c r="T573" s="6"/>
    </row>
    <row r="574" spans="1:20">
      <c r="A574" s="7">
        <v>46216</v>
      </c>
      <c r="B574" s="8">
        <v>46229</v>
      </c>
      <c r="C574" s="9">
        <v>14</v>
      </c>
      <c r="D574" s="10" t="s">
        <v>1002</v>
      </c>
      <c r="E574" s="10" t="s">
        <v>351</v>
      </c>
      <c r="F574" s="9"/>
      <c r="G574" s="9">
        <v>11</v>
      </c>
      <c r="H574" s="9">
        <v>0</v>
      </c>
      <c r="I574" s="9">
        <v>11</v>
      </c>
      <c r="J574" s="11">
        <v>0</v>
      </c>
      <c r="K574" s="24">
        <v>6.3600000000000004E-2</v>
      </c>
      <c r="L574" s="24">
        <v>0</v>
      </c>
      <c r="M574" s="24">
        <v>0</v>
      </c>
      <c r="N574" s="9">
        <v>0</v>
      </c>
      <c r="O574" s="9">
        <v>0</v>
      </c>
      <c r="P574" s="9">
        <v>0</v>
      </c>
      <c r="Q574" s="11">
        <v>0</v>
      </c>
      <c r="R574" s="10" t="s">
        <v>176</v>
      </c>
      <c r="S574" s="6"/>
      <c r="T574" s="6"/>
    </row>
    <row r="575" spans="1:20">
      <c r="A575" s="7">
        <v>46216</v>
      </c>
      <c r="B575" s="8">
        <v>46229</v>
      </c>
      <c r="C575" s="9">
        <v>14</v>
      </c>
      <c r="D575" s="10" t="s">
        <v>1002</v>
      </c>
      <c r="E575" s="10" t="s">
        <v>352</v>
      </c>
      <c r="F575" s="9"/>
      <c r="G575" s="9">
        <v>9</v>
      </c>
      <c r="H575" s="9">
        <v>0</v>
      </c>
      <c r="I575" s="9">
        <v>9</v>
      </c>
      <c r="J575" s="11">
        <v>0</v>
      </c>
      <c r="K575" s="24">
        <v>0.1</v>
      </c>
      <c r="L575" s="24">
        <v>0</v>
      </c>
      <c r="M575" s="24">
        <v>0</v>
      </c>
      <c r="N575" s="9">
        <v>0</v>
      </c>
      <c r="O575" s="9">
        <v>0</v>
      </c>
      <c r="P575" s="9">
        <v>0</v>
      </c>
      <c r="Q575" s="11">
        <v>0</v>
      </c>
      <c r="R575" s="10" t="s">
        <v>176</v>
      </c>
      <c r="S575" s="6"/>
      <c r="T575" s="6"/>
    </row>
    <row r="576" spans="1:20">
      <c r="A576" s="7">
        <v>46216</v>
      </c>
      <c r="B576" s="8">
        <v>46229</v>
      </c>
      <c r="C576" s="9">
        <v>14</v>
      </c>
      <c r="D576" s="10" t="s">
        <v>1002</v>
      </c>
      <c r="E576" s="10" t="s">
        <v>353</v>
      </c>
      <c r="F576" s="9"/>
      <c r="G576" s="9">
        <v>9</v>
      </c>
      <c r="H576" s="9">
        <v>0</v>
      </c>
      <c r="I576" s="9">
        <v>9</v>
      </c>
      <c r="J576" s="11">
        <v>0</v>
      </c>
      <c r="K576" s="24">
        <v>0.1</v>
      </c>
      <c r="L576" s="24">
        <v>0</v>
      </c>
      <c r="M576" s="24">
        <v>0</v>
      </c>
      <c r="N576" s="9">
        <v>0</v>
      </c>
      <c r="O576" s="9">
        <v>0</v>
      </c>
      <c r="P576" s="9">
        <v>0</v>
      </c>
      <c r="Q576" s="11">
        <v>0</v>
      </c>
      <c r="R576" s="10" t="s">
        <v>176</v>
      </c>
      <c r="S576" s="6"/>
      <c r="T576" s="6"/>
    </row>
    <row r="577" spans="1:20">
      <c r="A577" s="7">
        <v>46216</v>
      </c>
      <c r="B577" s="8">
        <v>46229</v>
      </c>
      <c r="C577" s="9">
        <v>14</v>
      </c>
      <c r="D577" s="10" t="s">
        <v>1002</v>
      </c>
      <c r="E577" s="10" t="s">
        <v>357</v>
      </c>
      <c r="F577" s="9"/>
      <c r="G577" s="9">
        <v>7</v>
      </c>
      <c r="H577" s="9">
        <v>0</v>
      </c>
      <c r="I577" s="9">
        <v>7</v>
      </c>
      <c r="J577" s="11">
        <v>0</v>
      </c>
      <c r="K577" s="24">
        <v>0.1</v>
      </c>
      <c r="L577" s="24">
        <v>0</v>
      </c>
      <c r="M577" s="24">
        <v>0</v>
      </c>
      <c r="N577" s="9">
        <v>0</v>
      </c>
      <c r="O577" s="9">
        <v>0</v>
      </c>
      <c r="P577" s="9">
        <v>0</v>
      </c>
      <c r="Q577" s="11">
        <v>0</v>
      </c>
      <c r="R577" s="10" t="s">
        <v>176</v>
      </c>
      <c r="S577" s="6"/>
      <c r="T577" s="6"/>
    </row>
    <row r="578" spans="1:20">
      <c r="A578" s="7">
        <v>46216</v>
      </c>
      <c r="B578" s="8">
        <v>46229</v>
      </c>
      <c r="C578" s="9">
        <v>14</v>
      </c>
      <c r="D578" s="10" t="s">
        <v>1002</v>
      </c>
      <c r="E578" s="10" t="s">
        <v>358</v>
      </c>
      <c r="F578" s="9"/>
      <c r="G578" s="9">
        <v>9</v>
      </c>
      <c r="H578" s="9">
        <v>0</v>
      </c>
      <c r="I578" s="9">
        <v>9</v>
      </c>
      <c r="J578" s="11">
        <v>0</v>
      </c>
      <c r="K578" s="24">
        <v>0.1</v>
      </c>
      <c r="L578" s="24">
        <v>0</v>
      </c>
      <c r="M578" s="24">
        <v>0</v>
      </c>
      <c r="N578" s="9">
        <v>0</v>
      </c>
      <c r="O578" s="9">
        <v>0</v>
      </c>
      <c r="P578" s="9">
        <v>0</v>
      </c>
      <c r="Q578" s="11">
        <v>0</v>
      </c>
      <c r="R578" s="10" t="s">
        <v>176</v>
      </c>
      <c r="S578" s="6"/>
      <c r="T578" s="6"/>
    </row>
    <row r="579" spans="1:20">
      <c r="A579" s="7">
        <v>46216</v>
      </c>
      <c r="B579" s="8">
        <v>46229</v>
      </c>
      <c r="C579" s="9">
        <v>14</v>
      </c>
      <c r="D579" s="10" t="s">
        <v>1002</v>
      </c>
      <c r="E579" s="10" t="s">
        <v>2070</v>
      </c>
      <c r="F579" s="9"/>
      <c r="G579" s="9">
        <v>4</v>
      </c>
      <c r="H579" s="9">
        <v>0</v>
      </c>
      <c r="I579" s="9">
        <v>4</v>
      </c>
      <c r="J579" s="11">
        <v>0</v>
      </c>
      <c r="K579" s="24">
        <v>0.1</v>
      </c>
      <c r="L579" s="24">
        <v>0</v>
      </c>
      <c r="M579" s="24">
        <v>0</v>
      </c>
      <c r="N579" s="9">
        <v>0</v>
      </c>
      <c r="O579" s="9">
        <v>0</v>
      </c>
      <c r="P579" s="9">
        <v>0</v>
      </c>
      <c r="Q579" s="11">
        <v>0</v>
      </c>
      <c r="R579" s="10" t="s">
        <v>176</v>
      </c>
      <c r="S579" s="6"/>
      <c r="T579" s="6"/>
    </row>
    <row r="580" spans="1:20">
      <c r="A580" s="7">
        <v>46216</v>
      </c>
      <c r="B580" s="8">
        <v>46229</v>
      </c>
      <c r="C580" s="9">
        <v>14</v>
      </c>
      <c r="D580" s="10" t="s">
        <v>1002</v>
      </c>
      <c r="E580" s="10" t="s">
        <v>359</v>
      </c>
      <c r="F580" s="9"/>
      <c r="G580" s="9">
        <v>2</v>
      </c>
      <c r="H580" s="9">
        <v>0</v>
      </c>
      <c r="I580" s="9">
        <v>2</v>
      </c>
      <c r="J580" s="11">
        <v>0</v>
      </c>
      <c r="K580" s="24">
        <v>0.1</v>
      </c>
      <c r="L580" s="24">
        <v>0</v>
      </c>
      <c r="M580" s="24">
        <v>0</v>
      </c>
      <c r="N580" s="9">
        <v>0</v>
      </c>
      <c r="O580" s="9">
        <v>0</v>
      </c>
      <c r="P580" s="9">
        <v>0</v>
      </c>
      <c r="Q580" s="11">
        <v>0</v>
      </c>
      <c r="R580" s="10" t="s">
        <v>176</v>
      </c>
      <c r="S580" s="6"/>
      <c r="T580" s="6"/>
    </row>
    <row r="581" spans="1:20">
      <c r="A581" s="7">
        <v>46216</v>
      </c>
      <c r="B581" s="8">
        <v>46229</v>
      </c>
      <c r="C581" s="9">
        <v>14</v>
      </c>
      <c r="D581" s="10" t="s">
        <v>1002</v>
      </c>
      <c r="E581" s="10" t="s">
        <v>2071</v>
      </c>
      <c r="F581" s="9"/>
      <c r="G581" s="9">
        <v>1</v>
      </c>
      <c r="H581" s="9">
        <v>0</v>
      </c>
      <c r="I581" s="9">
        <v>1</v>
      </c>
      <c r="J581" s="11">
        <v>0</v>
      </c>
      <c r="K581" s="24">
        <v>0.1</v>
      </c>
      <c r="L581" s="24">
        <v>0</v>
      </c>
      <c r="M581" s="24">
        <v>0</v>
      </c>
      <c r="N581" s="9">
        <v>0</v>
      </c>
      <c r="O581" s="9">
        <v>0</v>
      </c>
      <c r="P581" s="9">
        <v>0</v>
      </c>
      <c r="Q581" s="11">
        <v>0</v>
      </c>
      <c r="R581" s="10" t="s">
        <v>176</v>
      </c>
      <c r="S581" s="6"/>
      <c r="T581" s="6"/>
    </row>
    <row r="582" spans="1:20">
      <c r="A582" s="7">
        <v>46216</v>
      </c>
      <c r="B582" s="8">
        <v>46229</v>
      </c>
      <c r="C582" s="9">
        <v>14</v>
      </c>
      <c r="D582" s="10" t="s">
        <v>1002</v>
      </c>
      <c r="E582" s="10" t="s">
        <v>360</v>
      </c>
      <c r="F582" s="9"/>
      <c r="G582" s="9">
        <v>7</v>
      </c>
      <c r="H582" s="9">
        <v>0</v>
      </c>
      <c r="I582" s="9">
        <v>7</v>
      </c>
      <c r="J582" s="11">
        <v>0</v>
      </c>
      <c r="K582" s="24">
        <v>8.5699999999999998E-2</v>
      </c>
      <c r="L582" s="24">
        <v>0</v>
      </c>
      <c r="M582" s="24">
        <v>0</v>
      </c>
      <c r="N582" s="9">
        <v>0</v>
      </c>
      <c r="O582" s="9">
        <v>0</v>
      </c>
      <c r="P582" s="9">
        <v>0</v>
      </c>
      <c r="Q582" s="11">
        <v>0</v>
      </c>
      <c r="R582" s="10" t="s">
        <v>176</v>
      </c>
      <c r="S582" s="6"/>
      <c r="T582" s="6"/>
    </row>
    <row r="583" spans="1:20">
      <c r="A583" s="7">
        <v>46216</v>
      </c>
      <c r="B583" s="8">
        <v>46229</v>
      </c>
      <c r="C583" s="9">
        <v>14</v>
      </c>
      <c r="D583" s="10" t="s">
        <v>1002</v>
      </c>
      <c r="E583" s="10" t="s">
        <v>361</v>
      </c>
      <c r="F583" s="9"/>
      <c r="G583" s="9">
        <v>4</v>
      </c>
      <c r="H583" s="9">
        <v>0</v>
      </c>
      <c r="I583" s="9">
        <v>4</v>
      </c>
      <c r="J583" s="11">
        <v>0</v>
      </c>
      <c r="K583" s="24">
        <v>0.1</v>
      </c>
      <c r="L583" s="24">
        <v>0</v>
      </c>
      <c r="M583" s="24">
        <v>0</v>
      </c>
      <c r="N583" s="9">
        <v>0</v>
      </c>
      <c r="O583" s="9">
        <v>0</v>
      </c>
      <c r="P583" s="9">
        <v>0</v>
      </c>
      <c r="Q583" s="11">
        <v>0</v>
      </c>
      <c r="R583" s="10" t="s">
        <v>176</v>
      </c>
      <c r="S583" s="6"/>
      <c r="T583" s="6"/>
    </row>
    <row r="584" spans="1:20">
      <c r="A584" s="7">
        <v>46216</v>
      </c>
      <c r="B584" s="8">
        <v>46229</v>
      </c>
      <c r="C584" s="9">
        <v>14</v>
      </c>
      <c r="D584" s="10" t="s">
        <v>1002</v>
      </c>
      <c r="E584" s="10" t="s">
        <v>362</v>
      </c>
      <c r="F584" s="9"/>
      <c r="G584" s="9">
        <v>4</v>
      </c>
      <c r="H584" s="9">
        <v>0</v>
      </c>
      <c r="I584" s="9">
        <v>4</v>
      </c>
      <c r="J584" s="11">
        <v>0</v>
      </c>
      <c r="K584" s="24">
        <v>0.1</v>
      </c>
      <c r="L584" s="24">
        <v>0</v>
      </c>
      <c r="M584" s="24">
        <v>0</v>
      </c>
      <c r="N584" s="9">
        <v>0</v>
      </c>
      <c r="O584" s="9">
        <v>0</v>
      </c>
      <c r="P584" s="9">
        <v>0</v>
      </c>
      <c r="Q584" s="11">
        <v>0</v>
      </c>
      <c r="R584" s="10" t="s">
        <v>176</v>
      </c>
      <c r="S584" s="6"/>
      <c r="T584" s="6"/>
    </row>
    <row r="585" spans="1:20">
      <c r="A585" s="7">
        <v>46216</v>
      </c>
      <c r="B585" s="8">
        <v>46229</v>
      </c>
      <c r="C585" s="9">
        <v>14</v>
      </c>
      <c r="D585" s="10" t="s">
        <v>1002</v>
      </c>
      <c r="E585" s="10" t="s">
        <v>363</v>
      </c>
      <c r="F585" s="9"/>
      <c r="G585" s="9">
        <v>1</v>
      </c>
      <c r="H585" s="9">
        <v>0</v>
      </c>
      <c r="I585" s="9">
        <v>1</v>
      </c>
      <c r="J585" s="11">
        <v>0</v>
      </c>
      <c r="K585" s="24">
        <v>0.1</v>
      </c>
      <c r="L585" s="24">
        <v>0</v>
      </c>
      <c r="M585" s="24">
        <v>0</v>
      </c>
      <c r="N585" s="9">
        <v>0</v>
      </c>
      <c r="O585" s="9">
        <v>0</v>
      </c>
      <c r="P585" s="9">
        <v>0</v>
      </c>
      <c r="Q585" s="11">
        <v>0</v>
      </c>
      <c r="R585" s="10" t="s">
        <v>176</v>
      </c>
      <c r="S585" s="6"/>
      <c r="T585" s="6"/>
    </row>
    <row r="586" spans="1:20">
      <c r="A586" s="7">
        <v>46216</v>
      </c>
      <c r="B586" s="8">
        <v>46229</v>
      </c>
      <c r="C586" s="9">
        <v>14</v>
      </c>
      <c r="D586" s="10" t="s">
        <v>1002</v>
      </c>
      <c r="E586" s="10" t="s">
        <v>2072</v>
      </c>
      <c r="F586" s="9"/>
      <c r="G586" s="9">
        <v>4</v>
      </c>
      <c r="H586" s="9">
        <v>0</v>
      </c>
      <c r="I586" s="9">
        <v>4</v>
      </c>
      <c r="J586" s="11">
        <v>0</v>
      </c>
      <c r="K586" s="24">
        <v>7.4999999999999997E-2</v>
      </c>
      <c r="L586" s="24">
        <v>0</v>
      </c>
      <c r="M586" s="24">
        <v>0</v>
      </c>
      <c r="N586" s="9">
        <v>0</v>
      </c>
      <c r="O586" s="9">
        <v>0</v>
      </c>
      <c r="P586" s="9">
        <v>0</v>
      </c>
      <c r="Q586" s="11">
        <v>0</v>
      </c>
      <c r="R586" s="10" t="s">
        <v>176</v>
      </c>
      <c r="S586" s="6"/>
      <c r="T586" s="6"/>
    </row>
    <row r="587" spans="1:20">
      <c r="A587" s="7">
        <v>46216</v>
      </c>
      <c r="B587" s="8">
        <v>46229</v>
      </c>
      <c r="C587" s="9">
        <v>14</v>
      </c>
      <c r="D587" s="10" t="s">
        <v>1002</v>
      </c>
      <c r="E587" s="10" t="s">
        <v>2073</v>
      </c>
      <c r="F587" s="9"/>
      <c r="G587" s="9">
        <v>4</v>
      </c>
      <c r="H587" s="9">
        <v>0</v>
      </c>
      <c r="I587" s="9">
        <v>4</v>
      </c>
      <c r="J587" s="11">
        <v>0</v>
      </c>
      <c r="K587" s="24">
        <v>0.1</v>
      </c>
      <c r="L587" s="24">
        <v>0</v>
      </c>
      <c r="M587" s="24">
        <v>0</v>
      </c>
      <c r="N587" s="9">
        <v>0</v>
      </c>
      <c r="O587" s="9">
        <v>0</v>
      </c>
      <c r="P587" s="9">
        <v>0</v>
      </c>
      <c r="Q587" s="11">
        <v>0</v>
      </c>
      <c r="R587" s="10" t="s">
        <v>176</v>
      </c>
      <c r="S587" s="6"/>
      <c r="T587" s="6"/>
    </row>
    <row r="588" spans="1:20">
      <c r="A588" s="7">
        <v>46216</v>
      </c>
      <c r="B588" s="8">
        <v>46229</v>
      </c>
      <c r="C588" s="9">
        <v>14</v>
      </c>
      <c r="D588" s="10" t="s">
        <v>1002</v>
      </c>
      <c r="E588" s="10" t="s">
        <v>364</v>
      </c>
      <c r="F588" s="9"/>
      <c r="G588" s="9">
        <v>2</v>
      </c>
      <c r="H588" s="9">
        <v>0</v>
      </c>
      <c r="I588" s="9">
        <v>2</v>
      </c>
      <c r="J588" s="11">
        <v>0</v>
      </c>
      <c r="K588" s="24">
        <v>0.1</v>
      </c>
      <c r="L588" s="24">
        <v>0</v>
      </c>
      <c r="M588" s="24">
        <v>0</v>
      </c>
      <c r="N588" s="9">
        <v>0</v>
      </c>
      <c r="O588" s="9">
        <v>0</v>
      </c>
      <c r="P588" s="9">
        <v>0</v>
      </c>
      <c r="Q588" s="11">
        <v>0</v>
      </c>
      <c r="R588" s="10" t="s">
        <v>176</v>
      </c>
      <c r="S588" s="6"/>
      <c r="T588" s="6"/>
    </row>
    <row r="589" spans="1:20">
      <c r="A589" s="7">
        <v>46216</v>
      </c>
      <c r="B589" s="8">
        <v>46229</v>
      </c>
      <c r="C589" s="9">
        <v>14</v>
      </c>
      <c r="D589" s="10" t="s">
        <v>1002</v>
      </c>
      <c r="E589" s="10" t="s">
        <v>2074</v>
      </c>
      <c r="F589" s="9"/>
      <c r="G589" s="9">
        <v>7</v>
      </c>
      <c r="H589" s="9">
        <v>0</v>
      </c>
      <c r="I589" s="9">
        <v>7</v>
      </c>
      <c r="J589" s="11">
        <v>0</v>
      </c>
      <c r="K589" s="24">
        <v>0.1</v>
      </c>
      <c r="L589" s="24">
        <v>0</v>
      </c>
      <c r="M589" s="24">
        <v>0</v>
      </c>
      <c r="N589" s="9">
        <v>0</v>
      </c>
      <c r="O589" s="9">
        <v>0</v>
      </c>
      <c r="P589" s="9">
        <v>0</v>
      </c>
      <c r="Q589" s="11">
        <v>0</v>
      </c>
      <c r="R589" s="10" t="s">
        <v>176</v>
      </c>
      <c r="S589" s="6"/>
      <c r="T589" s="6"/>
    </row>
    <row r="590" spans="1:20">
      <c r="A590" s="7">
        <v>46216</v>
      </c>
      <c r="B590" s="8">
        <v>46229</v>
      </c>
      <c r="C590" s="9">
        <v>14</v>
      </c>
      <c r="D590" s="10" t="s">
        <v>1002</v>
      </c>
      <c r="E590" s="10" t="s">
        <v>365</v>
      </c>
      <c r="F590" s="9"/>
      <c r="G590" s="9">
        <v>1</v>
      </c>
      <c r="H590" s="9">
        <v>0</v>
      </c>
      <c r="I590" s="9">
        <v>1</v>
      </c>
      <c r="J590" s="11">
        <v>0</v>
      </c>
      <c r="K590" s="24">
        <v>0.1</v>
      </c>
      <c r="L590" s="24">
        <v>0</v>
      </c>
      <c r="M590" s="24">
        <v>0</v>
      </c>
      <c r="N590" s="9">
        <v>0</v>
      </c>
      <c r="O590" s="9">
        <v>0</v>
      </c>
      <c r="P590" s="9">
        <v>0</v>
      </c>
      <c r="Q590" s="11">
        <v>0</v>
      </c>
      <c r="R590" s="10" t="s">
        <v>176</v>
      </c>
      <c r="S590" s="6"/>
      <c r="T590" s="6"/>
    </row>
    <row r="591" spans="1:20">
      <c r="A591" s="7">
        <v>46216</v>
      </c>
      <c r="B591" s="8">
        <v>46229</v>
      </c>
      <c r="C591" s="9">
        <v>14</v>
      </c>
      <c r="D591" s="10" t="s">
        <v>1002</v>
      </c>
      <c r="E591" s="10" t="s">
        <v>366</v>
      </c>
      <c r="F591" s="9"/>
      <c r="G591" s="9">
        <v>6</v>
      </c>
      <c r="H591" s="9">
        <v>0</v>
      </c>
      <c r="I591" s="9">
        <v>6</v>
      </c>
      <c r="J591" s="11">
        <v>0</v>
      </c>
      <c r="K591" s="24">
        <v>0.1</v>
      </c>
      <c r="L591" s="24">
        <v>0</v>
      </c>
      <c r="M591" s="24">
        <v>0</v>
      </c>
      <c r="N591" s="9">
        <v>0</v>
      </c>
      <c r="O591" s="9">
        <v>0</v>
      </c>
      <c r="P591" s="9">
        <v>0</v>
      </c>
      <c r="Q591" s="11">
        <v>0</v>
      </c>
      <c r="R591" s="10" t="s">
        <v>176</v>
      </c>
      <c r="S591" s="6"/>
      <c r="T591" s="6"/>
    </row>
    <row r="592" spans="1:20">
      <c r="A592" s="7">
        <v>46216</v>
      </c>
      <c r="B592" s="8">
        <v>46229</v>
      </c>
      <c r="C592" s="9">
        <v>14</v>
      </c>
      <c r="D592" s="10" t="s">
        <v>1002</v>
      </c>
      <c r="E592" s="10" t="s">
        <v>367</v>
      </c>
      <c r="F592" s="9"/>
      <c r="G592" s="9">
        <v>4</v>
      </c>
      <c r="H592" s="9">
        <v>0</v>
      </c>
      <c r="I592" s="9">
        <v>4</v>
      </c>
      <c r="J592" s="11">
        <v>0</v>
      </c>
      <c r="K592" s="24">
        <v>0.1</v>
      </c>
      <c r="L592" s="24">
        <v>0</v>
      </c>
      <c r="M592" s="24">
        <v>0</v>
      </c>
      <c r="N592" s="9">
        <v>0</v>
      </c>
      <c r="O592" s="9">
        <v>0</v>
      </c>
      <c r="P592" s="9">
        <v>0</v>
      </c>
      <c r="Q592" s="11">
        <v>0</v>
      </c>
      <c r="R592" s="10" t="s">
        <v>176</v>
      </c>
      <c r="S592" s="6"/>
      <c r="T592" s="6"/>
    </row>
    <row r="593" spans="1:20">
      <c r="A593" s="7">
        <v>46216</v>
      </c>
      <c r="B593" s="8">
        <v>46229</v>
      </c>
      <c r="C593" s="9">
        <v>14</v>
      </c>
      <c r="D593" s="10" t="s">
        <v>1002</v>
      </c>
      <c r="E593" s="10" t="s">
        <v>368</v>
      </c>
      <c r="F593" s="9"/>
      <c r="G593" s="9">
        <v>4</v>
      </c>
      <c r="H593" s="9">
        <v>0</v>
      </c>
      <c r="I593" s="9">
        <v>4</v>
      </c>
      <c r="J593" s="11">
        <v>0</v>
      </c>
      <c r="K593" s="24">
        <v>0.05</v>
      </c>
      <c r="L593" s="24">
        <v>0</v>
      </c>
      <c r="M593" s="24">
        <v>0</v>
      </c>
      <c r="N593" s="9">
        <v>0</v>
      </c>
      <c r="O593" s="9">
        <v>0</v>
      </c>
      <c r="P593" s="9">
        <v>0</v>
      </c>
      <c r="Q593" s="11">
        <v>0</v>
      </c>
      <c r="R593" s="10" t="s">
        <v>176</v>
      </c>
      <c r="S593" s="6"/>
      <c r="T593" s="6"/>
    </row>
    <row r="594" spans="1:20">
      <c r="A594" s="7">
        <v>46216</v>
      </c>
      <c r="B594" s="8">
        <v>46229</v>
      </c>
      <c r="C594" s="9">
        <v>14</v>
      </c>
      <c r="D594" s="10" t="s">
        <v>1002</v>
      </c>
      <c r="E594" s="10" t="s">
        <v>369</v>
      </c>
      <c r="F594" s="9"/>
      <c r="G594" s="9">
        <v>3</v>
      </c>
      <c r="H594" s="9">
        <v>0</v>
      </c>
      <c r="I594" s="9">
        <v>3</v>
      </c>
      <c r="J594" s="11">
        <v>0</v>
      </c>
      <c r="K594" s="24">
        <v>0.1</v>
      </c>
      <c r="L594" s="24">
        <v>0</v>
      </c>
      <c r="M594" s="24">
        <v>0</v>
      </c>
      <c r="N594" s="9">
        <v>0</v>
      </c>
      <c r="O594" s="9">
        <v>0</v>
      </c>
      <c r="P594" s="9">
        <v>0</v>
      </c>
      <c r="Q594" s="11">
        <v>0</v>
      </c>
      <c r="R594" s="10" t="s">
        <v>176</v>
      </c>
      <c r="S594" s="6"/>
      <c r="T594" s="6"/>
    </row>
    <row r="595" spans="1:20">
      <c r="A595" s="7">
        <v>46216</v>
      </c>
      <c r="B595" s="8">
        <v>46229</v>
      </c>
      <c r="C595" s="9">
        <v>14</v>
      </c>
      <c r="D595" s="10" t="s">
        <v>1002</v>
      </c>
      <c r="E595" s="10" t="s">
        <v>370</v>
      </c>
      <c r="F595" s="9"/>
      <c r="G595" s="9">
        <v>1</v>
      </c>
      <c r="H595" s="9">
        <v>0</v>
      </c>
      <c r="I595" s="9">
        <v>1</v>
      </c>
      <c r="J595" s="11">
        <v>0</v>
      </c>
      <c r="K595" s="24">
        <v>0.1</v>
      </c>
      <c r="L595" s="24">
        <v>0</v>
      </c>
      <c r="M595" s="24">
        <v>0</v>
      </c>
      <c r="N595" s="9">
        <v>0</v>
      </c>
      <c r="O595" s="9">
        <v>0</v>
      </c>
      <c r="P595" s="9">
        <v>0</v>
      </c>
      <c r="Q595" s="11">
        <v>0</v>
      </c>
      <c r="R595" s="10" t="s">
        <v>176</v>
      </c>
      <c r="S595" s="6"/>
      <c r="T595" s="6"/>
    </row>
    <row r="596" spans="1:20">
      <c r="A596" s="7">
        <v>46216</v>
      </c>
      <c r="B596" s="8">
        <v>46229</v>
      </c>
      <c r="C596" s="9">
        <v>14</v>
      </c>
      <c r="D596" s="10" t="s">
        <v>1002</v>
      </c>
      <c r="E596" s="10" t="s">
        <v>371</v>
      </c>
      <c r="F596" s="9"/>
      <c r="G596" s="9">
        <v>1</v>
      </c>
      <c r="H596" s="9">
        <v>0</v>
      </c>
      <c r="I596" s="9">
        <v>1</v>
      </c>
      <c r="J596" s="11">
        <v>0</v>
      </c>
      <c r="K596" s="24">
        <v>0.1</v>
      </c>
      <c r="L596" s="24">
        <v>0</v>
      </c>
      <c r="M596" s="24">
        <v>0</v>
      </c>
      <c r="N596" s="9">
        <v>0</v>
      </c>
      <c r="O596" s="9">
        <v>0</v>
      </c>
      <c r="P596" s="9">
        <v>0</v>
      </c>
      <c r="Q596" s="11">
        <v>0</v>
      </c>
      <c r="R596" s="10" t="s">
        <v>176</v>
      </c>
      <c r="S596" s="6"/>
      <c r="T596" s="6"/>
    </row>
    <row r="597" spans="1:20">
      <c r="A597" s="7">
        <v>46216</v>
      </c>
      <c r="B597" s="8">
        <v>46229</v>
      </c>
      <c r="C597" s="9">
        <v>14</v>
      </c>
      <c r="D597" s="10" t="s">
        <v>1002</v>
      </c>
      <c r="E597" s="10" t="s">
        <v>2075</v>
      </c>
      <c r="F597" s="9"/>
      <c r="G597" s="9">
        <v>1</v>
      </c>
      <c r="H597" s="9">
        <v>0</v>
      </c>
      <c r="I597" s="9">
        <v>1</v>
      </c>
      <c r="J597" s="11">
        <v>0</v>
      </c>
      <c r="K597" s="24">
        <v>0.1</v>
      </c>
      <c r="L597" s="24">
        <v>0</v>
      </c>
      <c r="M597" s="24">
        <v>0</v>
      </c>
      <c r="N597" s="9">
        <v>0</v>
      </c>
      <c r="O597" s="9">
        <v>0</v>
      </c>
      <c r="P597" s="9">
        <v>0</v>
      </c>
      <c r="Q597" s="11">
        <v>0</v>
      </c>
      <c r="R597" s="10" t="s">
        <v>176</v>
      </c>
      <c r="S597" s="6"/>
      <c r="T597" s="6"/>
    </row>
    <row r="598" spans="1:20">
      <c r="A598" s="7">
        <v>46216</v>
      </c>
      <c r="B598" s="8">
        <v>46229</v>
      </c>
      <c r="C598" s="9">
        <v>14</v>
      </c>
      <c r="D598" s="10" t="s">
        <v>1002</v>
      </c>
      <c r="E598" s="10" t="s">
        <v>372</v>
      </c>
      <c r="F598" s="9"/>
      <c r="G598" s="9">
        <v>1</v>
      </c>
      <c r="H598" s="9">
        <v>0</v>
      </c>
      <c r="I598" s="9">
        <v>1</v>
      </c>
      <c r="J598" s="11">
        <v>0</v>
      </c>
      <c r="K598" s="24">
        <v>0.1</v>
      </c>
      <c r="L598" s="24">
        <v>0</v>
      </c>
      <c r="M598" s="24">
        <v>0</v>
      </c>
      <c r="N598" s="9">
        <v>0</v>
      </c>
      <c r="O598" s="9">
        <v>0</v>
      </c>
      <c r="P598" s="9">
        <v>0</v>
      </c>
      <c r="Q598" s="11">
        <v>0</v>
      </c>
      <c r="R598" s="10" t="s">
        <v>176</v>
      </c>
      <c r="S598" s="6"/>
      <c r="T598" s="6"/>
    </row>
    <row r="599" spans="1:20">
      <c r="A599" s="7">
        <v>46216</v>
      </c>
      <c r="B599" s="8">
        <v>46229</v>
      </c>
      <c r="C599" s="9">
        <v>14</v>
      </c>
      <c r="D599" s="10" t="s">
        <v>1002</v>
      </c>
      <c r="E599" s="10" t="s">
        <v>373</v>
      </c>
      <c r="F599" s="9"/>
      <c r="G599" s="9">
        <v>10</v>
      </c>
      <c r="H599" s="9">
        <v>0</v>
      </c>
      <c r="I599" s="9">
        <v>10</v>
      </c>
      <c r="J599" s="11">
        <v>0</v>
      </c>
      <c r="K599" s="24">
        <v>0.1</v>
      </c>
      <c r="L599" s="24">
        <v>0</v>
      </c>
      <c r="M599" s="24">
        <v>0</v>
      </c>
      <c r="N599" s="9">
        <v>0</v>
      </c>
      <c r="O599" s="9">
        <v>0</v>
      </c>
      <c r="P599" s="9">
        <v>0</v>
      </c>
      <c r="Q599" s="11">
        <v>0</v>
      </c>
      <c r="R599" s="10" t="s">
        <v>176</v>
      </c>
      <c r="S599" s="6"/>
      <c r="T599" s="6"/>
    </row>
    <row r="600" spans="1:20">
      <c r="A600" s="7">
        <v>46216</v>
      </c>
      <c r="B600" s="8">
        <v>46229</v>
      </c>
      <c r="C600" s="9">
        <v>14</v>
      </c>
      <c r="D600" s="10" t="s">
        <v>1002</v>
      </c>
      <c r="E600" s="10" t="s">
        <v>2076</v>
      </c>
      <c r="F600" s="9"/>
      <c r="G600" s="9">
        <v>2</v>
      </c>
      <c r="H600" s="9">
        <v>0</v>
      </c>
      <c r="I600" s="9">
        <v>2</v>
      </c>
      <c r="J600" s="11">
        <v>0</v>
      </c>
      <c r="K600" s="24">
        <v>0.1</v>
      </c>
      <c r="L600" s="24">
        <v>0</v>
      </c>
      <c r="M600" s="24">
        <v>0</v>
      </c>
      <c r="N600" s="9">
        <v>0</v>
      </c>
      <c r="O600" s="9">
        <v>0</v>
      </c>
      <c r="P600" s="9">
        <v>0</v>
      </c>
      <c r="Q600" s="11">
        <v>0</v>
      </c>
      <c r="R600" s="10" t="s">
        <v>176</v>
      </c>
      <c r="S600" s="6"/>
      <c r="T600" s="6"/>
    </row>
    <row r="601" spans="1:20">
      <c r="A601" s="7">
        <v>46216</v>
      </c>
      <c r="B601" s="8">
        <v>46229</v>
      </c>
      <c r="C601" s="9">
        <v>14</v>
      </c>
      <c r="D601" s="10" t="s">
        <v>1002</v>
      </c>
      <c r="E601" s="10" t="s">
        <v>374</v>
      </c>
      <c r="F601" s="9"/>
      <c r="G601" s="9">
        <v>2</v>
      </c>
      <c r="H601" s="9">
        <v>0</v>
      </c>
      <c r="I601" s="9">
        <v>2</v>
      </c>
      <c r="J601" s="11">
        <v>0</v>
      </c>
      <c r="K601" s="24">
        <v>0.1</v>
      </c>
      <c r="L601" s="24">
        <v>0</v>
      </c>
      <c r="M601" s="24">
        <v>0</v>
      </c>
      <c r="N601" s="9">
        <v>0</v>
      </c>
      <c r="O601" s="9">
        <v>0</v>
      </c>
      <c r="P601" s="9">
        <v>0</v>
      </c>
      <c r="Q601" s="11">
        <v>0</v>
      </c>
      <c r="R601" s="10" t="s">
        <v>176</v>
      </c>
      <c r="S601" s="6"/>
      <c r="T601" s="6"/>
    </row>
    <row r="602" spans="1:20">
      <c r="A602" s="7">
        <v>46216</v>
      </c>
      <c r="B602" s="8">
        <v>46229</v>
      </c>
      <c r="C602" s="9">
        <v>14</v>
      </c>
      <c r="D602" s="10" t="s">
        <v>1002</v>
      </c>
      <c r="E602" s="10" t="s">
        <v>375</v>
      </c>
      <c r="F602" s="9"/>
      <c r="G602" s="9">
        <v>2</v>
      </c>
      <c r="H602" s="9">
        <v>0</v>
      </c>
      <c r="I602" s="9">
        <v>2</v>
      </c>
      <c r="J602" s="11">
        <v>0</v>
      </c>
      <c r="K602" s="24">
        <v>0.1</v>
      </c>
      <c r="L602" s="24">
        <v>0</v>
      </c>
      <c r="M602" s="24">
        <v>0</v>
      </c>
      <c r="N602" s="9">
        <v>0</v>
      </c>
      <c r="O602" s="9">
        <v>0</v>
      </c>
      <c r="P602" s="9">
        <v>0</v>
      </c>
      <c r="Q602" s="11">
        <v>0</v>
      </c>
      <c r="R602" s="10" t="s">
        <v>176</v>
      </c>
      <c r="S602" s="6"/>
      <c r="T602" s="6"/>
    </row>
    <row r="603" spans="1:20">
      <c r="A603" s="7">
        <v>46216</v>
      </c>
      <c r="B603" s="8">
        <v>46229</v>
      </c>
      <c r="C603" s="9">
        <v>14</v>
      </c>
      <c r="D603" s="10" t="s">
        <v>1002</v>
      </c>
      <c r="E603" s="10" t="s">
        <v>2077</v>
      </c>
      <c r="F603" s="9"/>
      <c r="G603" s="9">
        <v>3</v>
      </c>
      <c r="H603" s="9">
        <v>0</v>
      </c>
      <c r="I603" s="9">
        <v>3</v>
      </c>
      <c r="J603" s="11">
        <v>0</v>
      </c>
      <c r="K603" s="24">
        <v>0.1</v>
      </c>
      <c r="L603" s="24">
        <v>0</v>
      </c>
      <c r="M603" s="24">
        <v>0</v>
      </c>
      <c r="N603" s="9">
        <v>0</v>
      </c>
      <c r="O603" s="9">
        <v>0</v>
      </c>
      <c r="P603" s="9">
        <v>0</v>
      </c>
      <c r="Q603" s="11">
        <v>0</v>
      </c>
      <c r="R603" s="10" t="s">
        <v>176</v>
      </c>
      <c r="S603" s="6"/>
      <c r="T603" s="6"/>
    </row>
    <row r="604" spans="1:20">
      <c r="A604" s="7">
        <v>46216</v>
      </c>
      <c r="B604" s="8">
        <v>46229</v>
      </c>
      <c r="C604" s="9">
        <v>14</v>
      </c>
      <c r="D604" s="10" t="s">
        <v>1002</v>
      </c>
      <c r="E604" s="10" t="s">
        <v>376</v>
      </c>
      <c r="F604" s="9"/>
      <c r="G604" s="9">
        <v>3</v>
      </c>
      <c r="H604" s="9">
        <v>0</v>
      </c>
      <c r="I604" s="9">
        <v>3</v>
      </c>
      <c r="J604" s="11">
        <v>0</v>
      </c>
      <c r="K604" s="24">
        <v>0.1</v>
      </c>
      <c r="L604" s="24">
        <v>0</v>
      </c>
      <c r="M604" s="24">
        <v>0</v>
      </c>
      <c r="N604" s="9">
        <v>0</v>
      </c>
      <c r="O604" s="9">
        <v>0</v>
      </c>
      <c r="P604" s="9">
        <v>0</v>
      </c>
      <c r="Q604" s="11">
        <v>0</v>
      </c>
      <c r="R604" s="10" t="s">
        <v>176</v>
      </c>
      <c r="S604" s="6"/>
      <c r="T604" s="6"/>
    </row>
    <row r="605" spans="1:20">
      <c r="A605" s="7">
        <v>46216</v>
      </c>
      <c r="B605" s="8">
        <v>46229</v>
      </c>
      <c r="C605" s="9">
        <v>14</v>
      </c>
      <c r="D605" s="10" t="s">
        <v>1002</v>
      </c>
      <c r="E605" s="10" t="s">
        <v>377</v>
      </c>
      <c r="F605" s="9"/>
      <c r="G605" s="9">
        <v>4</v>
      </c>
      <c r="H605" s="9">
        <v>0</v>
      </c>
      <c r="I605" s="9">
        <v>4</v>
      </c>
      <c r="J605" s="11">
        <v>0</v>
      </c>
      <c r="K605" s="24">
        <v>0.1</v>
      </c>
      <c r="L605" s="24">
        <v>0</v>
      </c>
      <c r="M605" s="24">
        <v>0</v>
      </c>
      <c r="N605" s="9">
        <v>0</v>
      </c>
      <c r="O605" s="9">
        <v>0</v>
      </c>
      <c r="P605" s="9">
        <v>0</v>
      </c>
      <c r="Q605" s="11">
        <v>0</v>
      </c>
      <c r="R605" s="10" t="s">
        <v>176</v>
      </c>
      <c r="S605" s="6"/>
      <c r="T605" s="6"/>
    </row>
    <row r="606" spans="1:20">
      <c r="A606" s="7">
        <v>46216</v>
      </c>
      <c r="B606" s="8">
        <v>46229</v>
      </c>
      <c r="C606" s="9">
        <v>14</v>
      </c>
      <c r="D606" s="10" t="s">
        <v>1002</v>
      </c>
      <c r="E606" s="10" t="s">
        <v>378</v>
      </c>
      <c r="F606" s="9"/>
      <c r="G606" s="9">
        <v>3</v>
      </c>
      <c r="H606" s="9">
        <v>0</v>
      </c>
      <c r="I606" s="9">
        <v>3</v>
      </c>
      <c r="J606" s="11">
        <v>0</v>
      </c>
      <c r="K606" s="24">
        <v>0.1</v>
      </c>
      <c r="L606" s="24">
        <v>0</v>
      </c>
      <c r="M606" s="24">
        <v>0</v>
      </c>
      <c r="N606" s="9">
        <v>0</v>
      </c>
      <c r="O606" s="9">
        <v>0</v>
      </c>
      <c r="P606" s="9">
        <v>0</v>
      </c>
      <c r="Q606" s="11">
        <v>0</v>
      </c>
      <c r="R606" s="10" t="s">
        <v>176</v>
      </c>
      <c r="S606" s="6"/>
      <c r="T606" s="6"/>
    </row>
    <row r="607" spans="1:20">
      <c r="A607" s="7">
        <v>46216</v>
      </c>
      <c r="B607" s="8">
        <v>46229</v>
      </c>
      <c r="C607" s="9">
        <v>14</v>
      </c>
      <c r="D607" s="10" t="s">
        <v>1002</v>
      </c>
      <c r="E607" s="10" t="s">
        <v>379</v>
      </c>
      <c r="F607" s="9"/>
      <c r="G607" s="9">
        <v>3</v>
      </c>
      <c r="H607" s="9">
        <v>0</v>
      </c>
      <c r="I607" s="9">
        <v>3</v>
      </c>
      <c r="J607" s="11">
        <v>0</v>
      </c>
      <c r="K607" s="24">
        <v>0.1</v>
      </c>
      <c r="L607" s="24">
        <v>0</v>
      </c>
      <c r="M607" s="24">
        <v>0</v>
      </c>
      <c r="N607" s="9">
        <v>0</v>
      </c>
      <c r="O607" s="9">
        <v>0</v>
      </c>
      <c r="P607" s="9">
        <v>0</v>
      </c>
      <c r="Q607" s="11">
        <v>0</v>
      </c>
      <c r="R607" s="10" t="s">
        <v>176</v>
      </c>
      <c r="S607" s="6"/>
      <c r="T607" s="6"/>
    </row>
    <row r="608" spans="1:20">
      <c r="A608" s="7">
        <v>46216</v>
      </c>
      <c r="B608" s="8">
        <v>46229</v>
      </c>
      <c r="C608" s="9">
        <v>14</v>
      </c>
      <c r="D608" s="10" t="s">
        <v>1002</v>
      </c>
      <c r="E608" s="10" t="s">
        <v>380</v>
      </c>
      <c r="F608" s="9"/>
      <c r="G608" s="9">
        <v>2</v>
      </c>
      <c r="H608" s="9">
        <v>0</v>
      </c>
      <c r="I608" s="9">
        <v>2</v>
      </c>
      <c r="J608" s="11">
        <v>0</v>
      </c>
      <c r="K608" s="24">
        <v>0.1</v>
      </c>
      <c r="L608" s="24">
        <v>0</v>
      </c>
      <c r="M608" s="24">
        <v>0</v>
      </c>
      <c r="N608" s="9">
        <v>0</v>
      </c>
      <c r="O608" s="9">
        <v>0</v>
      </c>
      <c r="P608" s="9">
        <v>0</v>
      </c>
      <c r="Q608" s="11">
        <v>0</v>
      </c>
      <c r="R608" s="10" t="s">
        <v>176</v>
      </c>
      <c r="S608" s="6"/>
      <c r="T608" s="6"/>
    </row>
    <row r="609" spans="1:20">
      <c r="A609" s="7">
        <v>46216</v>
      </c>
      <c r="B609" s="8">
        <v>46229</v>
      </c>
      <c r="C609" s="9">
        <v>14</v>
      </c>
      <c r="D609" s="10" t="s">
        <v>1002</v>
      </c>
      <c r="E609" s="10" t="s">
        <v>381</v>
      </c>
      <c r="F609" s="9"/>
      <c r="G609" s="9">
        <v>3</v>
      </c>
      <c r="H609" s="9">
        <v>0</v>
      </c>
      <c r="I609" s="9">
        <v>3</v>
      </c>
      <c r="J609" s="11">
        <v>0</v>
      </c>
      <c r="K609" s="24">
        <v>0.1</v>
      </c>
      <c r="L609" s="24">
        <v>0</v>
      </c>
      <c r="M609" s="24">
        <v>0</v>
      </c>
      <c r="N609" s="9">
        <v>0</v>
      </c>
      <c r="O609" s="9">
        <v>0</v>
      </c>
      <c r="P609" s="9">
        <v>0</v>
      </c>
      <c r="Q609" s="11">
        <v>0</v>
      </c>
      <c r="R609" s="10" t="s">
        <v>176</v>
      </c>
      <c r="S609" s="6"/>
      <c r="T609" s="6"/>
    </row>
    <row r="610" spans="1:20">
      <c r="A610" s="7">
        <v>46216</v>
      </c>
      <c r="B610" s="8">
        <v>46229</v>
      </c>
      <c r="C610" s="9">
        <v>14</v>
      </c>
      <c r="D610" s="10" t="s">
        <v>1002</v>
      </c>
      <c r="E610" s="10" t="s">
        <v>382</v>
      </c>
      <c r="F610" s="9"/>
      <c r="G610" s="9">
        <v>2</v>
      </c>
      <c r="H610" s="9">
        <v>0</v>
      </c>
      <c r="I610" s="9">
        <v>2</v>
      </c>
      <c r="J610" s="11">
        <v>0</v>
      </c>
      <c r="K610" s="24">
        <v>0.1</v>
      </c>
      <c r="L610" s="24">
        <v>0</v>
      </c>
      <c r="M610" s="24">
        <v>0</v>
      </c>
      <c r="N610" s="9">
        <v>0</v>
      </c>
      <c r="O610" s="9">
        <v>0</v>
      </c>
      <c r="P610" s="9">
        <v>0</v>
      </c>
      <c r="Q610" s="11">
        <v>0</v>
      </c>
      <c r="R610" s="10" t="s">
        <v>176</v>
      </c>
      <c r="S610" s="6"/>
      <c r="T610" s="6"/>
    </row>
    <row r="611" spans="1:20">
      <c r="A611" s="7">
        <v>46216</v>
      </c>
      <c r="B611" s="8">
        <v>46229</v>
      </c>
      <c r="C611" s="9">
        <v>14</v>
      </c>
      <c r="D611" s="10" t="s">
        <v>1002</v>
      </c>
      <c r="E611" s="10" t="s">
        <v>383</v>
      </c>
      <c r="F611" s="9"/>
      <c r="G611" s="9">
        <v>2</v>
      </c>
      <c r="H611" s="9">
        <v>0</v>
      </c>
      <c r="I611" s="9">
        <v>2</v>
      </c>
      <c r="J611" s="11">
        <v>0</v>
      </c>
      <c r="K611" s="24">
        <v>0.1</v>
      </c>
      <c r="L611" s="24">
        <v>0</v>
      </c>
      <c r="M611" s="24">
        <v>0</v>
      </c>
      <c r="N611" s="9">
        <v>0</v>
      </c>
      <c r="O611" s="9">
        <v>0</v>
      </c>
      <c r="P611" s="9">
        <v>0</v>
      </c>
      <c r="Q611" s="11">
        <v>0</v>
      </c>
      <c r="R611" s="10" t="s">
        <v>176</v>
      </c>
      <c r="S611" s="6"/>
      <c r="T611" s="6"/>
    </row>
    <row r="612" spans="1:20">
      <c r="A612" s="7">
        <v>46216</v>
      </c>
      <c r="B612" s="8">
        <v>46229</v>
      </c>
      <c r="C612" s="9">
        <v>14</v>
      </c>
      <c r="D612" s="10" t="s">
        <v>1002</v>
      </c>
      <c r="E612" s="10" t="s">
        <v>384</v>
      </c>
      <c r="F612" s="9"/>
      <c r="G612" s="9">
        <v>3</v>
      </c>
      <c r="H612" s="9">
        <v>0</v>
      </c>
      <c r="I612" s="9">
        <v>3</v>
      </c>
      <c r="J612" s="11">
        <v>0</v>
      </c>
      <c r="K612" s="24">
        <v>0.1</v>
      </c>
      <c r="L612" s="24">
        <v>0</v>
      </c>
      <c r="M612" s="24">
        <v>0</v>
      </c>
      <c r="N612" s="9">
        <v>0</v>
      </c>
      <c r="O612" s="9">
        <v>0</v>
      </c>
      <c r="P612" s="9">
        <v>0</v>
      </c>
      <c r="Q612" s="11">
        <v>0</v>
      </c>
      <c r="R612" s="10" t="s">
        <v>176</v>
      </c>
      <c r="S612" s="6"/>
      <c r="T612" s="6"/>
    </row>
    <row r="613" spans="1:20">
      <c r="A613" s="7">
        <v>46216</v>
      </c>
      <c r="B613" s="8">
        <v>46229</v>
      </c>
      <c r="C613" s="9">
        <v>14</v>
      </c>
      <c r="D613" s="10" t="s">
        <v>1002</v>
      </c>
      <c r="E613" s="10" t="s">
        <v>2078</v>
      </c>
      <c r="F613" s="9"/>
      <c r="G613" s="9">
        <v>2</v>
      </c>
      <c r="H613" s="9">
        <v>0</v>
      </c>
      <c r="I613" s="9">
        <v>2</v>
      </c>
      <c r="J613" s="11">
        <v>0</v>
      </c>
      <c r="K613" s="24">
        <v>0.1</v>
      </c>
      <c r="L613" s="24">
        <v>0</v>
      </c>
      <c r="M613" s="24">
        <v>0</v>
      </c>
      <c r="N613" s="9">
        <v>0</v>
      </c>
      <c r="O613" s="9">
        <v>0</v>
      </c>
      <c r="P613" s="9">
        <v>0</v>
      </c>
      <c r="Q613" s="11">
        <v>0</v>
      </c>
      <c r="R613" s="10" t="s">
        <v>176</v>
      </c>
      <c r="S613" s="6"/>
      <c r="T613" s="6"/>
    </row>
    <row r="614" spans="1:20">
      <c r="A614" s="7">
        <v>46216</v>
      </c>
      <c r="B614" s="8">
        <v>46229</v>
      </c>
      <c r="C614" s="9">
        <v>14</v>
      </c>
      <c r="D614" s="10" t="s">
        <v>1002</v>
      </c>
      <c r="E614" s="10" t="s">
        <v>2079</v>
      </c>
      <c r="F614" s="9"/>
      <c r="G614" s="9">
        <v>2</v>
      </c>
      <c r="H614" s="9">
        <v>0</v>
      </c>
      <c r="I614" s="9">
        <v>2</v>
      </c>
      <c r="J614" s="11">
        <v>0</v>
      </c>
      <c r="K614" s="24">
        <v>0.1</v>
      </c>
      <c r="L614" s="24">
        <v>0</v>
      </c>
      <c r="M614" s="24">
        <v>0</v>
      </c>
      <c r="N614" s="9">
        <v>0</v>
      </c>
      <c r="O614" s="9">
        <v>0</v>
      </c>
      <c r="P614" s="9">
        <v>0</v>
      </c>
      <c r="Q614" s="11">
        <v>0</v>
      </c>
      <c r="R614" s="10" t="s">
        <v>176</v>
      </c>
      <c r="S614" s="6"/>
      <c r="T614" s="6"/>
    </row>
    <row r="615" spans="1:20">
      <c r="A615" s="7">
        <v>46216</v>
      </c>
      <c r="B615" s="8">
        <v>46229</v>
      </c>
      <c r="C615" s="9">
        <v>14</v>
      </c>
      <c r="D615" s="10" t="s">
        <v>1002</v>
      </c>
      <c r="E615" s="10" t="s">
        <v>2080</v>
      </c>
      <c r="F615" s="9"/>
      <c r="G615" s="9">
        <v>2</v>
      </c>
      <c r="H615" s="9">
        <v>0</v>
      </c>
      <c r="I615" s="9">
        <v>2</v>
      </c>
      <c r="J615" s="11">
        <v>0</v>
      </c>
      <c r="K615" s="24">
        <v>0.1</v>
      </c>
      <c r="L615" s="24">
        <v>0</v>
      </c>
      <c r="M615" s="24">
        <v>0</v>
      </c>
      <c r="N615" s="9">
        <v>0</v>
      </c>
      <c r="O615" s="9">
        <v>0</v>
      </c>
      <c r="P615" s="9">
        <v>0</v>
      </c>
      <c r="Q615" s="11">
        <v>0</v>
      </c>
      <c r="R615" s="10" t="s">
        <v>176</v>
      </c>
      <c r="S615" s="6"/>
      <c r="T615" s="6"/>
    </row>
    <row r="616" spans="1:20">
      <c r="A616" s="7">
        <v>46216</v>
      </c>
      <c r="B616" s="8">
        <v>46229</v>
      </c>
      <c r="C616" s="9">
        <v>14</v>
      </c>
      <c r="D616" s="10" t="s">
        <v>1002</v>
      </c>
      <c r="E616" s="10" t="s">
        <v>2081</v>
      </c>
      <c r="F616" s="9"/>
      <c r="G616" s="9">
        <v>4</v>
      </c>
      <c r="H616" s="9">
        <v>0</v>
      </c>
      <c r="I616" s="9">
        <v>4</v>
      </c>
      <c r="J616" s="11">
        <v>0</v>
      </c>
      <c r="K616" s="24">
        <v>0.1</v>
      </c>
      <c r="L616" s="24">
        <v>0</v>
      </c>
      <c r="M616" s="24">
        <v>0</v>
      </c>
      <c r="N616" s="9">
        <v>0</v>
      </c>
      <c r="O616" s="9">
        <v>0</v>
      </c>
      <c r="P616" s="9">
        <v>0</v>
      </c>
      <c r="Q616" s="11">
        <v>0</v>
      </c>
      <c r="R616" s="10" t="s">
        <v>176</v>
      </c>
      <c r="S616" s="6"/>
      <c r="T616" s="6"/>
    </row>
    <row r="617" spans="1:20">
      <c r="A617" s="7">
        <v>46216</v>
      </c>
      <c r="B617" s="8">
        <v>46229</v>
      </c>
      <c r="C617" s="9">
        <v>14</v>
      </c>
      <c r="D617" s="10" t="s">
        <v>1002</v>
      </c>
      <c r="E617" s="10" t="s">
        <v>2082</v>
      </c>
      <c r="F617" s="9"/>
      <c r="G617" s="9">
        <v>3</v>
      </c>
      <c r="H617" s="9">
        <v>0</v>
      </c>
      <c r="I617" s="9">
        <v>3</v>
      </c>
      <c r="J617" s="11">
        <v>0</v>
      </c>
      <c r="K617" s="24">
        <v>0.1</v>
      </c>
      <c r="L617" s="24">
        <v>0</v>
      </c>
      <c r="M617" s="24">
        <v>0</v>
      </c>
      <c r="N617" s="9">
        <v>0</v>
      </c>
      <c r="O617" s="9">
        <v>0</v>
      </c>
      <c r="P617" s="9">
        <v>0</v>
      </c>
      <c r="Q617" s="11">
        <v>0</v>
      </c>
      <c r="R617" s="10" t="s">
        <v>176</v>
      </c>
      <c r="S617" s="6"/>
      <c r="T617" s="6"/>
    </row>
    <row r="618" spans="1:20">
      <c r="A618" s="7">
        <v>46216</v>
      </c>
      <c r="B618" s="8">
        <v>46229</v>
      </c>
      <c r="C618" s="9">
        <v>14</v>
      </c>
      <c r="D618" s="10" t="s">
        <v>1002</v>
      </c>
      <c r="E618" s="10" t="s">
        <v>385</v>
      </c>
      <c r="F618" s="9"/>
      <c r="G618" s="9">
        <v>3</v>
      </c>
      <c r="H618" s="9">
        <v>0</v>
      </c>
      <c r="I618" s="9">
        <v>3</v>
      </c>
      <c r="J618" s="11">
        <v>0</v>
      </c>
      <c r="K618" s="24">
        <v>0.1</v>
      </c>
      <c r="L618" s="24">
        <v>0</v>
      </c>
      <c r="M618" s="24">
        <v>0</v>
      </c>
      <c r="N618" s="9">
        <v>0</v>
      </c>
      <c r="O618" s="9">
        <v>0</v>
      </c>
      <c r="P618" s="9">
        <v>0</v>
      </c>
      <c r="Q618" s="11">
        <v>0</v>
      </c>
      <c r="R618" s="10" t="s">
        <v>176</v>
      </c>
      <c r="S618" s="6"/>
      <c r="T618" s="6"/>
    </row>
    <row r="619" spans="1:20">
      <c r="A619" s="7">
        <v>46216</v>
      </c>
      <c r="B619" s="8">
        <v>46229</v>
      </c>
      <c r="C619" s="9">
        <v>14</v>
      </c>
      <c r="D619" s="10" t="s">
        <v>1002</v>
      </c>
      <c r="E619" s="10" t="s">
        <v>386</v>
      </c>
      <c r="F619" s="9"/>
      <c r="G619" s="9">
        <v>2</v>
      </c>
      <c r="H619" s="9">
        <v>0</v>
      </c>
      <c r="I619" s="9">
        <v>2</v>
      </c>
      <c r="J619" s="11">
        <v>0</v>
      </c>
      <c r="K619" s="24">
        <v>0.1</v>
      </c>
      <c r="L619" s="24">
        <v>0</v>
      </c>
      <c r="M619" s="24">
        <v>0</v>
      </c>
      <c r="N619" s="9">
        <v>0</v>
      </c>
      <c r="O619" s="9">
        <v>0</v>
      </c>
      <c r="P619" s="9">
        <v>0</v>
      </c>
      <c r="Q619" s="11">
        <v>0</v>
      </c>
      <c r="R619" s="10" t="s">
        <v>176</v>
      </c>
      <c r="S619" s="6"/>
      <c r="T619" s="6"/>
    </row>
    <row r="620" spans="1:20">
      <c r="A620" s="7">
        <v>46216</v>
      </c>
      <c r="B620" s="8">
        <v>46229</v>
      </c>
      <c r="C620" s="9">
        <v>14</v>
      </c>
      <c r="D620" s="10" t="s">
        <v>1002</v>
      </c>
      <c r="E620" s="10" t="s">
        <v>2083</v>
      </c>
      <c r="F620" s="9"/>
      <c r="G620" s="9">
        <v>2</v>
      </c>
      <c r="H620" s="9">
        <v>0</v>
      </c>
      <c r="I620" s="9">
        <v>2</v>
      </c>
      <c r="J620" s="11">
        <v>0</v>
      </c>
      <c r="K620" s="24">
        <v>0.1</v>
      </c>
      <c r="L620" s="24">
        <v>0</v>
      </c>
      <c r="M620" s="24">
        <v>0</v>
      </c>
      <c r="N620" s="9">
        <v>0</v>
      </c>
      <c r="O620" s="9">
        <v>0</v>
      </c>
      <c r="P620" s="9">
        <v>0</v>
      </c>
      <c r="Q620" s="11">
        <v>0</v>
      </c>
      <c r="R620" s="10" t="s">
        <v>176</v>
      </c>
      <c r="S620" s="6"/>
      <c r="T620" s="6"/>
    </row>
    <row r="621" spans="1:20">
      <c r="A621" s="7">
        <v>46216</v>
      </c>
      <c r="B621" s="8">
        <v>46229</v>
      </c>
      <c r="C621" s="9">
        <v>14</v>
      </c>
      <c r="D621" s="10" t="s">
        <v>1002</v>
      </c>
      <c r="E621" s="10" t="s">
        <v>2084</v>
      </c>
      <c r="F621" s="9"/>
      <c r="G621" s="9">
        <v>2</v>
      </c>
      <c r="H621" s="9">
        <v>0</v>
      </c>
      <c r="I621" s="9">
        <v>2</v>
      </c>
      <c r="J621" s="11">
        <v>0</v>
      </c>
      <c r="K621" s="24">
        <v>0.1</v>
      </c>
      <c r="L621" s="24">
        <v>0</v>
      </c>
      <c r="M621" s="24">
        <v>0</v>
      </c>
      <c r="N621" s="9">
        <v>0</v>
      </c>
      <c r="O621" s="9">
        <v>0</v>
      </c>
      <c r="P621" s="9">
        <v>0</v>
      </c>
      <c r="Q621" s="11">
        <v>0</v>
      </c>
      <c r="R621" s="10" t="s">
        <v>176</v>
      </c>
      <c r="S621" s="6"/>
      <c r="T621" s="6"/>
    </row>
    <row r="622" spans="1:20">
      <c r="A622" s="7">
        <v>46216</v>
      </c>
      <c r="B622" s="8">
        <v>46229</v>
      </c>
      <c r="C622" s="9">
        <v>14</v>
      </c>
      <c r="D622" s="10" t="s">
        <v>1002</v>
      </c>
      <c r="E622" s="10" t="s">
        <v>2085</v>
      </c>
      <c r="F622" s="9"/>
      <c r="G622" s="9">
        <v>2</v>
      </c>
      <c r="H622" s="9">
        <v>0</v>
      </c>
      <c r="I622" s="9">
        <v>2</v>
      </c>
      <c r="J622" s="11">
        <v>0</v>
      </c>
      <c r="K622" s="24">
        <v>0.1</v>
      </c>
      <c r="L622" s="24">
        <v>0</v>
      </c>
      <c r="M622" s="24">
        <v>0</v>
      </c>
      <c r="N622" s="9">
        <v>0</v>
      </c>
      <c r="O622" s="9">
        <v>0</v>
      </c>
      <c r="P622" s="9">
        <v>0</v>
      </c>
      <c r="Q622" s="11">
        <v>0</v>
      </c>
      <c r="R622" s="10" t="s">
        <v>176</v>
      </c>
      <c r="S622" s="6"/>
      <c r="T622" s="6"/>
    </row>
    <row r="623" spans="1:20">
      <c r="A623" s="7">
        <v>46216</v>
      </c>
      <c r="B623" s="8">
        <v>46229</v>
      </c>
      <c r="C623" s="9">
        <v>14</v>
      </c>
      <c r="D623" s="10" t="s">
        <v>1002</v>
      </c>
      <c r="E623" s="10" t="s">
        <v>2086</v>
      </c>
      <c r="F623" s="9"/>
      <c r="G623" s="9">
        <v>2</v>
      </c>
      <c r="H623" s="9">
        <v>0</v>
      </c>
      <c r="I623" s="9">
        <v>2</v>
      </c>
      <c r="J623" s="11">
        <v>0</v>
      </c>
      <c r="K623" s="24">
        <v>0.1</v>
      </c>
      <c r="L623" s="24">
        <v>0</v>
      </c>
      <c r="M623" s="24">
        <v>0</v>
      </c>
      <c r="N623" s="9">
        <v>0</v>
      </c>
      <c r="O623" s="9">
        <v>0</v>
      </c>
      <c r="P623" s="9">
        <v>0</v>
      </c>
      <c r="Q623" s="11">
        <v>0</v>
      </c>
      <c r="R623" s="10" t="s">
        <v>176</v>
      </c>
      <c r="S623" s="6"/>
      <c r="T623" s="6"/>
    </row>
    <row r="624" spans="1:20">
      <c r="A624" s="7">
        <v>46216</v>
      </c>
      <c r="B624" s="8">
        <v>46229</v>
      </c>
      <c r="C624" s="9">
        <v>14</v>
      </c>
      <c r="D624" s="10" t="s">
        <v>1002</v>
      </c>
      <c r="E624" s="10" t="s">
        <v>2087</v>
      </c>
      <c r="F624" s="9"/>
      <c r="G624" s="9">
        <v>7</v>
      </c>
      <c r="H624" s="9">
        <v>0</v>
      </c>
      <c r="I624" s="9">
        <v>7</v>
      </c>
      <c r="J624" s="11">
        <v>0</v>
      </c>
      <c r="K624" s="24">
        <v>0.1</v>
      </c>
      <c r="L624" s="24">
        <v>0</v>
      </c>
      <c r="M624" s="24">
        <v>0</v>
      </c>
      <c r="N624" s="9">
        <v>0</v>
      </c>
      <c r="O624" s="9">
        <v>0</v>
      </c>
      <c r="P624" s="9">
        <v>0</v>
      </c>
      <c r="Q624" s="11">
        <v>0</v>
      </c>
      <c r="R624" s="10" t="s">
        <v>176</v>
      </c>
      <c r="S624" s="6"/>
      <c r="T624" s="6"/>
    </row>
    <row r="625" spans="1:20">
      <c r="A625" s="7">
        <v>46216</v>
      </c>
      <c r="B625" s="8">
        <v>46229</v>
      </c>
      <c r="C625" s="9">
        <v>14</v>
      </c>
      <c r="D625" s="10" t="s">
        <v>1002</v>
      </c>
      <c r="E625" s="10" t="s">
        <v>387</v>
      </c>
      <c r="F625" s="9"/>
      <c r="G625" s="9">
        <v>1</v>
      </c>
      <c r="H625" s="9">
        <v>0</v>
      </c>
      <c r="I625" s="9">
        <v>1</v>
      </c>
      <c r="J625" s="11">
        <v>0</v>
      </c>
      <c r="K625" s="24">
        <v>0.1</v>
      </c>
      <c r="L625" s="24">
        <v>0</v>
      </c>
      <c r="M625" s="24">
        <v>0</v>
      </c>
      <c r="N625" s="9">
        <v>0</v>
      </c>
      <c r="O625" s="9">
        <v>0</v>
      </c>
      <c r="P625" s="9">
        <v>0</v>
      </c>
      <c r="Q625" s="11">
        <v>0</v>
      </c>
      <c r="R625" s="10" t="s">
        <v>176</v>
      </c>
      <c r="S625" s="6"/>
      <c r="T625" s="6"/>
    </row>
    <row r="626" spans="1:20">
      <c r="A626" s="7">
        <v>46216</v>
      </c>
      <c r="B626" s="8">
        <v>46229</v>
      </c>
      <c r="C626" s="9">
        <v>14</v>
      </c>
      <c r="D626" s="10" t="s">
        <v>1002</v>
      </c>
      <c r="E626" s="10" t="s">
        <v>2088</v>
      </c>
      <c r="F626" s="9"/>
      <c r="G626" s="9">
        <v>2</v>
      </c>
      <c r="H626" s="9">
        <v>0</v>
      </c>
      <c r="I626" s="9">
        <v>2</v>
      </c>
      <c r="J626" s="11">
        <v>0</v>
      </c>
      <c r="K626" s="24">
        <v>0.1</v>
      </c>
      <c r="L626" s="24">
        <v>0</v>
      </c>
      <c r="M626" s="24">
        <v>0</v>
      </c>
      <c r="N626" s="9">
        <v>0</v>
      </c>
      <c r="O626" s="9">
        <v>0</v>
      </c>
      <c r="P626" s="9">
        <v>0</v>
      </c>
      <c r="Q626" s="11">
        <v>0</v>
      </c>
      <c r="R626" s="10" t="s">
        <v>176</v>
      </c>
      <c r="S626" s="6"/>
      <c r="T626" s="6"/>
    </row>
    <row r="627" spans="1:20">
      <c r="A627" s="7">
        <v>46216</v>
      </c>
      <c r="B627" s="8">
        <v>46229</v>
      </c>
      <c r="C627" s="9">
        <v>14</v>
      </c>
      <c r="D627" s="10" t="s">
        <v>1002</v>
      </c>
      <c r="E627" s="10" t="s">
        <v>388</v>
      </c>
      <c r="F627" s="9"/>
      <c r="G627" s="9">
        <v>1</v>
      </c>
      <c r="H627" s="9">
        <v>0</v>
      </c>
      <c r="I627" s="9">
        <v>1</v>
      </c>
      <c r="J627" s="11">
        <v>0</v>
      </c>
      <c r="K627" s="24">
        <v>0.1</v>
      </c>
      <c r="L627" s="24">
        <v>0</v>
      </c>
      <c r="M627" s="24">
        <v>0</v>
      </c>
      <c r="N627" s="9">
        <v>0</v>
      </c>
      <c r="O627" s="9">
        <v>0</v>
      </c>
      <c r="P627" s="9">
        <v>0</v>
      </c>
      <c r="Q627" s="11">
        <v>0</v>
      </c>
      <c r="R627" s="10" t="s">
        <v>176</v>
      </c>
      <c r="S627" s="6"/>
      <c r="T627" s="6"/>
    </row>
    <row r="628" spans="1:20">
      <c r="A628" s="7">
        <v>46216</v>
      </c>
      <c r="B628" s="8">
        <v>46229</v>
      </c>
      <c r="C628" s="9">
        <v>14</v>
      </c>
      <c r="D628" s="10" t="s">
        <v>1002</v>
      </c>
      <c r="E628" s="10" t="s">
        <v>2089</v>
      </c>
      <c r="F628" s="9"/>
      <c r="G628" s="9">
        <v>1</v>
      </c>
      <c r="H628" s="9">
        <v>0</v>
      </c>
      <c r="I628" s="9">
        <v>1</v>
      </c>
      <c r="J628" s="11">
        <v>0</v>
      </c>
      <c r="K628" s="24">
        <v>0.1</v>
      </c>
      <c r="L628" s="24">
        <v>0</v>
      </c>
      <c r="M628" s="24">
        <v>0</v>
      </c>
      <c r="N628" s="9">
        <v>0</v>
      </c>
      <c r="O628" s="9">
        <v>0</v>
      </c>
      <c r="P628" s="9">
        <v>0</v>
      </c>
      <c r="Q628" s="11">
        <v>0</v>
      </c>
      <c r="R628" s="10" t="s">
        <v>176</v>
      </c>
      <c r="S628" s="6"/>
      <c r="T628" s="6"/>
    </row>
    <row r="629" spans="1:20">
      <c r="A629" s="7">
        <v>46216</v>
      </c>
      <c r="B629" s="8">
        <v>46229</v>
      </c>
      <c r="C629" s="9">
        <v>14</v>
      </c>
      <c r="D629" s="10" t="s">
        <v>1002</v>
      </c>
      <c r="E629" s="10" t="s">
        <v>2090</v>
      </c>
      <c r="F629" s="9"/>
      <c r="G629" s="9">
        <v>2</v>
      </c>
      <c r="H629" s="9">
        <v>0</v>
      </c>
      <c r="I629" s="9">
        <v>2</v>
      </c>
      <c r="J629" s="11">
        <v>0</v>
      </c>
      <c r="K629" s="24">
        <v>0.1</v>
      </c>
      <c r="L629" s="24">
        <v>0</v>
      </c>
      <c r="M629" s="24">
        <v>0</v>
      </c>
      <c r="N629" s="9">
        <v>0</v>
      </c>
      <c r="O629" s="9">
        <v>0</v>
      </c>
      <c r="P629" s="9">
        <v>0</v>
      </c>
      <c r="Q629" s="11">
        <v>0</v>
      </c>
      <c r="R629" s="10" t="s">
        <v>176</v>
      </c>
      <c r="S629" s="6"/>
      <c r="T629" s="6"/>
    </row>
    <row r="630" spans="1:20">
      <c r="A630" s="7">
        <v>46216</v>
      </c>
      <c r="B630" s="8">
        <v>46229</v>
      </c>
      <c r="C630" s="9">
        <v>14</v>
      </c>
      <c r="D630" s="10" t="s">
        <v>1002</v>
      </c>
      <c r="E630" s="10" t="s">
        <v>389</v>
      </c>
      <c r="F630" s="9"/>
      <c r="G630" s="9">
        <v>4</v>
      </c>
      <c r="H630" s="9">
        <v>0</v>
      </c>
      <c r="I630" s="9">
        <v>4</v>
      </c>
      <c r="J630" s="11">
        <v>0</v>
      </c>
      <c r="K630" s="24">
        <v>0.1</v>
      </c>
      <c r="L630" s="24">
        <v>0</v>
      </c>
      <c r="M630" s="24">
        <v>0</v>
      </c>
      <c r="N630" s="9">
        <v>0</v>
      </c>
      <c r="O630" s="9">
        <v>0</v>
      </c>
      <c r="P630" s="9">
        <v>0</v>
      </c>
      <c r="Q630" s="11">
        <v>0</v>
      </c>
      <c r="R630" s="10" t="s">
        <v>176</v>
      </c>
      <c r="S630" s="6"/>
      <c r="T630" s="6"/>
    </row>
    <row r="631" spans="1:20">
      <c r="A631" s="7">
        <v>46216</v>
      </c>
      <c r="B631" s="8">
        <v>46229</v>
      </c>
      <c r="C631" s="9">
        <v>14</v>
      </c>
      <c r="D631" s="10" t="s">
        <v>1002</v>
      </c>
      <c r="E631" s="10" t="s">
        <v>2091</v>
      </c>
      <c r="F631" s="9"/>
      <c r="G631" s="9">
        <v>1</v>
      </c>
      <c r="H631" s="9">
        <v>0</v>
      </c>
      <c r="I631" s="9">
        <v>1</v>
      </c>
      <c r="J631" s="11">
        <v>0</v>
      </c>
      <c r="K631" s="24">
        <v>0.1</v>
      </c>
      <c r="L631" s="24">
        <v>0</v>
      </c>
      <c r="M631" s="24">
        <v>0</v>
      </c>
      <c r="N631" s="9">
        <v>0</v>
      </c>
      <c r="O631" s="9">
        <v>0</v>
      </c>
      <c r="P631" s="9">
        <v>0</v>
      </c>
      <c r="Q631" s="11">
        <v>0</v>
      </c>
      <c r="R631" s="10" t="s">
        <v>176</v>
      </c>
      <c r="S631" s="6"/>
      <c r="T631" s="6"/>
    </row>
    <row r="632" spans="1:20">
      <c r="A632" s="7">
        <v>46216</v>
      </c>
      <c r="B632" s="8">
        <v>46229</v>
      </c>
      <c r="C632" s="9">
        <v>14</v>
      </c>
      <c r="D632" s="10" t="s">
        <v>1002</v>
      </c>
      <c r="E632" s="10" t="s">
        <v>390</v>
      </c>
      <c r="F632" s="9"/>
      <c r="G632" s="9">
        <v>4</v>
      </c>
      <c r="H632" s="9">
        <v>0</v>
      </c>
      <c r="I632" s="9">
        <v>4</v>
      </c>
      <c r="J632" s="11">
        <v>0</v>
      </c>
      <c r="K632" s="24">
        <v>0.1</v>
      </c>
      <c r="L632" s="24">
        <v>0</v>
      </c>
      <c r="M632" s="24">
        <v>0</v>
      </c>
      <c r="N632" s="9">
        <v>0</v>
      </c>
      <c r="O632" s="9">
        <v>0</v>
      </c>
      <c r="P632" s="9">
        <v>0</v>
      </c>
      <c r="Q632" s="11">
        <v>0</v>
      </c>
      <c r="R632" s="10" t="s">
        <v>176</v>
      </c>
      <c r="S632" s="6"/>
      <c r="T632" s="6"/>
    </row>
    <row r="633" spans="1:20">
      <c r="A633" s="7">
        <v>46216</v>
      </c>
      <c r="B633" s="8">
        <v>46229</v>
      </c>
      <c r="C633" s="9">
        <v>14</v>
      </c>
      <c r="D633" s="10" t="s">
        <v>1002</v>
      </c>
      <c r="E633" s="10" t="s">
        <v>391</v>
      </c>
      <c r="F633" s="9"/>
      <c r="G633" s="9">
        <v>4</v>
      </c>
      <c r="H633" s="9">
        <v>0</v>
      </c>
      <c r="I633" s="9">
        <v>4</v>
      </c>
      <c r="J633" s="11">
        <v>0</v>
      </c>
      <c r="K633" s="24">
        <v>0.1</v>
      </c>
      <c r="L633" s="24">
        <v>0</v>
      </c>
      <c r="M633" s="24">
        <v>0</v>
      </c>
      <c r="N633" s="9">
        <v>0</v>
      </c>
      <c r="O633" s="9">
        <v>0</v>
      </c>
      <c r="P633" s="9">
        <v>0</v>
      </c>
      <c r="Q633" s="11">
        <v>0</v>
      </c>
      <c r="R633" s="10" t="s">
        <v>176</v>
      </c>
      <c r="S633" s="6"/>
      <c r="T633" s="6"/>
    </row>
    <row r="634" spans="1:20">
      <c r="A634" s="7">
        <v>46216</v>
      </c>
      <c r="B634" s="8">
        <v>46229</v>
      </c>
      <c r="C634" s="9">
        <v>14</v>
      </c>
      <c r="D634" s="10" t="s">
        <v>1002</v>
      </c>
      <c r="E634" s="10" t="s">
        <v>2092</v>
      </c>
      <c r="F634" s="9"/>
      <c r="G634" s="9">
        <v>1</v>
      </c>
      <c r="H634" s="9">
        <v>0</v>
      </c>
      <c r="I634" s="9">
        <v>1</v>
      </c>
      <c r="J634" s="11">
        <v>0</v>
      </c>
      <c r="K634" s="24">
        <v>0.1</v>
      </c>
      <c r="L634" s="24">
        <v>0</v>
      </c>
      <c r="M634" s="24">
        <v>0</v>
      </c>
      <c r="N634" s="9">
        <v>0</v>
      </c>
      <c r="O634" s="9">
        <v>0</v>
      </c>
      <c r="P634" s="9">
        <v>0</v>
      </c>
      <c r="Q634" s="11">
        <v>0</v>
      </c>
      <c r="R634" s="10" t="s">
        <v>176</v>
      </c>
      <c r="S634" s="6"/>
      <c r="T634" s="6"/>
    </row>
    <row r="635" spans="1:20">
      <c r="A635" s="7">
        <v>46216</v>
      </c>
      <c r="B635" s="8">
        <v>46229</v>
      </c>
      <c r="C635" s="9">
        <v>14</v>
      </c>
      <c r="D635" s="10" t="s">
        <v>1002</v>
      </c>
      <c r="E635" s="10" t="s">
        <v>392</v>
      </c>
      <c r="F635" s="9"/>
      <c r="G635" s="9">
        <v>3</v>
      </c>
      <c r="H635" s="9">
        <v>0</v>
      </c>
      <c r="I635" s="9">
        <v>3</v>
      </c>
      <c r="J635" s="11">
        <v>0</v>
      </c>
      <c r="K635" s="24">
        <v>0.1</v>
      </c>
      <c r="L635" s="24">
        <v>0</v>
      </c>
      <c r="M635" s="24">
        <v>0</v>
      </c>
      <c r="N635" s="9">
        <v>0</v>
      </c>
      <c r="O635" s="9">
        <v>0</v>
      </c>
      <c r="P635" s="9">
        <v>0</v>
      </c>
      <c r="Q635" s="11">
        <v>0</v>
      </c>
      <c r="R635" s="10" t="s">
        <v>176</v>
      </c>
      <c r="S635" s="6"/>
      <c r="T635" s="6"/>
    </row>
    <row r="636" spans="1:20">
      <c r="A636" s="7">
        <v>46216</v>
      </c>
      <c r="B636" s="8">
        <v>46229</v>
      </c>
      <c r="C636" s="9">
        <v>14</v>
      </c>
      <c r="D636" s="10" t="s">
        <v>1002</v>
      </c>
      <c r="E636" s="10" t="s">
        <v>393</v>
      </c>
      <c r="F636" s="9"/>
      <c r="G636" s="9">
        <v>2</v>
      </c>
      <c r="H636" s="9">
        <v>0</v>
      </c>
      <c r="I636" s="9">
        <v>2</v>
      </c>
      <c r="J636" s="11">
        <v>0</v>
      </c>
      <c r="K636" s="24">
        <v>0.1</v>
      </c>
      <c r="L636" s="24">
        <v>0</v>
      </c>
      <c r="M636" s="24">
        <v>0</v>
      </c>
      <c r="N636" s="9">
        <v>0</v>
      </c>
      <c r="O636" s="9">
        <v>0</v>
      </c>
      <c r="P636" s="9">
        <v>0</v>
      </c>
      <c r="Q636" s="11">
        <v>0</v>
      </c>
      <c r="R636" s="10" t="s">
        <v>176</v>
      </c>
      <c r="S636" s="6"/>
      <c r="T636" s="6"/>
    </row>
    <row r="637" spans="1:20">
      <c r="A637" s="7">
        <v>46216</v>
      </c>
      <c r="B637" s="8">
        <v>46229</v>
      </c>
      <c r="C637" s="9">
        <v>14</v>
      </c>
      <c r="D637" s="10" t="s">
        <v>1002</v>
      </c>
      <c r="E637" s="10" t="s">
        <v>2093</v>
      </c>
      <c r="F637" s="9"/>
      <c r="G637" s="9">
        <v>1</v>
      </c>
      <c r="H637" s="9">
        <v>0</v>
      </c>
      <c r="I637" s="9">
        <v>1</v>
      </c>
      <c r="J637" s="11">
        <v>0</v>
      </c>
      <c r="K637" s="24">
        <v>0</v>
      </c>
      <c r="L637" s="24">
        <v>0</v>
      </c>
      <c r="M637" s="24">
        <v>0</v>
      </c>
      <c r="N637" s="9">
        <v>0</v>
      </c>
      <c r="O637" s="9">
        <v>0</v>
      </c>
      <c r="P637" s="9">
        <v>0</v>
      </c>
      <c r="Q637" s="11">
        <v>0</v>
      </c>
      <c r="R637" s="10" t="s">
        <v>176</v>
      </c>
      <c r="S637" s="6"/>
      <c r="T637" s="6"/>
    </row>
    <row r="638" spans="1:20">
      <c r="A638" s="7">
        <v>46216</v>
      </c>
      <c r="B638" s="8">
        <v>46229</v>
      </c>
      <c r="C638" s="9">
        <v>14</v>
      </c>
      <c r="D638" s="10" t="s">
        <v>1002</v>
      </c>
      <c r="E638" s="10" t="s">
        <v>394</v>
      </c>
      <c r="F638" s="9"/>
      <c r="G638" s="9">
        <v>10</v>
      </c>
      <c r="H638" s="9">
        <v>0</v>
      </c>
      <c r="I638" s="9">
        <v>10</v>
      </c>
      <c r="J638" s="11">
        <v>0</v>
      </c>
      <c r="K638" s="24">
        <v>0.1</v>
      </c>
      <c r="L638" s="24">
        <v>0</v>
      </c>
      <c r="M638" s="24">
        <v>0</v>
      </c>
      <c r="N638" s="9">
        <v>0</v>
      </c>
      <c r="O638" s="9">
        <v>0</v>
      </c>
      <c r="P638" s="9">
        <v>0</v>
      </c>
      <c r="Q638" s="11">
        <v>0</v>
      </c>
      <c r="R638" s="10" t="s">
        <v>176</v>
      </c>
      <c r="S638" s="6"/>
      <c r="T638" s="6"/>
    </row>
    <row r="639" spans="1:20">
      <c r="A639" s="7">
        <v>46216</v>
      </c>
      <c r="B639" s="8">
        <v>46229</v>
      </c>
      <c r="C639" s="9">
        <v>14</v>
      </c>
      <c r="D639" s="10" t="s">
        <v>1002</v>
      </c>
      <c r="E639" s="10" t="s">
        <v>2094</v>
      </c>
      <c r="F639" s="9"/>
      <c r="G639" s="9">
        <v>1</v>
      </c>
      <c r="H639" s="9">
        <v>0</v>
      </c>
      <c r="I639" s="9">
        <v>1</v>
      </c>
      <c r="J639" s="11">
        <v>0</v>
      </c>
      <c r="K639" s="24">
        <v>0</v>
      </c>
      <c r="L639" s="24">
        <v>0</v>
      </c>
      <c r="M639" s="24">
        <v>0</v>
      </c>
      <c r="N639" s="9">
        <v>0</v>
      </c>
      <c r="O639" s="9">
        <v>0</v>
      </c>
      <c r="P639" s="9">
        <v>0</v>
      </c>
      <c r="Q639" s="11">
        <v>0</v>
      </c>
      <c r="R639" s="10" t="s">
        <v>176</v>
      </c>
      <c r="S639" s="6"/>
      <c r="T639" s="6"/>
    </row>
    <row r="640" spans="1:20">
      <c r="A640" s="7">
        <v>46216</v>
      </c>
      <c r="B640" s="8">
        <v>46229</v>
      </c>
      <c r="C640" s="9">
        <v>14</v>
      </c>
      <c r="D640" s="10" t="s">
        <v>1002</v>
      </c>
      <c r="E640" s="10" t="s">
        <v>395</v>
      </c>
      <c r="F640" s="9"/>
      <c r="G640" s="9">
        <v>3</v>
      </c>
      <c r="H640" s="9">
        <v>0</v>
      </c>
      <c r="I640" s="9">
        <v>3</v>
      </c>
      <c r="J640" s="11">
        <v>0</v>
      </c>
      <c r="K640" s="24">
        <v>0.1</v>
      </c>
      <c r="L640" s="24">
        <v>0</v>
      </c>
      <c r="M640" s="24">
        <v>0</v>
      </c>
      <c r="N640" s="9">
        <v>0</v>
      </c>
      <c r="O640" s="9">
        <v>0</v>
      </c>
      <c r="P640" s="9">
        <v>0</v>
      </c>
      <c r="Q640" s="11">
        <v>0</v>
      </c>
      <c r="R640" s="10" t="s">
        <v>176</v>
      </c>
      <c r="S640" s="6"/>
      <c r="T640" s="6"/>
    </row>
    <row r="641" spans="1:20">
      <c r="A641" s="7">
        <v>46216</v>
      </c>
      <c r="B641" s="8">
        <v>46229</v>
      </c>
      <c r="C641" s="9">
        <v>14</v>
      </c>
      <c r="D641" s="10" t="s">
        <v>1002</v>
      </c>
      <c r="E641" s="10" t="s">
        <v>2095</v>
      </c>
      <c r="F641" s="9"/>
      <c r="G641" s="9">
        <v>1</v>
      </c>
      <c r="H641" s="9">
        <v>0</v>
      </c>
      <c r="I641" s="9">
        <v>1</v>
      </c>
      <c r="J641" s="11">
        <v>0</v>
      </c>
      <c r="K641" s="24">
        <v>0</v>
      </c>
      <c r="L641" s="24">
        <v>0</v>
      </c>
      <c r="M641" s="24">
        <v>0</v>
      </c>
      <c r="N641" s="9">
        <v>0</v>
      </c>
      <c r="O641" s="9">
        <v>0</v>
      </c>
      <c r="P641" s="9">
        <v>0</v>
      </c>
      <c r="Q641" s="11">
        <v>0</v>
      </c>
      <c r="R641" s="10" t="s">
        <v>176</v>
      </c>
      <c r="S641" s="6"/>
      <c r="T641" s="6"/>
    </row>
    <row r="642" spans="1:20">
      <c r="A642" s="7">
        <v>46216</v>
      </c>
      <c r="B642" s="8">
        <v>46229</v>
      </c>
      <c r="C642" s="9">
        <v>14</v>
      </c>
      <c r="D642" s="10" t="s">
        <v>1002</v>
      </c>
      <c r="E642" s="10" t="s">
        <v>2096</v>
      </c>
      <c r="F642" s="9"/>
      <c r="G642" s="9">
        <v>3</v>
      </c>
      <c r="H642" s="9">
        <v>0</v>
      </c>
      <c r="I642" s="9">
        <v>3</v>
      </c>
      <c r="J642" s="11">
        <v>0</v>
      </c>
      <c r="K642" s="24">
        <v>6.6699999999999995E-2</v>
      </c>
      <c r="L642" s="24">
        <v>0</v>
      </c>
      <c r="M642" s="24">
        <v>0</v>
      </c>
      <c r="N642" s="9">
        <v>0</v>
      </c>
      <c r="O642" s="9">
        <v>0</v>
      </c>
      <c r="P642" s="9">
        <v>0</v>
      </c>
      <c r="Q642" s="11">
        <v>0</v>
      </c>
      <c r="R642" s="10" t="s">
        <v>176</v>
      </c>
      <c r="S642" s="6"/>
      <c r="T642" s="6"/>
    </row>
    <row r="643" spans="1:20">
      <c r="A643" s="7">
        <v>46216</v>
      </c>
      <c r="B643" s="8">
        <v>46229</v>
      </c>
      <c r="C643" s="9">
        <v>14</v>
      </c>
      <c r="D643" s="10" t="s">
        <v>1002</v>
      </c>
      <c r="E643" s="10" t="s">
        <v>2097</v>
      </c>
      <c r="F643" s="9"/>
      <c r="G643" s="9">
        <v>3</v>
      </c>
      <c r="H643" s="9">
        <v>0</v>
      </c>
      <c r="I643" s="9">
        <v>3</v>
      </c>
      <c r="J643" s="11">
        <v>0</v>
      </c>
      <c r="K643" s="24">
        <v>0.1</v>
      </c>
      <c r="L643" s="24">
        <v>0</v>
      </c>
      <c r="M643" s="24">
        <v>0</v>
      </c>
      <c r="N643" s="9">
        <v>0</v>
      </c>
      <c r="O643" s="9">
        <v>0</v>
      </c>
      <c r="P643" s="9">
        <v>0</v>
      </c>
      <c r="Q643" s="11">
        <v>0</v>
      </c>
      <c r="R643" s="10" t="s">
        <v>176</v>
      </c>
      <c r="S643" s="6"/>
      <c r="T643" s="6"/>
    </row>
    <row r="644" spans="1:20">
      <c r="A644" s="7">
        <v>46216</v>
      </c>
      <c r="B644" s="8">
        <v>46229</v>
      </c>
      <c r="C644" s="9">
        <v>14</v>
      </c>
      <c r="D644" s="10" t="s">
        <v>1002</v>
      </c>
      <c r="E644" s="10" t="s">
        <v>2098</v>
      </c>
      <c r="F644" s="9"/>
      <c r="G644" s="9">
        <v>4</v>
      </c>
      <c r="H644" s="9">
        <v>0</v>
      </c>
      <c r="I644" s="9">
        <v>4</v>
      </c>
      <c r="J644" s="11">
        <v>0</v>
      </c>
      <c r="K644" s="24">
        <v>7.4999999999999997E-2</v>
      </c>
      <c r="L644" s="24">
        <v>0</v>
      </c>
      <c r="M644" s="24">
        <v>0</v>
      </c>
      <c r="N644" s="9">
        <v>0</v>
      </c>
      <c r="O644" s="9">
        <v>0</v>
      </c>
      <c r="P644" s="9">
        <v>0</v>
      </c>
      <c r="Q644" s="11">
        <v>0</v>
      </c>
      <c r="R644" s="10" t="s">
        <v>176</v>
      </c>
      <c r="S644" s="6"/>
      <c r="T644" s="6"/>
    </row>
    <row r="645" spans="1:20">
      <c r="A645" s="7">
        <v>46216</v>
      </c>
      <c r="B645" s="8">
        <v>46229</v>
      </c>
      <c r="C645" s="9">
        <v>14</v>
      </c>
      <c r="D645" s="10" t="s">
        <v>1002</v>
      </c>
      <c r="E645" s="10" t="s">
        <v>2099</v>
      </c>
      <c r="F645" s="9"/>
      <c r="G645" s="9">
        <v>1</v>
      </c>
      <c r="H645" s="9">
        <v>0</v>
      </c>
      <c r="I645" s="9">
        <v>1</v>
      </c>
      <c r="J645" s="11">
        <v>0</v>
      </c>
      <c r="K645" s="24">
        <v>0.1</v>
      </c>
      <c r="L645" s="24">
        <v>0</v>
      </c>
      <c r="M645" s="24">
        <v>0</v>
      </c>
      <c r="N645" s="9">
        <v>0</v>
      </c>
      <c r="O645" s="9">
        <v>0</v>
      </c>
      <c r="P645" s="9">
        <v>0</v>
      </c>
      <c r="Q645" s="11">
        <v>0</v>
      </c>
      <c r="R645" s="10" t="s">
        <v>176</v>
      </c>
      <c r="S645" s="6"/>
      <c r="T645" s="6"/>
    </row>
    <row r="646" spans="1:20">
      <c r="A646" s="7">
        <v>46216</v>
      </c>
      <c r="B646" s="8">
        <v>46229</v>
      </c>
      <c r="C646" s="9">
        <v>14</v>
      </c>
      <c r="D646" s="10" t="s">
        <v>1002</v>
      </c>
      <c r="E646" s="10" t="s">
        <v>403</v>
      </c>
      <c r="F646" s="9"/>
      <c r="G646" s="9">
        <v>9</v>
      </c>
      <c r="H646" s="9">
        <v>0</v>
      </c>
      <c r="I646" s="9">
        <v>9</v>
      </c>
      <c r="J646" s="11">
        <v>0</v>
      </c>
      <c r="K646" s="24">
        <v>8.8900000000000007E-2</v>
      </c>
      <c r="L646" s="24">
        <v>0</v>
      </c>
      <c r="M646" s="24">
        <v>0</v>
      </c>
      <c r="N646" s="9">
        <v>0</v>
      </c>
      <c r="O646" s="9">
        <v>0</v>
      </c>
      <c r="P646" s="9">
        <v>0</v>
      </c>
      <c r="Q646" s="11">
        <v>0</v>
      </c>
      <c r="R646" s="10" t="s">
        <v>176</v>
      </c>
      <c r="S646" s="6"/>
      <c r="T646" s="6"/>
    </row>
    <row r="647" spans="1:20">
      <c r="A647" s="7">
        <v>46216</v>
      </c>
      <c r="B647" s="8">
        <v>46229</v>
      </c>
      <c r="C647" s="9">
        <v>14</v>
      </c>
      <c r="D647" s="10" t="s">
        <v>1002</v>
      </c>
      <c r="E647" s="10" t="s">
        <v>404</v>
      </c>
      <c r="F647" s="9"/>
      <c r="G647" s="9">
        <v>8</v>
      </c>
      <c r="H647" s="9">
        <v>0</v>
      </c>
      <c r="I647" s="9">
        <v>8</v>
      </c>
      <c r="J647" s="11">
        <v>0</v>
      </c>
      <c r="K647" s="24">
        <v>0.1</v>
      </c>
      <c r="L647" s="24">
        <v>0</v>
      </c>
      <c r="M647" s="24">
        <v>0</v>
      </c>
      <c r="N647" s="9">
        <v>0</v>
      </c>
      <c r="O647" s="9">
        <v>0</v>
      </c>
      <c r="P647" s="9">
        <v>0</v>
      </c>
      <c r="Q647" s="11">
        <v>0</v>
      </c>
      <c r="R647" s="10" t="s">
        <v>176</v>
      </c>
      <c r="S647" s="6"/>
      <c r="T647" s="6"/>
    </row>
    <row r="648" spans="1:20">
      <c r="A648" s="7">
        <v>46216</v>
      </c>
      <c r="B648" s="8">
        <v>46229</v>
      </c>
      <c r="C648" s="9">
        <v>14</v>
      </c>
      <c r="D648" s="10" t="s">
        <v>1002</v>
      </c>
      <c r="E648" s="10" t="s">
        <v>405</v>
      </c>
      <c r="F648" s="9"/>
      <c r="G648" s="9">
        <v>3</v>
      </c>
      <c r="H648" s="9">
        <v>0</v>
      </c>
      <c r="I648" s="9">
        <v>3</v>
      </c>
      <c r="J648" s="11">
        <v>0</v>
      </c>
      <c r="K648" s="24">
        <v>0.1</v>
      </c>
      <c r="L648" s="24">
        <v>0</v>
      </c>
      <c r="M648" s="24">
        <v>0</v>
      </c>
      <c r="N648" s="9">
        <v>0</v>
      </c>
      <c r="O648" s="9">
        <v>0</v>
      </c>
      <c r="P648" s="9">
        <v>0</v>
      </c>
      <c r="Q648" s="11">
        <v>0</v>
      </c>
      <c r="R648" s="10" t="s">
        <v>176</v>
      </c>
      <c r="S648" s="6"/>
      <c r="T648" s="6"/>
    </row>
    <row r="649" spans="1:20">
      <c r="A649" s="7">
        <v>46216</v>
      </c>
      <c r="B649" s="8">
        <v>46229</v>
      </c>
      <c r="C649" s="9">
        <v>14</v>
      </c>
      <c r="D649" s="10" t="s">
        <v>1002</v>
      </c>
      <c r="E649" s="10" t="s">
        <v>406</v>
      </c>
      <c r="F649" s="9"/>
      <c r="G649" s="9">
        <v>2</v>
      </c>
      <c r="H649" s="9">
        <v>0</v>
      </c>
      <c r="I649" s="9">
        <v>2</v>
      </c>
      <c r="J649" s="11">
        <v>0</v>
      </c>
      <c r="K649" s="24">
        <v>0.1</v>
      </c>
      <c r="L649" s="24">
        <v>0</v>
      </c>
      <c r="M649" s="24">
        <v>0</v>
      </c>
      <c r="N649" s="9">
        <v>0</v>
      </c>
      <c r="O649" s="9">
        <v>0</v>
      </c>
      <c r="P649" s="9">
        <v>0</v>
      </c>
      <c r="Q649" s="11">
        <v>0</v>
      </c>
      <c r="R649" s="10" t="s">
        <v>176</v>
      </c>
      <c r="S649" s="6"/>
      <c r="T649" s="6"/>
    </row>
    <row r="650" spans="1:20">
      <c r="A650" s="7">
        <v>46216</v>
      </c>
      <c r="B650" s="8">
        <v>46229</v>
      </c>
      <c r="C650" s="9">
        <v>14</v>
      </c>
      <c r="D650" s="10" t="s">
        <v>1002</v>
      </c>
      <c r="E650" s="10" t="s">
        <v>407</v>
      </c>
      <c r="F650" s="9"/>
      <c r="G650" s="9">
        <v>8</v>
      </c>
      <c r="H650" s="9">
        <v>0</v>
      </c>
      <c r="I650" s="9">
        <v>8</v>
      </c>
      <c r="J650" s="11">
        <v>0</v>
      </c>
      <c r="K650" s="24">
        <v>8.7499999999999994E-2</v>
      </c>
      <c r="L650" s="24">
        <v>0</v>
      </c>
      <c r="M650" s="24">
        <v>0</v>
      </c>
      <c r="N650" s="9">
        <v>0</v>
      </c>
      <c r="O650" s="9">
        <v>0</v>
      </c>
      <c r="P650" s="9">
        <v>0</v>
      </c>
      <c r="Q650" s="11">
        <v>0</v>
      </c>
      <c r="R650" s="10" t="s">
        <v>176</v>
      </c>
      <c r="S650" s="6"/>
      <c r="T650" s="6"/>
    </row>
    <row r="651" spans="1:20">
      <c r="A651" s="7">
        <v>46216</v>
      </c>
      <c r="B651" s="8">
        <v>46229</v>
      </c>
      <c r="C651" s="9">
        <v>14</v>
      </c>
      <c r="D651" s="10" t="s">
        <v>1002</v>
      </c>
      <c r="E651" s="10" t="s">
        <v>2100</v>
      </c>
      <c r="F651" s="9"/>
      <c r="G651" s="9">
        <v>2</v>
      </c>
      <c r="H651" s="9">
        <v>0</v>
      </c>
      <c r="I651" s="9">
        <v>2</v>
      </c>
      <c r="J651" s="11">
        <v>0</v>
      </c>
      <c r="K651" s="24">
        <v>0.05</v>
      </c>
      <c r="L651" s="24">
        <v>0</v>
      </c>
      <c r="M651" s="24">
        <v>0</v>
      </c>
      <c r="N651" s="9">
        <v>0</v>
      </c>
      <c r="O651" s="9">
        <v>0</v>
      </c>
      <c r="P651" s="9">
        <v>0</v>
      </c>
      <c r="Q651" s="11">
        <v>0</v>
      </c>
      <c r="R651" s="10" t="s">
        <v>176</v>
      </c>
      <c r="S651" s="6"/>
      <c r="T651" s="6"/>
    </row>
    <row r="652" spans="1:20">
      <c r="A652" s="7">
        <v>46216</v>
      </c>
      <c r="B652" s="8">
        <v>46229</v>
      </c>
      <c r="C652" s="9">
        <v>14</v>
      </c>
      <c r="D652" s="10" t="s">
        <v>1002</v>
      </c>
      <c r="E652" s="10" t="s">
        <v>408</v>
      </c>
      <c r="F652" s="9"/>
      <c r="G652" s="9">
        <v>2</v>
      </c>
      <c r="H652" s="9">
        <v>0</v>
      </c>
      <c r="I652" s="9">
        <v>2</v>
      </c>
      <c r="J652" s="11">
        <v>0</v>
      </c>
      <c r="K652" s="24">
        <v>0.1</v>
      </c>
      <c r="L652" s="24">
        <v>0</v>
      </c>
      <c r="M652" s="24">
        <v>0</v>
      </c>
      <c r="N652" s="9">
        <v>0</v>
      </c>
      <c r="O652" s="9">
        <v>0</v>
      </c>
      <c r="P652" s="9">
        <v>0</v>
      </c>
      <c r="Q652" s="11">
        <v>0</v>
      </c>
      <c r="R652" s="10" t="s">
        <v>176</v>
      </c>
      <c r="S652" s="6"/>
      <c r="T652" s="6"/>
    </row>
    <row r="653" spans="1:20">
      <c r="A653" s="7">
        <v>46216</v>
      </c>
      <c r="B653" s="8">
        <v>46229</v>
      </c>
      <c r="C653" s="9">
        <v>14</v>
      </c>
      <c r="D653" s="10" t="s">
        <v>1002</v>
      </c>
      <c r="E653" s="10" t="s">
        <v>2102</v>
      </c>
      <c r="F653" s="9"/>
      <c r="G653" s="9">
        <v>1</v>
      </c>
      <c r="H653" s="9">
        <v>0</v>
      </c>
      <c r="I653" s="9">
        <v>1</v>
      </c>
      <c r="J653" s="11">
        <v>0</v>
      </c>
      <c r="K653" s="24">
        <v>0.1</v>
      </c>
      <c r="L653" s="24">
        <v>0</v>
      </c>
      <c r="M653" s="24">
        <v>0</v>
      </c>
      <c r="N653" s="9">
        <v>0</v>
      </c>
      <c r="O653" s="9">
        <v>0</v>
      </c>
      <c r="P653" s="9">
        <v>0</v>
      </c>
      <c r="Q653" s="11">
        <v>0</v>
      </c>
      <c r="R653" s="10" t="s">
        <v>176</v>
      </c>
      <c r="S653" s="6"/>
      <c r="T653" s="6"/>
    </row>
    <row r="654" spans="1:20">
      <c r="A654" s="7">
        <v>46216</v>
      </c>
      <c r="B654" s="8">
        <v>46229</v>
      </c>
      <c r="C654" s="9">
        <v>14</v>
      </c>
      <c r="D654" s="10" t="s">
        <v>1002</v>
      </c>
      <c r="E654" s="10" t="s">
        <v>2103</v>
      </c>
      <c r="F654" s="9"/>
      <c r="G654" s="9">
        <v>2</v>
      </c>
      <c r="H654" s="9">
        <v>0</v>
      </c>
      <c r="I654" s="9">
        <v>2</v>
      </c>
      <c r="J654" s="11">
        <v>0</v>
      </c>
      <c r="K654" s="24">
        <v>0.1</v>
      </c>
      <c r="L654" s="24">
        <v>0</v>
      </c>
      <c r="M654" s="24">
        <v>0</v>
      </c>
      <c r="N654" s="9">
        <v>0</v>
      </c>
      <c r="O654" s="9">
        <v>0</v>
      </c>
      <c r="P654" s="9">
        <v>0</v>
      </c>
      <c r="Q654" s="11">
        <v>0</v>
      </c>
      <c r="R654" s="10" t="s">
        <v>176</v>
      </c>
      <c r="S654" s="6"/>
      <c r="T654" s="6"/>
    </row>
    <row r="655" spans="1:20">
      <c r="A655" s="7">
        <v>46216</v>
      </c>
      <c r="B655" s="8">
        <v>46229</v>
      </c>
      <c r="C655" s="9">
        <v>14</v>
      </c>
      <c r="D655" s="10" t="s">
        <v>1002</v>
      </c>
      <c r="E655" s="10" t="s">
        <v>2104</v>
      </c>
      <c r="F655" s="9"/>
      <c r="G655" s="9">
        <v>2</v>
      </c>
      <c r="H655" s="9">
        <v>0</v>
      </c>
      <c r="I655" s="9">
        <v>2</v>
      </c>
      <c r="J655" s="11">
        <v>0</v>
      </c>
      <c r="K655" s="24">
        <v>0.1</v>
      </c>
      <c r="L655" s="24">
        <v>0</v>
      </c>
      <c r="M655" s="24">
        <v>0</v>
      </c>
      <c r="N655" s="9">
        <v>0</v>
      </c>
      <c r="O655" s="9">
        <v>0</v>
      </c>
      <c r="P655" s="9">
        <v>0</v>
      </c>
      <c r="Q655" s="11">
        <v>0</v>
      </c>
      <c r="R655" s="10" t="s">
        <v>176</v>
      </c>
      <c r="S655" s="6"/>
      <c r="T655" s="6"/>
    </row>
    <row r="656" spans="1:20">
      <c r="A656" s="7">
        <v>46216</v>
      </c>
      <c r="B656" s="8">
        <v>46229</v>
      </c>
      <c r="C656" s="9">
        <v>14</v>
      </c>
      <c r="D656" s="10" t="s">
        <v>1002</v>
      </c>
      <c r="E656" s="10" t="s">
        <v>2105</v>
      </c>
      <c r="F656" s="9"/>
      <c r="G656" s="9">
        <v>3</v>
      </c>
      <c r="H656" s="9">
        <v>0</v>
      </c>
      <c r="I656" s="9">
        <v>3</v>
      </c>
      <c r="J656" s="11">
        <v>0</v>
      </c>
      <c r="K656" s="24">
        <v>0.1</v>
      </c>
      <c r="L656" s="24">
        <v>0</v>
      </c>
      <c r="M656" s="24">
        <v>0</v>
      </c>
      <c r="N656" s="9">
        <v>0</v>
      </c>
      <c r="O656" s="9">
        <v>0</v>
      </c>
      <c r="P656" s="9">
        <v>0</v>
      </c>
      <c r="Q656" s="11">
        <v>0</v>
      </c>
      <c r="R656" s="10" t="s">
        <v>176</v>
      </c>
      <c r="S656" s="6"/>
      <c r="T656" s="6"/>
    </row>
    <row r="657" spans="1:18">
      <c r="A657" s="7">
        <v>46216</v>
      </c>
      <c r="B657" s="8">
        <v>46229</v>
      </c>
      <c r="C657" s="9">
        <v>14</v>
      </c>
      <c r="D657" s="10" t="s">
        <v>1002</v>
      </c>
      <c r="E657" s="10" t="s">
        <v>2106</v>
      </c>
      <c r="F657" s="9"/>
      <c r="G657" s="9">
        <v>2</v>
      </c>
      <c r="H657" s="9">
        <v>0</v>
      </c>
      <c r="I657" s="9">
        <v>2</v>
      </c>
      <c r="J657" s="11">
        <v>0</v>
      </c>
      <c r="K657" s="24">
        <v>0.1</v>
      </c>
      <c r="L657" s="24">
        <v>0</v>
      </c>
      <c r="M657" s="24">
        <v>0</v>
      </c>
      <c r="N657" s="9">
        <v>0</v>
      </c>
      <c r="O657" s="9">
        <v>0</v>
      </c>
      <c r="P657" s="9">
        <v>0</v>
      </c>
      <c r="Q657" s="11">
        <v>0</v>
      </c>
      <c r="R657" s="10" t="s">
        <v>176</v>
      </c>
    </row>
    <row r="658" spans="1:18">
      <c r="A658" s="7">
        <v>46216</v>
      </c>
      <c r="B658" s="8">
        <v>46229</v>
      </c>
      <c r="C658" s="9">
        <v>14</v>
      </c>
      <c r="D658" s="10" t="s">
        <v>1002</v>
      </c>
      <c r="E658" s="10" t="s">
        <v>2107</v>
      </c>
      <c r="F658" s="9"/>
      <c r="G658" s="9">
        <v>1</v>
      </c>
      <c r="H658" s="9">
        <v>0</v>
      </c>
      <c r="I658" s="9">
        <v>1</v>
      </c>
      <c r="J658" s="11">
        <v>0</v>
      </c>
      <c r="K658" s="24">
        <v>0.1</v>
      </c>
      <c r="L658" s="24">
        <v>0</v>
      </c>
      <c r="M658" s="24">
        <v>0</v>
      </c>
      <c r="N658" s="9">
        <v>0</v>
      </c>
      <c r="O658" s="9">
        <v>0</v>
      </c>
      <c r="P658" s="9">
        <v>0</v>
      </c>
      <c r="Q658" s="11">
        <v>0</v>
      </c>
      <c r="R658" s="10" t="s">
        <v>176</v>
      </c>
    </row>
    <row r="659" spans="1:18">
      <c r="A659" s="7">
        <v>46216</v>
      </c>
      <c r="B659" s="8">
        <v>46229</v>
      </c>
      <c r="C659" s="9">
        <v>14</v>
      </c>
      <c r="D659" s="10" t="s">
        <v>1002</v>
      </c>
      <c r="E659" s="10" t="s">
        <v>2108</v>
      </c>
      <c r="F659" s="9"/>
      <c r="G659" s="9">
        <v>2</v>
      </c>
      <c r="H659" s="9">
        <v>0</v>
      </c>
      <c r="I659" s="9">
        <v>2</v>
      </c>
      <c r="J659" s="11">
        <v>0</v>
      </c>
      <c r="K659" s="24">
        <v>0.1</v>
      </c>
      <c r="L659" s="24">
        <v>0</v>
      </c>
      <c r="M659" s="24">
        <v>0</v>
      </c>
      <c r="N659" s="9">
        <v>0</v>
      </c>
      <c r="O659" s="9">
        <v>0</v>
      </c>
      <c r="P659" s="9">
        <v>0</v>
      </c>
      <c r="Q659" s="11">
        <v>0</v>
      </c>
      <c r="R659" s="10" t="s">
        <v>176</v>
      </c>
    </row>
    <row r="660" spans="1:18">
      <c r="A660" s="7">
        <v>46216</v>
      </c>
      <c r="B660" s="8">
        <v>46229</v>
      </c>
      <c r="C660" s="9">
        <v>14</v>
      </c>
      <c r="D660" s="10" t="s">
        <v>1002</v>
      </c>
      <c r="E660" s="10" t="s">
        <v>409</v>
      </c>
      <c r="F660" s="9"/>
      <c r="G660" s="9">
        <v>4</v>
      </c>
      <c r="H660" s="9">
        <v>0</v>
      </c>
      <c r="I660" s="9">
        <v>4</v>
      </c>
      <c r="J660" s="11">
        <v>0</v>
      </c>
      <c r="K660" s="24">
        <v>0.1</v>
      </c>
      <c r="L660" s="24">
        <v>0</v>
      </c>
      <c r="M660" s="24">
        <v>0</v>
      </c>
      <c r="N660" s="9">
        <v>0</v>
      </c>
      <c r="O660" s="9">
        <v>0</v>
      </c>
      <c r="P660" s="9">
        <v>0</v>
      </c>
      <c r="Q660" s="11">
        <v>0</v>
      </c>
      <c r="R660" s="10" t="s">
        <v>176</v>
      </c>
    </row>
    <row r="661" spans="1:18">
      <c r="A661" s="7">
        <v>46216</v>
      </c>
      <c r="B661" s="8">
        <v>46229</v>
      </c>
      <c r="C661" s="9">
        <v>14</v>
      </c>
      <c r="D661" s="10" t="s">
        <v>1002</v>
      </c>
      <c r="E661" s="10" t="s">
        <v>411</v>
      </c>
      <c r="F661" s="9"/>
      <c r="G661" s="9">
        <v>1</v>
      </c>
      <c r="H661" s="9">
        <v>0</v>
      </c>
      <c r="I661" s="9">
        <v>1</v>
      </c>
      <c r="J661" s="11">
        <v>0</v>
      </c>
      <c r="K661" s="24">
        <v>0.1</v>
      </c>
      <c r="L661" s="24">
        <v>0</v>
      </c>
      <c r="M661" s="24">
        <v>0</v>
      </c>
      <c r="N661" s="9">
        <v>0</v>
      </c>
      <c r="O661" s="9">
        <v>0</v>
      </c>
      <c r="P661" s="9">
        <v>0</v>
      </c>
      <c r="Q661" s="11">
        <v>0</v>
      </c>
      <c r="R661" s="10" t="s">
        <v>176</v>
      </c>
    </row>
    <row r="662" spans="1:18">
      <c r="A662" s="7">
        <v>46216</v>
      </c>
      <c r="B662" s="8">
        <v>46229</v>
      </c>
      <c r="C662" s="9">
        <v>14</v>
      </c>
      <c r="D662" s="10" t="s">
        <v>1002</v>
      </c>
      <c r="E662" s="10" t="s">
        <v>2109</v>
      </c>
      <c r="F662" s="9"/>
      <c r="G662" s="9">
        <v>1</v>
      </c>
      <c r="H662" s="9">
        <v>0</v>
      </c>
      <c r="I662" s="9">
        <v>1</v>
      </c>
      <c r="J662" s="11">
        <v>0</v>
      </c>
      <c r="K662" s="24">
        <v>0.1</v>
      </c>
      <c r="L662" s="24">
        <v>0</v>
      </c>
      <c r="M662" s="24">
        <v>0</v>
      </c>
      <c r="N662" s="9">
        <v>0</v>
      </c>
      <c r="O662" s="9">
        <v>0</v>
      </c>
      <c r="P662" s="9">
        <v>0</v>
      </c>
      <c r="Q662" s="11">
        <v>0</v>
      </c>
      <c r="R662" s="10" t="s">
        <v>176</v>
      </c>
    </row>
    <row r="663" spans="1:18">
      <c r="A663" s="7">
        <v>46216</v>
      </c>
      <c r="B663" s="8">
        <v>46229</v>
      </c>
      <c r="C663" s="9">
        <v>14</v>
      </c>
      <c r="D663" s="10" t="s">
        <v>1002</v>
      </c>
      <c r="E663" s="10" t="s">
        <v>412</v>
      </c>
      <c r="F663" s="9"/>
      <c r="G663" s="9">
        <v>3</v>
      </c>
      <c r="H663" s="9">
        <v>0</v>
      </c>
      <c r="I663" s="9">
        <v>3</v>
      </c>
      <c r="J663" s="11">
        <v>0</v>
      </c>
      <c r="K663" s="24">
        <v>0.1</v>
      </c>
      <c r="L663" s="24">
        <v>0</v>
      </c>
      <c r="M663" s="24">
        <v>0</v>
      </c>
      <c r="N663" s="9">
        <v>0</v>
      </c>
      <c r="O663" s="9">
        <v>0</v>
      </c>
      <c r="P663" s="9">
        <v>0</v>
      </c>
      <c r="Q663" s="11">
        <v>0</v>
      </c>
      <c r="R663" s="10" t="s">
        <v>176</v>
      </c>
    </row>
    <row r="664" spans="1:18">
      <c r="A664" s="7">
        <v>46216</v>
      </c>
      <c r="B664" s="8">
        <v>46229</v>
      </c>
      <c r="C664" s="9">
        <v>14</v>
      </c>
      <c r="D664" s="10" t="s">
        <v>1002</v>
      </c>
      <c r="E664" s="10" t="s">
        <v>413</v>
      </c>
      <c r="F664" s="9"/>
      <c r="G664" s="9">
        <v>4</v>
      </c>
      <c r="H664" s="9">
        <v>0</v>
      </c>
      <c r="I664" s="9">
        <v>4</v>
      </c>
      <c r="J664" s="11">
        <v>0</v>
      </c>
      <c r="K664" s="24">
        <v>0.1</v>
      </c>
      <c r="L664" s="24">
        <v>0</v>
      </c>
      <c r="M664" s="24">
        <v>0</v>
      </c>
      <c r="N664" s="9">
        <v>0</v>
      </c>
      <c r="O664" s="9">
        <v>0</v>
      </c>
      <c r="P664" s="9">
        <v>0</v>
      </c>
      <c r="Q664" s="11">
        <v>0</v>
      </c>
      <c r="R664" s="10" t="s">
        <v>176</v>
      </c>
    </row>
    <row r="665" spans="1:18">
      <c r="A665" s="7">
        <v>46216</v>
      </c>
      <c r="B665" s="8">
        <v>46229</v>
      </c>
      <c r="C665" s="9">
        <v>14</v>
      </c>
      <c r="D665" s="10" t="s">
        <v>1002</v>
      </c>
      <c r="E665" s="10" t="s">
        <v>414</v>
      </c>
      <c r="F665" s="9"/>
      <c r="G665" s="9">
        <v>4</v>
      </c>
      <c r="H665" s="9">
        <v>0</v>
      </c>
      <c r="I665" s="9">
        <v>4</v>
      </c>
      <c r="J665" s="11">
        <v>0</v>
      </c>
      <c r="K665" s="24">
        <v>0.1</v>
      </c>
      <c r="L665" s="24">
        <v>0</v>
      </c>
      <c r="M665" s="24">
        <v>0</v>
      </c>
      <c r="N665" s="9">
        <v>0</v>
      </c>
      <c r="O665" s="9">
        <v>0</v>
      </c>
      <c r="P665" s="9">
        <v>0</v>
      </c>
      <c r="Q665" s="11">
        <v>0</v>
      </c>
      <c r="R665" s="10" t="s">
        <v>176</v>
      </c>
    </row>
    <row r="666" spans="1:18">
      <c r="A666" s="7">
        <v>46216</v>
      </c>
      <c r="B666" s="8">
        <v>46229</v>
      </c>
      <c r="C666" s="9">
        <v>14</v>
      </c>
      <c r="D666" s="10" t="s">
        <v>1002</v>
      </c>
      <c r="E666" s="10" t="s">
        <v>2110</v>
      </c>
      <c r="F666" s="9"/>
      <c r="G666" s="9">
        <v>1</v>
      </c>
      <c r="H666" s="9">
        <v>0</v>
      </c>
      <c r="I666" s="9">
        <v>1</v>
      </c>
      <c r="J666" s="11">
        <v>0</v>
      </c>
      <c r="K666" s="24">
        <v>0.1</v>
      </c>
      <c r="L666" s="24">
        <v>0</v>
      </c>
      <c r="M666" s="24">
        <v>0</v>
      </c>
      <c r="N666" s="9">
        <v>0</v>
      </c>
      <c r="O666" s="9">
        <v>0</v>
      </c>
      <c r="P666" s="9">
        <v>0</v>
      </c>
      <c r="Q666" s="11">
        <v>0</v>
      </c>
      <c r="R666" s="10" t="s">
        <v>176</v>
      </c>
    </row>
    <row r="667" spans="1:18">
      <c r="A667" s="7">
        <v>46216</v>
      </c>
      <c r="B667" s="8">
        <v>46229</v>
      </c>
      <c r="C667" s="9">
        <v>14</v>
      </c>
      <c r="D667" s="10" t="s">
        <v>1002</v>
      </c>
      <c r="E667" s="10" t="s">
        <v>2111</v>
      </c>
      <c r="F667" s="9"/>
      <c r="G667" s="9">
        <v>1</v>
      </c>
      <c r="H667" s="9">
        <v>0</v>
      </c>
      <c r="I667" s="9">
        <v>1</v>
      </c>
      <c r="J667" s="11">
        <v>0</v>
      </c>
      <c r="K667" s="24">
        <v>0</v>
      </c>
      <c r="L667" s="24">
        <v>0</v>
      </c>
      <c r="M667" s="24">
        <v>0</v>
      </c>
      <c r="N667" s="9">
        <v>0</v>
      </c>
      <c r="O667" s="9">
        <v>0</v>
      </c>
      <c r="P667" s="9">
        <v>0</v>
      </c>
      <c r="Q667" s="11">
        <v>0</v>
      </c>
      <c r="R667" s="10" t="s">
        <v>176</v>
      </c>
    </row>
    <row r="668" spans="1:18">
      <c r="A668" s="7">
        <v>46216</v>
      </c>
      <c r="B668" s="8">
        <v>46229</v>
      </c>
      <c r="C668" s="9">
        <v>14</v>
      </c>
      <c r="D668" s="10" t="s">
        <v>1002</v>
      </c>
      <c r="E668" s="10" t="s">
        <v>2112</v>
      </c>
      <c r="F668" s="9"/>
      <c r="G668" s="9">
        <v>1</v>
      </c>
      <c r="H668" s="9">
        <v>0</v>
      </c>
      <c r="I668" s="9">
        <v>1</v>
      </c>
      <c r="J668" s="11">
        <v>0</v>
      </c>
      <c r="K668" s="24">
        <v>0</v>
      </c>
      <c r="L668" s="24">
        <v>0</v>
      </c>
      <c r="M668" s="24">
        <v>0</v>
      </c>
      <c r="N668" s="9">
        <v>0</v>
      </c>
      <c r="O668" s="9">
        <v>0</v>
      </c>
      <c r="P668" s="9">
        <v>0</v>
      </c>
      <c r="Q668" s="11">
        <v>0</v>
      </c>
      <c r="R668" s="10" t="s">
        <v>176</v>
      </c>
    </row>
    <row r="669" spans="1:18">
      <c r="A669" s="7">
        <v>46216</v>
      </c>
      <c r="B669" s="8">
        <v>46229</v>
      </c>
      <c r="C669" s="9">
        <v>14</v>
      </c>
      <c r="D669" s="10" t="s">
        <v>1002</v>
      </c>
      <c r="E669" s="10" t="s">
        <v>2113</v>
      </c>
      <c r="F669" s="9"/>
      <c r="G669" s="9">
        <v>1</v>
      </c>
      <c r="H669" s="9">
        <v>0</v>
      </c>
      <c r="I669" s="9">
        <v>1</v>
      </c>
      <c r="J669" s="11">
        <v>0</v>
      </c>
      <c r="K669" s="24">
        <v>0</v>
      </c>
      <c r="L669" s="24">
        <v>0</v>
      </c>
      <c r="M669" s="24">
        <v>0</v>
      </c>
      <c r="N669" s="9">
        <v>0</v>
      </c>
      <c r="O669" s="9">
        <v>0</v>
      </c>
      <c r="P669" s="9">
        <v>0</v>
      </c>
      <c r="Q669" s="11">
        <v>0</v>
      </c>
      <c r="R669" s="10" t="s">
        <v>176</v>
      </c>
    </row>
    <row r="670" spans="1:18">
      <c r="A670" s="7">
        <v>46216</v>
      </c>
      <c r="B670" s="8">
        <v>46229</v>
      </c>
      <c r="C670" s="9">
        <v>14</v>
      </c>
      <c r="D670" s="10" t="s">
        <v>1002</v>
      </c>
      <c r="E670" s="10" t="s">
        <v>2114</v>
      </c>
      <c r="F670" s="9"/>
      <c r="G670" s="9">
        <v>1</v>
      </c>
      <c r="H670" s="9">
        <v>0</v>
      </c>
      <c r="I670" s="9">
        <v>1</v>
      </c>
      <c r="J670" s="11">
        <v>0</v>
      </c>
      <c r="K670" s="24">
        <v>0.1</v>
      </c>
      <c r="L670" s="24">
        <v>0</v>
      </c>
      <c r="M670" s="24">
        <v>0</v>
      </c>
      <c r="N670" s="9">
        <v>0</v>
      </c>
      <c r="O670" s="9">
        <v>0</v>
      </c>
      <c r="P670" s="9">
        <v>0</v>
      </c>
      <c r="Q670" s="11">
        <v>0</v>
      </c>
      <c r="R670" s="10" t="s">
        <v>176</v>
      </c>
    </row>
    <row r="671" spans="1:18">
      <c r="A671" s="7">
        <v>46216</v>
      </c>
      <c r="B671" s="8">
        <v>46229</v>
      </c>
      <c r="C671" s="9">
        <v>14</v>
      </c>
      <c r="D671" s="10" t="s">
        <v>1002</v>
      </c>
      <c r="E671" s="10" t="s">
        <v>3858</v>
      </c>
      <c r="F671" s="9"/>
      <c r="G671" s="9">
        <v>1</v>
      </c>
      <c r="H671" s="9">
        <v>0</v>
      </c>
      <c r="I671" s="9">
        <v>1</v>
      </c>
      <c r="J671" s="11">
        <v>0</v>
      </c>
      <c r="K671" s="24">
        <v>0</v>
      </c>
      <c r="L671" s="24">
        <v>0</v>
      </c>
      <c r="M671" s="24">
        <v>0</v>
      </c>
      <c r="N671" s="9">
        <v>0</v>
      </c>
      <c r="O671" s="9">
        <v>0</v>
      </c>
      <c r="P671" s="9">
        <v>0</v>
      </c>
      <c r="Q671" s="11">
        <v>0</v>
      </c>
      <c r="R671" s="10" t="s">
        <v>176</v>
      </c>
    </row>
    <row r="672" spans="1:18">
      <c r="A672" s="7">
        <v>46216</v>
      </c>
      <c r="B672" s="8">
        <v>46229</v>
      </c>
      <c r="C672" s="9">
        <v>14</v>
      </c>
      <c r="D672" s="10" t="s">
        <v>1002</v>
      </c>
      <c r="E672" s="10" t="s">
        <v>2115</v>
      </c>
      <c r="F672" s="9"/>
      <c r="G672" s="9">
        <v>2</v>
      </c>
      <c r="H672" s="9">
        <v>0</v>
      </c>
      <c r="I672" s="9">
        <v>2</v>
      </c>
      <c r="J672" s="11">
        <v>0</v>
      </c>
      <c r="K672" s="24">
        <v>0</v>
      </c>
      <c r="L672" s="24">
        <v>0</v>
      </c>
      <c r="M672" s="24">
        <v>0</v>
      </c>
      <c r="N672" s="9">
        <v>0</v>
      </c>
      <c r="O672" s="9">
        <v>0</v>
      </c>
      <c r="P672" s="9">
        <v>0</v>
      </c>
      <c r="Q672" s="11">
        <v>0</v>
      </c>
      <c r="R672" s="10" t="s">
        <v>176</v>
      </c>
    </row>
    <row r="673" spans="1:18">
      <c r="A673" s="7">
        <v>46216</v>
      </c>
      <c r="B673" s="8">
        <v>46229</v>
      </c>
      <c r="C673" s="9">
        <v>14</v>
      </c>
      <c r="D673" s="10" t="s">
        <v>1002</v>
      </c>
      <c r="E673" s="10" t="s">
        <v>2116</v>
      </c>
      <c r="F673" s="9"/>
      <c r="G673" s="9">
        <v>2</v>
      </c>
      <c r="H673" s="9">
        <v>0</v>
      </c>
      <c r="I673" s="9">
        <v>2</v>
      </c>
      <c r="J673" s="11">
        <v>0</v>
      </c>
      <c r="K673" s="24">
        <v>0</v>
      </c>
      <c r="L673" s="24">
        <v>0</v>
      </c>
      <c r="M673" s="24">
        <v>0</v>
      </c>
      <c r="N673" s="9">
        <v>0</v>
      </c>
      <c r="O673" s="9">
        <v>0</v>
      </c>
      <c r="P673" s="9">
        <v>0</v>
      </c>
      <c r="Q673" s="11">
        <v>0</v>
      </c>
      <c r="R673" s="10" t="s">
        <v>176</v>
      </c>
    </row>
    <row r="674" spans="1:18">
      <c r="A674" s="7">
        <v>46216</v>
      </c>
      <c r="B674" s="8">
        <v>46229</v>
      </c>
      <c r="C674" s="9">
        <v>14</v>
      </c>
      <c r="D674" s="10" t="s">
        <v>1002</v>
      </c>
      <c r="E674" s="10" t="s">
        <v>2117</v>
      </c>
      <c r="F674" s="9"/>
      <c r="G674" s="9">
        <v>2</v>
      </c>
      <c r="H674" s="9">
        <v>0</v>
      </c>
      <c r="I674" s="9">
        <v>2</v>
      </c>
      <c r="J674" s="11">
        <v>0</v>
      </c>
      <c r="K674" s="24">
        <v>0</v>
      </c>
      <c r="L674" s="24">
        <v>0</v>
      </c>
      <c r="M674" s="24">
        <v>0</v>
      </c>
      <c r="N674" s="9">
        <v>0</v>
      </c>
      <c r="O674" s="9">
        <v>0</v>
      </c>
      <c r="P674" s="9">
        <v>0</v>
      </c>
      <c r="Q674" s="11">
        <v>0</v>
      </c>
      <c r="R674" s="10" t="s">
        <v>176</v>
      </c>
    </row>
    <row r="675" spans="1:18">
      <c r="A675" s="7">
        <v>46216</v>
      </c>
      <c r="B675" s="8">
        <v>46229</v>
      </c>
      <c r="C675" s="9">
        <v>14</v>
      </c>
      <c r="D675" s="10" t="s">
        <v>1002</v>
      </c>
      <c r="E675" s="10" t="s">
        <v>2118</v>
      </c>
      <c r="F675" s="9"/>
      <c r="G675" s="9">
        <v>1</v>
      </c>
      <c r="H675" s="9">
        <v>0</v>
      </c>
      <c r="I675" s="9">
        <v>1</v>
      </c>
      <c r="J675" s="11">
        <v>0</v>
      </c>
      <c r="K675" s="24">
        <v>0</v>
      </c>
      <c r="L675" s="24">
        <v>0</v>
      </c>
      <c r="M675" s="24">
        <v>0</v>
      </c>
      <c r="N675" s="9">
        <v>0</v>
      </c>
      <c r="O675" s="9">
        <v>0</v>
      </c>
      <c r="P675" s="9">
        <v>0</v>
      </c>
      <c r="Q675" s="11">
        <v>0</v>
      </c>
      <c r="R675" s="10" t="s">
        <v>176</v>
      </c>
    </row>
    <row r="676" spans="1:18">
      <c r="A676" s="7">
        <v>46216</v>
      </c>
      <c r="B676" s="8">
        <v>46229</v>
      </c>
      <c r="C676" s="9">
        <v>14</v>
      </c>
      <c r="D676" s="10" t="s">
        <v>1002</v>
      </c>
      <c r="E676" s="10" t="s">
        <v>2119</v>
      </c>
      <c r="F676" s="9"/>
      <c r="G676" s="9">
        <v>1</v>
      </c>
      <c r="H676" s="9">
        <v>0</v>
      </c>
      <c r="I676" s="9">
        <v>1</v>
      </c>
      <c r="J676" s="11">
        <v>0</v>
      </c>
      <c r="K676" s="24">
        <v>0</v>
      </c>
      <c r="L676" s="24">
        <v>0</v>
      </c>
      <c r="M676" s="24">
        <v>0</v>
      </c>
      <c r="N676" s="9">
        <v>0</v>
      </c>
      <c r="O676" s="9">
        <v>0</v>
      </c>
      <c r="P676" s="9">
        <v>0</v>
      </c>
      <c r="Q676" s="11">
        <v>0</v>
      </c>
      <c r="R676" s="10" t="s">
        <v>176</v>
      </c>
    </row>
    <row r="677" spans="1:18">
      <c r="A677" s="7">
        <v>46216</v>
      </c>
      <c r="B677" s="8">
        <v>46229</v>
      </c>
      <c r="C677" s="9">
        <v>14</v>
      </c>
      <c r="D677" s="10" t="s">
        <v>1002</v>
      </c>
      <c r="E677" s="10" t="s">
        <v>2120</v>
      </c>
      <c r="F677" s="9"/>
      <c r="G677" s="9">
        <v>1</v>
      </c>
      <c r="H677" s="9">
        <v>0</v>
      </c>
      <c r="I677" s="9">
        <v>1</v>
      </c>
      <c r="J677" s="11">
        <v>0</v>
      </c>
      <c r="K677" s="24">
        <v>0</v>
      </c>
      <c r="L677" s="24">
        <v>0</v>
      </c>
      <c r="M677" s="24">
        <v>0</v>
      </c>
      <c r="N677" s="9">
        <v>0</v>
      </c>
      <c r="O677" s="9">
        <v>0</v>
      </c>
      <c r="P677" s="9">
        <v>0</v>
      </c>
      <c r="Q677" s="11">
        <v>0</v>
      </c>
      <c r="R677" s="10" t="s">
        <v>176</v>
      </c>
    </row>
    <row r="678" spans="1:18">
      <c r="A678" s="7">
        <v>46216</v>
      </c>
      <c r="B678" s="8">
        <v>46229</v>
      </c>
      <c r="C678" s="9">
        <v>14</v>
      </c>
      <c r="D678" s="10" t="s">
        <v>1002</v>
      </c>
      <c r="E678" s="10" t="s">
        <v>2121</v>
      </c>
      <c r="F678" s="9"/>
      <c r="G678" s="9">
        <v>3</v>
      </c>
      <c r="H678" s="9">
        <v>0</v>
      </c>
      <c r="I678" s="9">
        <v>3</v>
      </c>
      <c r="J678" s="11">
        <v>0</v>
      </c>
      <c r="K678" s="24">
        <v>0</v>
      </c>
      <c r="L678" s="24">
        <v>0</v>
      </c>
      <c r="M678" s="24">
        <v>0</v>
      </c>
      <c r="N678" s="9">
        <v>0</v>
      </c>
      <c r="O678" s="9">
        <v>0</v>
      </c>
      <c r="P678" s="9">
        <v>0</v>
      </c>
      <c r="Q678" s="11">
        <v>0</v>
      </c>
      <c r="R678" s="10" t="s">
        <v>176</v>
      </c>
    </row>
    <row r="679" spans="1:18">
      <c r="A679" s="7">
        <v>46216</v>
      </c>
      <c r="B679" s="8">
        <v>46229</v>
      </c>
      <c r="C679" s="9">
        <v>14</v>
      </c>
      <c r="D679" s="10" t="s">
        <v>1002</v>
      </c>
      <c r="E679" s="10" t="s">
        <v>2122</v>
      </c>
      <c r="F679" s="9"/>
      <c r="G679" s="9">
        <v>1</v>
      </c>
      <c r="H679" s="9">
        <v>0</v>
      </c>
      <c r="I679" s="9">
        <v>1</v>
      </c>
      <c r="J679" s="11">
        <v>0</v>
      </c>
      <c r="K679" s="24">
        <v>0</v>
      </c>
      <c r="L679" s="24">
        <v>0</v>
      </c>
      <c r="M679" s="24">
        <v>0</v>
      </c>
      <c r="N679" s="9">
        <v>0</v>
      </c>
      <c r="O679" s="9">
        <v>0</v>
      </c>
      <c r="P679" s="9">
        <v>0</v>
      </c>
      <c r="Q679" s="11">
        <v>0</v>
      </c>
      <c r="R679" s="10" t="s">
        <v>176</v>
      </c>
    </row>
    <row r="680" spans="1:18">
      <c r="A680" s="7">
        <v>46216</v>
      </c>
      <c r="B680" s="8">
        <v>46229</v>
      </c>
      <c r="C680" s="9">
        <v>14</v>
      </c>
      <c r="D680" s="10" t="s">
        <v>1002</v>
      </c>
      <c r="E680" s="10" t="s">
        <v>2123</v>
      </c>
      <c r="F680" s="9"/>
      <c r="G680" s="9">
        <v>3</v>
      </c>
      <c r="H680" s="9">
        <v>0</v>
      </c>
      <c r="I680" s="9">
        <v>3</v>
      </c>
      <c r="J680" s="11">
        <v>0</v>
      </c>
      <c r="K680" s="24">
        <v>0</v>
      </c>
      <c r="L680" s="24">
        <v>0</v>
      </c>
      <c r="M680" s="24">
        <v>0</v>
      </c>
      <c r="N680" s="9">
        <v>0</v>
      </c>
      <c r="O680" s="9">
        <v>0</v>
      </c>
      <c r="P680" s="9">
        <v>0</v>
      </c>
      <c r="Q680" s="11">
        <v>0</v>
      </c>
      <c r="R680" s="10" t="s">
        <v>176</v>
      </c>
    </row>
    <row r="681" spans="1:18">
      <c r="A681" s="7">
        <v>46216</v>
      </c>
      <c r="B681" s="8">
        <v>46229</v>
      </c>
      <c r="C681" s="9">
        <v>14</v>
      </c>
      <c r="D681" s="10" t="s">
        <v>1002</v>
      </c>
      <c r="E681" s="10" t="s">
        <v>2124</v>
      </c>
      <c r="F681" s="9"/>
      <c r="G681" s="9">
        <v>3</v>
      </c>
      <c r="H681" s="9">
        <v>0</v>
      </c>
      <c r="I681" s="9">
        <v>3</v>
      </c>
      <c r="J681" s="11">
        <v>0</v>
      </c>
      <c r="K681" s="24">
        <v>0</v>
      </c>
      <c r="L681" s="24">
        <v>0</v>
      </c>
      <c r="M681" s="24">
        <v>0</v>
      </c>
      <c r="N681" s="9">
        <v>0</v>
      </c>
      <c r="O681" s="9">
        <v>0</v>
      </c>
      <c r="P681" s="9">
        <v>0</v>
      </c>
      <c r="Q681" s="11">
        <v>0</v>
      </c>
      <c r="R681" s="10" t="s">
        <v>176</v>
      </c>
    </row>
    <row r="682" spans="1:18">
      <c r="A682" s="7">
        <v>46216</v>
      </c>
      <c r="B682" s="8">
        <v>46229</v>
      </c>
      <c r="C682" s="9">
        <v>14</v>
      </c>
      <c r="D682" s="10" t="s">
        <v>1002</v>
      </c>
      <c r="E682" s="10" t="s">
        <v>415</v>
      </c>
      <c r="F682" s="9"/>
      <c r="G682" s="9">
        <v>8</v>
      </c>
      <c r="H682" s="9">
        <v>0</v>
      </c>
      <c r="I682" s="9">
        <v>8</v>
      </c>
      <c r="J682" s="11">
        <v>0</v>
      </c>
      <c r="K682" s="24">
        <v>0.1</v>
      </c>
      <c r="L682" s="24">
        <v>0</v>
      </c>
      <c r="M682" s="24">
        <v>0</v>
      </c>
      <c r="N682" s="9">
        <v>1</v>
      </c>
      <c r="O682" s="9">
        <v>1</v>
      </c>
      <c r="P682" s="9">
        <v>1</v>
      </c>
      <c r="Q682" s="11">
        <v>0.125</v>
      </c>
      <c r="R682" s="10" t="s">
        <v>3075</v>
      </c>
    </row>
    <row r="683" spans="1:18">
      <c r="A683" s="7">
        <v>46216</v>
      </c>
      <c r="B683" s="8">
        <v>46229</v>
      </c>
      <c r="C683" s="9">
        <v>14</v>
      </c>
      <c r="D683" s="10" t="s">
        <v>1002</v>
      </c>
      <c r="E683" s="10" t="s">
        <v>416</v>
      </c>
      <c r="F683" s="9"/>
      <c r="G683" s="9">
        <v>3</v>
      </c>
      <c r="H683" s="9">
        <v>0</v>
      </c>
      <c r="I683" s="9">
        <v>3</v>
      </c>
      <c r="J683" s="11">
        <v>0</v>
      </c>
      <c r="K683" s="24">
        <v>0.1</v>
      </c>
      <c r="L683" s="24">
        <v>0</v>
      </c>
      <c r="M683" s="24">
        <v>0</v>
      </c>
      <c r="N683" s="9">
        <v>0</v>
      </c>
      <c r="O683" s="9">
        <v>0</v>
      </c>
      <c r="P683" s="9">
        <v>0</v>
      </c>
      <c r="Q683" s="11">
        <v>0</v>
      </c>
      <c r="R683" s="10" t="s">
        <v>176</v>
      </c>
    </row>
    <row r="684" spans="1:18">
      <c r="A684" s="7">
        <v>46216</v>
      </c>
      <c r="B684" s="8">
        <v>46229</v>
      </c>
      <c r="C684" s="9">
        <v>14</v>
      </c>
      <c r="D684" s="10" t="s">
        <v>1002</v>
      </c>
      <c r="E684" s="10" t="s">
        <v>2125</v>
      </c>
      <c r="F684" s="9"/>
      <c r="G684" s="9">
        <v>1</v>
      </c>
      <c r="H684" s="9">
        <v>0</v>
      </c>
      <c r="I684" s="9">
        <v>1</v>
      </c>
      <c r="J684" s="11">
        <v>0</v>
      </c>
      <c r="K684" s="24">
        <v>0.1</v>
      </c>
      <c r="L684" s="24">
        <v>0</v>
      </c>
      <c r="M684" s="24">
        <v>0</v>
      </c>
      <c r="N684" s="9">
        <v>0</v>
      </c>
      <c r="O684" s="9">
        <v>0</v>
      </c>
      <c r="P684" s="9">
        <v>0</v>
      </c>
      <c r="Q684" s="11">
        <v>0</v>
      </c>
      <c r="R684" s="10" t="s">
        <v>176</v>
      </c>
    </row>
    <row r="685" spans="1:18">
      <c r="A685" s="7">
        <v>46216</v>
      </c>
      <c r="B685" s="8">
        <v>46229</v>
      </c>
      <c r="C685" s="9">
        <v>14</v>
      </c>
      <c r="D685" s="10" t="s">
        <v>1002</v>
      </c>
      <c r="E685" s="10" t="s">
        <v>417</v>
      </c>
      <c r="F685" s="9"/>
      <c r="G685" s="9">
        <v>1</v>
      </c>
      <c r="H685" s="9">
        <v>0</v>
      </c>
      <c r="I685" s="9">
        <v>1</v>
      </c>
      <c r="J685" s="11">
        <v>0</v>
      </c>
      <c r="K685" s="24">
        <v>0.1</v>
      </c>
      <c r="L685" s="24">
        <v>0</v>
      </c>
      <c r="M685" s="24">
        <v>0</v>
      </c>
      <c r="N685" s="9">
        <v>0</v>
      </c>
      <c r="O685" s="9">
        <v>0</v>
      </c>
      <c r="P685" s="9">
        <v>0</v>
      </c>
      <c r="Q685" s="11">
        <v>0</v>
      </c>
      <c r="R685" s="10" t="s">
        <v>176</v>
      </c>
    </row>
    <row r="686" spans="1:18">
      <c r="A686" s="7">
        <v>46216</v>
      </c>
      <c r="B686" s="8">
        <v>46229</v>
      </c>
      <c r="C686" s="9">
        <v>14</v>
      </c>
      <c r="D686" s="10" t="s">
        <v>1002</v>
      </c>
      <c r="E686" s="10" t="s">
        <v>2126</v>
      </c>
      <c r="F686" s="9"/>
      <c r="G686" s="9">
        <v>1</v>
      </c>
      <c r="H686" s="9">
        <v>0</v>
      </c>
      <c r="I686" s="9">
        <v>1</v>
      </c>
      <c r="J686" s="11">
        <v>0</v>
      </c>
      <c r="K686" s="24">
        <v>0.1</v>
      </c>
      <c r="L686" s="24">
        <v>0</v>
      </c>
      <c r="M686" s="24">
        <v>0</v>
      </c>
      <c r="N686" s="9">
        <v>0</v>
      </c>
      <c r="O686" s="9">
        <v>0</v>
      </c>
      <c r="P686" s="9">
        <v>0</v>
      </c>
      <c r="Q686" s="11">
        <v>0</v>
      </c>
      <c r="R686" s="10" t="s">
        <v>176</v>
      </c>
    </row>
    <row r="687" spans="1:18">
      <c r="A687" s="7">
        <v>46216</v>
      </c>
      <c r="B687" s="8">
        <v>46229</v>
      </c>
      <c r="C687" s="9">
        <v>14</v>
      </c>
      <c r="D687" s="10" t="s">
        <v>1002</v>
      </c>
      <c r="E687" s="10" t="s">
        <v>2127</v>
      </c>
      <c r="F687" s="9"/>
      <c r="G687" s="9">
        <v>1</v>
      </c>
      <c r="H687" s="9">
        <v>0</v>
      </c>
      <c r="I687" s="9">
        <v>1</v>
      </c>
      <c r="J687" s="11">
        <v>0</v>
      </c>
      <c r="K687" s="24">
        <v>0.1</v>
      </c>
      <c r="L687" s="24">
        <v>0</v>
      </c>
      <c r="M687" s="24">
        <v>0</v>
      </c>
      <c r="N687" s="9">
        <v>0</v>
      </c>
      <c r="O687" s="9">
        <v>0</v>
      </c>
      <c r="P687" s="9">
        <v>0</v>
      </c>
      <c r="Q687" s="11">
        <v>0</v>
      </c>
      <c r="R687" s="10" t="s">
        <v>176</v>
      </c>
    </row>
    <row r="688" spans="1:18">
      <c r="A688" s="7">
        <v>46216</v>
      </c>
      <c r="B688" s="8">
        <v>46229</v>
      </c>
      <c r="C688" s="9">
        <v>14</v>
      </c>
      <c r="D688" s="10" t="s">
        <v>1002</v>
      </c>
      <c r="E688" s="10" t="s">
        <v>418</v>
      </c>
      <c r="F688" s="9"/>
      <c r="G688" s="9">
        <v>2</v>
      </c>
      <c r="H688" s="9">
        <v>0</v>
      </c>
      <c r="I688" s="9">
        <v>2</v>
      </c>
      <c r="J688" s="11">
        <v>0</v>
      </c>
      <c r="K688" s="24">
        <v>0.1</v>
      </c>
      <c r="L688" s="24">
        <v>0</v>
      </c>
      <c r="M688" s="24">
        <v>0</v>
      </c>
      <c r="N688" s="9">
        <v>0</v>
      </c>
      <c r="O688" s="9">
        <v>0</v>
      </c>
      <c r="P688" s="9">
        <v>0</v>
      </c>
      <c r="Q688" s="11">
        <v>0</v>
      </c>
      <c r="R688" s="10" t="s">
        <v>176</v>
      </c>
    </row>
    <row r="689" spans="1:18">
      <c r="A689" s="7">
        <v>46216</v>
      </c>
      <c r="B689" s="8">
        <v>46229</v>
      </c>
      <c r="C689" s="9">
        <v>14</v>
      </c>
      <c r="D689" s="10" t="s">
        <v>1002</v>
      </c>
      <c r="E689" s="10" t="s">
        <v>419</v>
      </c>
      <c r="F689" s="9"/>
      <c r="G689" s="9">
        <v>1</v>
      </c>
      <c r="H689" s="9">
        <v>0</v>
      </c>
      <c r="I689" s="9">
        <v>1</v>
      </c>
      <c r="J689" s="11">
        <v>0</v>
      </c>
      <c r="K689" s="24">
        <v>0.1</v>
      </c>
      <c r="L689" s="24">
        <v>0</v>
      </c>
      <c r="M689" s="24">
        <v>0</v>
      </c>
      <c r="N689" s="9">
        <v>0</v>
      </c>
      <c r="O689" s="9">
        <v>0</v>
      </c>
      <c r="P689" s="9">
        <v>0</v>
      </c>
      <c r="Q689" s="11">
        <v>0</v>
      </c>
      <c r="R689" s="10" t="s">
        <v>176</v>
      </c>
    </row>
    <row r="690" spans="1:18">
      <c r="A690" s="7">
        <v>46216</v>
      </c>
      <c r="B690" s="8">
        <v>46229</v>
      </c>
      <c r="C690" s="9">
        <v>14</v>
      </c>
      <c r="D690" s="10" t="s">
        <v>1002</v>
      </c>
      <c r="E690" s="10" t="s">
        <v>420</v>
      </c>
      <c r="F690" s="9"/>
      <c r="G690" s="9">
        <v>2</v>
      </c>
      <c r="H690" s="9">
        <v>0</v>
      </c>
      <c r="I690" s="9">
        <v>2</v>
      </c>
      <c r="J690" s="11">
        <v>0</v>
      </c>
      <c r="K690" s="24">
        <v>0.1</v>
      </c>
      <c r="L690" s="24">
        <v>0</v>
      </c>
      <c r="M690" s="24">
        <v>0</v>
      </c>
      <c r="N690" s="9">
        <v>0</v>
      </c>
      <c r="O690" s="9">
        <v>0</v>
      </c>
      <c r="P690" s="9">
        <v>0</v>
      </c>
      <c r="Q690" s="11">
        <v>0</v>
      </c>
      <c r="R690" s="10" t="s">
        <v>176</v>
      </c>
    </row>
    <row r="691" spans="1:18">
      <c r="A691" s="7">
        <v>46216</v>
      </c>
      <c r="B691" s="8">
        <v>46229</v>
      </c>
      <c r="C691" s="9">
        <v>14</v>
      </c>
      <c r="D691" s="10" t="s">
        <v>1002</v>
      </c>
      <c r="E691" s="10" t="s">
        <v>421</v>
      </c>
      <c r="F691" s="9"/>
      <c r="G691" s="9">
        <v>7</v>
      </c>
      <c r="H691" s="9">
        <v>0</v>
      </c>
      <c r="I691" s="9">
        <v>7</v>
      </c>
      <c r="J691" s="11">
        <v>0</v>
      </c>
      <c r="K691" s="24">
        <v>0.1</v>
      </c>
      <c r="L691" s="24">
        <v>0</v>
      </c>
      <c r="M691" s="24">
        <v>0</v>
      </c>
      <c r="N691" s="9">
        <v>0</v>
      </c>
      <c r="O691" s="9">
        <v>0</v>
      </c>
      <c r="P691" s="9">
        <v>0</v>
      </c>
      <c r="Q691" s="11">
        <v>0</v>
      </c>
      <c r="R691" s="10" t="s">
        <v>176</v>
      </c>
    </row>
    <row r="692" spans="1:18">
      <c r="A692" s="7">
        <v>46216</v>
      </c>
      <c r="B692" s="8">
        <v>46229</v>
      </c>
      <c r="C692" s="9">
        <v>14</v>
      </c>
      <c r="D692" s="10" t="s">
        <v>1002</v>
      </c>
      <c r="E692" s="10" t="s">
        <v>2128</v>
      </c>
      <c r="F692" s="9"/>
      <c r="G692" s="9">
        <v>4</v>
      </c>
      <c r="H692" s="9">
        <v>0</v>
      </c>
      <c r="I692" s="9">
        <v>4</v>
      </c>
      <c r="J692" s="11">
        <v>0</v>
      </c>
      <c r="K692" s="24">
        <v>0.1</v>
      </c>
      <c r="L692" s="24">
        <v>0</v>
      </c>
      <c r="M692" s="24">
        <v>0</v>
      </c>
      <c r="N692" s="9">
        <v>0</v>
      </c>
      <c r="O692" s="9">
        <v>0</v>
      </c>
      <c r="P692" s="9">
        <v>0</v>
      </c>
      <c r="Q692" s="11">
        <v>0</v>
      </c>
      <c r="R692" s="10" t="s">
        <v>176</v>
      </c>
    </row>
    <row r="693" spans="1:18">
      <c r="A693" s="7">
        <v>46216</v>
      </c>
      <c r="B693" s="8">
        <v>46229</v>
      </c>
      <c r="C693" s="9">
        <v>14</v>
      </c>
      <c r="D693" s="10" t="s">
        <v>1002</v>
      </c>
      <c r="E693" s="10" t="s">
        <v>2129</v>
      </c>
      <c r="F693" s="9"/>
      <c r="G693" s="9">
        <v>7</v>
      </c>
      <c r="H693" s="9">
        <v>0</v>
      </c>
      <c r="I693" s="9">
        <v>7</v>
      </c>
      <c r="J693" s="11">
        <v>0</v>
      </c>
      <c r="K693" s="24">
        <v>0.1</v>
      </c>
      <c r="L693" s="24">
        <v>0</v>
      </c>
      <c r="M693" s="24">
        <v>0</v>
      </c>
      <c r="N693" s="9">
        <v>0</v>
      </c>
      <c r="O693" s="9">
        <v>0</v>
      </c>
      <c r="P693" s="9">
        <v>0</v>
      </c>
      <c r="Q693" s="11">
        <v>0</v>
      </c>
      <c r="R693" s="10" t="s">
        <v>176</v>
      </c>
    </row>
    <row r="694" spans="1:18">
      <c r="A694" s="7">
        <v>46216</v>
      </c>
      <c r="B694" s="8">
        <v>46229</v>
      </c>
      <c r="C694" s="9">
        <v>14</v>
      </c>
      <c r="D694" s="10" t="s">
        <v>1002</v>
      </c>
      <c r="E694" s="10" t="s">
        <v>2130</v>
      </c>
      <c r="F694" s="9"/>
      <c r="G694" s="9">
        <v>3</v>
      </c>
      <c r="H694" s="9">
        <v>0</v>
      </c>
      <c r="I694" s="9">
        <v>3</v>
      </c>
      <c r="J694" s="11">
        <v>0</v>
      </c>
      <c r="K694" s="24">
        <v>0.1</v>
      </c>
      <c r="L694" s="24">
        <v>0</v>
      </c>
      <c r="M694" s="24">
        <v>0</v>
      </c>
      <c r="N694" s="9">
        <v>0</v>
      </c>
      <c r="O694" s="9">
        <v>0</v>
      </c>
      <c r="P694" s="9">
        <v>0</v>
      </c>
      <c r="Q694" s="11">
        <v>0</v>
      </c>
      <c r="R694" s="10" t="s">
        <v>176</v>
      </c>
    </row>
    <row r="695" spans="1:18">
      <c r="A695" s="7">
        <v>46216</v>
      </c>
      <c r="B695" s="8">
        <v>46229</v>
      </c>
      <c r="C695" s="9">
        <v>14</v>
      </c>
      <c r="D695" s="10" t="s">
        <v>1002</v>
      </c>
      <c r="E695" s="10" t="s">
        <v>422</v>
      </c>
      <c r="F695" s="9"/>
      <c r="G695" s="9">
        <v>2</v>
      </c>
      <c r="H695" s="9">
        <v>0</v>
      </c>
      <c r="I695" s="9">
        <v>2</v>
      </c>
      <c r="J695" s="11">
        <v>0</v>
      </c>
      <c r="K695" s="24">
        <v>0.1</v>
      </c>
      <c r="L695" s="24">
        <v>0</v>
      </c>
      <c r="M695" s="24">
        <v>0</v>
      </c>
      <c r="N695" s="9">
        <v>0</v>
      </c>
      <c r="O695" s="9">
        <v>0</v>
      </c>
      <c r="P695" s="9">
        <v>0</v>
      </c>
      <c r="Q695" s="11">
        <v>0</v>
      </c>
      <c r="R695" s="10" t="s">
        <v>176</v>
      </c>
    </row>
    <row r="696" spans="1:18">
      <c r="A696" s="7">
        <v>46216</v>
      </c>
      <c r="B696" s="8">
        <v>46229</v>
      </c>
      <c r="C696" s="9">
        <v>14</v>
      </c>
      <c r="D696" s="10" t="s">
        <v>1002</v>
      </c>
      <c r="E696" s="10" t="s">
        <v>423</v>
      </c>
      <c r="F696" s="9"/>
      <c r="G696" s="9">
        <v>8</v>
      </c>
      <c r="H696" s="9">
        <v>0</v>
      </c>
      <c r="I696" s="9">
        <v>8</v>
      </c>
      <c r="J696" s="11">
        <v>0</v>
      </c>
      <c r="K696" s="24">
        <v>0.1</v>
      </c>
      <c r="L696" s="24">
        <v>0</v>
      </c>
      <c r="M696" s="24">
        <v>0</v>
      </c>
      <c r="N696" s="9">
        <v>0</v>
      </c>
      <c r="O696" s="9">
        <v>0</v>
      </c>
      <c r="P696" s="9">
        <v>0</v>
      </c>
      <c r="Q696" s="11">
        <v>0</v>
      </c>
      <c r="R696" s="10" t="s">
        <v>176</v>
      </c>
    </row>
    <row r="697" spans="1:18">
      <c r="A697" s="7">
        <v>46216</v>
      </c>
      <c r="B697" s="8">
        <v>46229</v>
      </c>
      <c r="C697" s="9">
        <v>14</v>
      </c>
      <c r="D697" s="10" t="s">
        <v>1002</v>
      </c>
      <c r="E697" s="10" t="s">
        <v>2131</v>
      </c>
      <c r="F697" s="9"/>
      <c r="G697" s="9">
        <v>1</v>
      </c>
      <c r="H697" s="9">
        <v>0</v>
      </c>
      <c r="I697" s="9">
        <v>1</v>
      </c>
      <c r="J697" s="11">
        <v>0</v>
      </c>
      <c r="K697" s="24">
        <v>0</v>
      </c>
      <c r="L697" s="24">
        <v>0</v>
      </c>
      <c r="M697" s="24">
        <v>0</v>
      </c>
      <c r="N697" s="9">
        <v>0</v>
      </c>
      <c r="O697" s="9">
        <v>0</v>
      </c>
      <c r="P697" s="9">
        <v>0</v>
      </c>
      <c r="Q697" s="11">
        <v>0</v>
      </c>
      <c r="R697" s="10" t="s">
        <v>176</v>
      </c>
    </row>
    <row r="698" spans="1:18">
      <c r="A698" s="7">
        <v>46216</v>
      </c>
      <c r="B698" s="8">
        <v>46229</v>
      </c>
      <c r="C698" s="9">
        <v>14</v>
      </c>
      <c r="D698" s="10" t="s">
        <v>1002</v>
      </c>
      <c r="E698" s="10" t="s">
        <v>2132</v>
      </c>
      <c r="F698" s="9"/>
      <c r="G698" s="9">
        <v>6</v>
      </c>
      <c r="H698" s="9">
        <v>0</v>
      </c>
      <c r="I698" s="9">
        <v>6</v>
      </c>
      <c r="J698" s="11">
        <v>0</v>
      </c>
      <c r="K698" s="24">
        <v>0.1</v>
      </c>
      <c r="L698" s="24">
        <v>0</v>
      </c>
      <c r="M698" s="24">
        <v>0</v>
      </c>
      <c r="N698" s="9">
        <v>0</v>
      </c>
      <c r="O698" s="9">
        <v>0</v>
      </c>
      <c r="P698" s="9">
        <v>0</v>
      </c>
      <c r="Q698" s="11">
        <v>0</v>
      </c>
      <c r="R698" s="10" t="s">
        <v>176</v>
      </c>
    </row>
    <row r="699" spans="1:18">
      <c r="A699" s="7">
        <v>46216</v>
      </c>
      <c r="B699" s="8">
        <v>46229</v>
      </c>
      <c r="C699" s="9">
        <v>14</v>
      </c>
      <c r="D699" s="10" t="s">
        <v>1002</v>
      </c>
      <c r="E699" s="10" t="s">
        <v>2133</v>
      </c>
      <c r="F699" s="9"/>
      <c r="G699" s="9">
        <v>3</v>
      </c>
      <c r="H699" s="9">
        <v>0</v>
      </c>
      <c r="I699" s="9">
        <v>3</v>
      </c>
      <c r="J699" s="11">
        <v>0</v>
      </c>
      <c r="K699" s="24">
        <v>0.1</v>
      </c>
      <c r="L699" s="24">
        <v>0</v>
      </c>
      <c r="M699" s="24">
        <v>0</v>
      </c>
      <c r="N699" s="9">
        <v>0</v>
      </c>
      <c r="O699" s="9">
        <v>0</v>
      </c>
      <c r="P699" s="9">
        <v>0</v>
      </c>
      <c r="Q699" s="11">
        <v>0</v>
      </c>
      <c r="R699" s="10" t="s">
        <v>176</v>
      </c>
    </row>
    <row r="700" spans="1:18">
      <c r="A700" s="7">
        <v>46216</v>
      </c>
      <c r="B700" s="8">
        <v>46229</v>
      </c>
      <c r="C700" s="9">
        <v>14</v>
      </c>
      <c r="D700" s="10" t="s">
        <v>1002</v>
      </c>
      <c r="E700" s="10" t="s">
        <v>2134</v>
      </c>
      <c r="F700" s="9"/>
      <c r="G700" s="9">
        <v>1</v>
      </c>
      <c r="H700" s="9">
        <v>0</v>
      </c>
      <c r="I700" s="9">
        <v>1</v>
      </c>
      <c r="J700" s="11">
        <v>0</v>
      </c>
      <c r="K700" s="24">
        <v>0.1</v>
      </c>
      <c r="L700" s="24">
        <v>0</v>
      </c>
      <c r="M700" s="24">
        <v>0</v>
      </c>
      <c r="N700" s="9">
        <v>0</v>
      </c>
      <c r="O700" s="9">
        <v>0</v>
      </c>
      <c r="P700" s="9">
        <v>0</v>
      </c>
      <c r="Q700" s="11">
        <v>0</v>
      </c>
      <c r="R700" s="10" t="s">
        <v>176</v>
      </c>
    </row>
    <row r="701" spans="1:18">
      <c r="A701" s="7">
        <v>46216</v>
      </c>
      <c r="B701" s="8">
        <v>46229</v>
      </c>
      <c r="C701" s="9">
        <v>14</v>
      </c>
      <c r="D701" s="10" t="s">
        <v>1002</v>
      </c>
      <c r="E701" s="10" t="s">
        <v>424</v>
      </c>
      <c r="F701" s="9"/>
      <c r="G701" s="9">
        <v>1</v>
      </c>
      <c r="H701" s="9">
        <v>0</v>
      </c>
      <c r="I701" s="9">
        <v>1</v>
      </c>
      <c r="J701" s="11">
        <v>0</v>
      </c>
      <c r="K701" s="24">
        <v>0.1</v>
      </c>
      <c r="L701" s="24">
        <v>0</v>
      </c>
      <c r="M701" s="24">
        <v>0</v>
      </c>
      <c r="N701" s="9">
        <v>0</v>
      </c>
      <c r="O701" s="9">
        <v>0</v>
      </c>
      <c r="P701" s="9">
        <v>0</v>
      </c>
      <c r="Q701" s="11">
        <v>0</v>
      </c>
      <c r="R701" s="10" t="s">
        <v>176</v>
      </c>
    </row>
    <row r="702" spans="1:18">
      <c r="A702" s="7">
        <v>46216</v>
      </c>
      <c r="B702" s="8">
        <v>46229</v>
      </c>
      <c r="C702" s="9">
        <v>14</v>
      </c>
      <c r="D702" s="10" t="s">
        <v>1002</v>
      </c>
      <c r="E702" s="10" t="s">
        <v>2135</v>
      </c>
      <c r="F702" s="9"/>
      <c r="G702" s="9">
        <v>1</v>
      </c>
      <c r="H702" s="9">
        <v>0</v>
      </c>
      <c r="I702" s="9">
        <v>1</v>
      </c>
      <c r="J702" s="11">
        <v>0</v>
      </c>
      <c r="K702" s="24">
        <v>0.1</v>
      </c>
      <c r="L702" s="24">
        <v>0</v>
      </c>
      <c r="M702" s="24">
        <v>0</v>
      </c>
      <c r="N702" s="9">
        <v>0</v>
      </c>
      <c r="O702" s="9">
        <v>0</v>
      </c>
      <c r="P702" s="9">
        <v>0</v>
      </c>
      <c r="Q702" s="11">
        <v>0</v>
      </c>
      <c r="R702" s="10" t="s">
        <v>176</v>
      </c>
    </row>
    <row r="703" spans="1:18">
      <c r="A703" s="7">
        <v>46216</v>
      </c>
      <c r="B703" s="8">
        <v>46229</v>
      </c>
      <c r="C703" s="9">
        <v>14</v>
      </c>
      <c r="D703" s="10" t="s">
        <v>1002</v>
      </c>
      <c r="E703" s="10" t="s">
        <v>2136</v>
      </c>
      <c r="F703" s="9"/>
      <c r="G703" s="9">
        <v>1</v>
      </c>
      <c r="H703" s="9">
        <v>0</v>
      </c>
      <c r="I703" s="9">
        <v>1</v>
      </c>
      <c r="J703" s="11">
        <v>0</v>
      </c>
      <c r="K703" s="24">
        <v>0.1</v>
      </c>
      <c r="L703" s="24">
        <v>0</v>
      </c>
      <c r="M703" s="24">
        <v>0</v>
      </c>
      <c r="N703" s="9">
        <v>0</v>
      </c>
      <c r="O703" s="9">
        <v>0</v>
      </c>
      <c r="P703" s="9">
        <v>0</v>
      </c>
      <c r="Q703" s="11">
        <v>0</v>
      </c>
      <c r="R703" s="10" t="s">
        <v>176</v>
      </c>
    </row>
    <row r="704" spans="1:18">
      <c r="A704" s="7">
        <v>46216</v>
      </c>
      <c r="B704" s="8">
        <v>46229</v>
      </c>
      <c r="C704" s="9">
        <v>14</v>
      </c>
      <c r="D704" s="10" t="s">
        <v>1002</v>
      </c>
      <c r="E704" s="10" t="s">
        <v>2137</v>
      </c>
      <c r="F704" s="9"/>
      <c r="G704" s="9">
        <v>1</v>
      </c>
      <c r="H704" s="9">
        <v>0</v>
      </c>
      <c r="I704" s="9">
        <v>1</v>
      </c>
      <c r="J704" s="11">
        <v>0</v>
      </c>
      <c r="K704" s="24">
        <v>0.1</v>
      </c>
      <c r="L704" s="24">
        <v>0</v>
      </c>
      <c r="M704" s="24">
        <v>0</v>
      </c>
      <c r="N704" s="9">
        <v>0</v>
      </c>
      <c r="O704" s="9">
        <v>0</v>
      </c>
      <c r="P704" s="9">
        <v>0</v>
      </c>
      <c r="Q704" s="11">
        <v>0</v>
      </c>
      <c r="R704" s="10" t="s">
        <v>176</v>
      </c>
    </row>
    <row r="705" spans="1:18">
      <c r="A705" s="7">
        <v>46216</v>
      </c>
      <c r="B705" s="8">
        <v>46229</v>
      </c>
      <c r="C705" s="9">
        <v>14</v>
      </c>
      <c r="D705" s="10" t="s">
        <v>1002</v>
      </c>
      <c r="E705" s="10" t="s">
        <v>2138</v>
      </c>
      <c r="F705" s="9"/>
      <c r="G705" s="9">
        <v>5</v>
      </c>
      <c r="H705" s="9">
        <v>0</v>
      </c>
      <c r="I705" s="9">
        <v>5</v>
      </c>
      <c r="J705" s="11">
        <v>0</v>
      </c>
      <c r="K705" s="24">
        <v>0.1</v>
      </c>
      <c r="L705" s="24">
        <v>0</v>
      </c>
      <c r="M705" s="24">
        <v>0</v>
      </c>
      <c r="N705" s="9">
        <v>0</v>
      </c>
      <c r="O705" s="9">
        <v>0</v>
      </c>
      <c r="P705" s="9">
        <v>0</v>
      </c>
      <c r="Q705" s="11">
        <v>0</v>
      </c>
      <c r="R705" s="10" t="s">
        <v>176</v>
      </c>
    </row>
    <row r="706" spans="1:18">
      <c r="A706" s="7">
        <v>46216</v>
      </c>
      <c r="B706" s="8">
        <v>46229</v>
      </c>
      <c r="C706" s="9">
        <v>14</v>
      </c>
      <c r="D706" s="10" t="s">
        <v>1002</v>
      </c>
      <c r="E706" s="10" t="s">
        <v>425</v>
      </c>
      <c r="F706" s="9"/>
      <c r="G706" s="9">
        <v>7</v>
      </c>
      <c r="H706" s="9">
        <v>0</v>
      </c>
      <c r="I706" s="9">
        <v>7</v>
      </c>
      <c r="J706" s="11">
        <v>0</v>
      </c>
      <c r="K706" s="24">
        <v>0.1</v>
      </c>
      <c r="L706" s="24">
        <v>0</v>
      </c>
      <c r="M706" s="24">
        <v>0</v>
      </c>
      <c r="N706" s="9">
        <v>0</v>
      </c>
      <c r="O706" s="9">
        <v>0</v>
      </c>
      <c r="P706" s="9">
        <v>0</v>
      </c>
      <c r="Q706" s="11">
        <v>0</v>
      </c>
      <c r="R706" s="10" t="s">
        <v>176</v>
      </c>
    </row>
    <row r="707" spans="1:18">
      <c r="A707" s="7">
        <v>46216</v>
      </c>
      <c r="B707" s="8">
        <v>46229</v>
      </c>
      <c r="C707" s="9">
        <v>14</v>
      </c>
      <c r="D707" s="10" t="s">
        <v>1002</v>
      </c>
      <c r="E707" s="10" t="s">
        <v>1166</v>
      </c>
      <c r="F707" s="9"/>
      <c r="G707" s="9">
        <v>5</v>
      </c>
      <c r="H707" s="9">
        <v>0</v>
      </c>
      <c r="I707" s="9">
        <v>5</v>
      </c>
      <c r="J707" s="11">
        <v>0</v>
      </c>
      <c r="K707" s="24">
        <v>0.1</v>
      </c>
      <c r="L707" s="24">
        <v>0</v>
      </c>
      <c r="M707" s="24">
        <v>0</v>
      </c>
      <c r="N707" s="9">
        <v>0</v>
      </c>
      <c r="O707" s="9">
        <v>0</v>
      </c>
      <c r="P707" s="9">
        <v>0</v>
      </c>
      <c r="Q707" s="11">
        <v>0</v>
      </c>
      <c r="R707" s="10" t="s">
        <v>176</v>
      </c>
    </row>
    <row r="708" spans="1:18">
      <c r="A708" s="7">
        <v>46216</v>
      </c>
      <c r="B708" s="8">
        <v>46229</v>
      </c>
      <c r="C708" s="9">
        <v>14</v>
      </c>
      <c r="D708" s="10" t="s">
        <v>1002</v>
      </c>
      <c r="E708" s="10" t="s">
        <v>1376</v>
      </c>
      <c r="F708" s="9"/>
      <c r="G708" s="9">
        <v>3</v>
      </c>
      <c r="H708" s="9">
        <v>0</v>
      </c>
      <c r="I708" s="9">
        <v>3</v>
      </c>
      <c r="J708" s="11">
        <v>0</v>
      </c>
      <c r="K708" s="24">
        <v>0.1</v>
      </c>
      <c r="L708" s="24">
        <v>0</v>
      </c>
      <c r="M708" s="24">
        <v>0</v>
      </c>
      <c r="N708" s="9">
        <v>0</v>
      </c>
      <c r="O708" s="9">
        <v>0</v>
      </c>
      <c r="P708" s="9">
        <v>0</v>
      </c>
      <c r="Q708" s="11">
        <v>0</v>
      </c>
      <c r="R708" s="10" t="s">
        <v>176</v>
      </c>
    </row>
    <row r="709" spans="1:18">
      <c r="A709" s="7">
        <v>46216</v>
      </c>
      <c r="B709" s="8">
        <v>46229</v>
      </c>
      <c r="C709" s="9">
        <v>14</v>
      </c>
      <c r="D709" s="10" t="s">
        <v>1002</v>
      </c>
      <c r="E709" s="10" t="s">
        <v>426</v>
      </c>
      <c r="F709" s="9"/>
      <c r="G709" s="9">
        <v>4</v>
      </c>
      <c r="H709" s="9">
        <v>0</v>
      </c>
      <c r="I709" s="9">
        <v>4</v>
      </c>
      <c r="J709" s="11">
        <v>0</v>
      </c>
      <c r="K709" s="24">
        <v>0.1</v>
      </c>
      <c r="L709" s="24">
        <v>0</v>
      </c>
      <c r="M709" s="24">
        <v>0</v>
      </c>
      <c r="N709" s="9">
        <v>0</v>
      </c>
      <c r="O709" s="9">
        <v>0</v>
      </c>
      <c r="P709" s="9">
        <v>0</v>
      </c>
      <c r="Q709" s="11">
        <v>0</v>
      </c>
      <c r="R709" s="10" t="s">
        <v>176</v>
      </c>
    </row>
    <row r="710" spans="1:18">
      <c r="A710" s="7">
        <v>46216</v>
      </c>
      <c r="B710" s="8">
        <v>46229</v>
      </c>
      <c r="C710" s="9">
        <v>14</v>
      </c>
      <c r="D710" s="10" t="s">
        <v>1002</v>
      </c>
      <c r="E710" s="10" t="s">
        <v>1168</v>
      </c>
      <c r="F710" s="9"/>
      <c r="G710" s="9">
        <v>5</v>
      </c>
      <c r="H710" s="9">
        <v>0</v>
      </c>
      <c r="I710" s="9">
        <v>5</v>
      </c>
      <c r="J710" s="11">
        <v>0</v>
      </c>
      <c r="K710" s="24">
        <v>0.1</v>
      </c>
      <c r="L710" s="24">
        <v>0</v>
      </c>
      <c r="M710" s="24">
        <v>0</v>
      </c>
      <c r="N710" s="9">
        <v>0</v>
      </c>
      <c r="O710" s="9">
        <v>0</v>
      </c>
      <c r="P710" s="9">
        <v>0</v>
      </c>
      <c r="Q710" s="11">
        <v>0</v>
      </c>
      <c r="R710" s="10" t="s">
        <v>176</v>
      </c>
    </row>
    <row r="711" spans="1:18">
      <c r="A711" s="7">
        <v>46216</v>
      </c>
      <c r="B711" s="8">
        <v>46229</v>
      </c>
      <c r="C711" s="9">
        <v>14</v>
      </c>
      <c r="D711" s="10" t="s">
        <v>1002</v>
      </c>
      <c r="E711" s="10" t="s">
        <v>428</v>
      </c>
      <c r="F711" s="9"/>
      <c r="G711" s="9">
        <v>2</v>
      </c>
      <c r="H711" s="9">
        <v>0</v>
      </c>
      <c r="I711" s="9">
        <v>2</v>
      </c>
      <c r="J711" s="11">
        <v>0</v>
      </c>
      <c r="K711" s="24">
        <v>0.1</v>
      </c>
      <c r="L711" s="24">
        <v>0</v>
      </c>
      <c r="M711" s="24">
        <v>0</v>
      </c>
      <c r="N711" s="9">
        <v>0</v>
      </c>
      <c r="O711" s="9">
        <v>0</v>
      </c>
      <c r="P711" s="9">
        <v>0</v>
      </c>
      <c r="Q711" s="11">
        <v>0</v>
      </c>
      <c r="R711" s="10" t="s">
        <v>176</v>
      </c>
    </row>
    <row r="712" spans="1:18">
      <c r="A712" s="7">
        <v>46216</v>
      </c>
      <c r="B712" s="8">
        <v>46229</v>
      </c>
      <c r="C712" s="9">
        <v>14</v>
      </c>
      <c r="D712" s="10" t="s">
        <v>1002</v>
      </c>
      <c r="E712" s="10" t="s">
        <v>430</v>
      </c>
      <c r="F712" s="9"/>
      <c r="G712" s="9">
        <v>5</v>
      </c>
      <c r="H712" s="9">
        <v>0</v>
      </c>
      <c r="I712" s="9">
        <v>5</v>
      </c>
      <c r="J712" s="11">
        <v>0</v>
      </c>
      <c r="K712" s="24">
        <v>0.1</v>
      </c>
      <c r="L712" s="24">
        <v>0</v>
      </c>
      <c r="M712" s="24">
        <v>0</v>
      </c>
      <c r="N712" s="9">
        <v>0</v>
      </c>
      <c r="O712" s="9">
        <v>0</v>
      </c>
      <c r="P712" s="9">
        <v>0</v>
      </c>
      <c r="Q712" s="11">
        <v>0</v>
      </c>
      <c r="R712" s="10" t="s">
        <v>176</v>
      </c>
    </row>
    <row r="713" spans="1:18">
      <c r="A713" s="7">
        <v>46216</v>
      </c>
      <c r="B713" s="8">
        <v>46229</v>
      </c>
      <c r="C713" s="9">
        <v>14</v>
      </c>
      <c r="D713" s="10" t="s">
        <v>1002</v>
      </c>
      <c r="E713" s="10" t="s">
        <v>431</v>
      </c>
      <c r="F713" s="9"/>
      <c r="G713" s="9">
        <v>5</v>
      </c>
      <c r="H713" s="9">
        <v>0</v>
      </c>
      <c r="I713" s="9">
        <v>5</v>
      </c>
      <c r="J713" s="11">
        <v>0</v>
      </c>
      <c r="K713" s="24">
        <v>0.1</v>
      </c>
      <c r="L713" s="24">
        <v>0</v>
      </c>
      <c r="M713" s="24">
        <v>0</v>
      </c>
      <c r="N713" s="9">
        <v>1</v>
      </c>
      <c r="O713" s="9">
        <v>1</v>
      </c>
      <c r="P713" s="9">
        <v>1</v>
      </c>
      <c r="Q713" s="11">
        <v>0.2</v>
      </c>
      <c r="R713" s="10" t="s">
        <v>3698</v>
      </c>
    </row>
    <row r="714" spans="1:18">
      <c r="A714" s="7">
        <v>46216</v>
      </c>
      <c r="B714" s="8">
        <v>46229</v>
      </c>
      <c r="C714" s="9">
        <v>14</v>
      </c>
      <c r="D714" s="10" t="s">
        <v>1002</v>
      </c>
      <c r="E714" s="10" t="s">
        <v>432</v>
      </c>
      <c r="F714" s="9"/>
      <c r="G714" s="9">
        <v>2</v>
      </c>
      <c r="H714" s="9">
        <v>0</v>
      </c>
      <c r="I714" s="9">
        <v>2</v>
      </c>
      <c r="J714" s="11">
        <v>0</v>
      </c>
      <c r="K714" s="24">
        <v>0.1</v>
      </c>
      <c r="L714" s="24">
        <v>0</v>
      </c>
      <c r="M714" s="24">
        <v>0</v>
      </c>
      <c r="N714" s="9">
        <v>0</v>
      </c>
      <c r="O714" s="9">
        <v>0</v>
      </c>
      <c r="P714" s="9">
        <v>0</v>
      </c>
      <c r="Q714" s="11">
        <v>0</v>
      </c>
      <c r="R714" s="10" t="s">
        <v>176</v>
      </c>
    </row>
    <row r="715" spans="1:18">
      <c r="A715" s="7">
        <v>46216</v>
      </c>
      <c r="B715" s="8">
        <v>46229</v>
      </c>
      <c r="C715" s="9">
        <v>14</v>
      </c>
      <c r="D715" s="10" t="s">
        <v>1002</v>
      </c>
      <c r="E715" s="10" t="s">
        <v>433</v>
      </c>
      <c r="F715" s="9"/>
      <c r="G715" s="9">
        <v>3</v>
      </c>
      <c r="H715" s="9">
        <v>0</v>
      </c>
      <c r="I715" s="9">
        <v>3</v>
      </c>
      <c r="J715" s="11">
        <v>0</v>
      </c>
      <c r="K715" s="24">
        <v>0.1</v>
      </c>
      <c r="L715" s="24">
        <v>0</v>
      </c>
      <c r="M715" s="24">
        <v>0</v>
      </c>
      <c r="N715" s="9">
        <v>0</v>
      </c>
      <c r="O715" s="9">
        <v>0</v>
      </c>
      <c r="P715" s="9">
        <v>0</v>
      </c>
      <c r="Q715" s="11">
        <v>0</v>
      </c>
      <c r="R715" s="10" t="s">
        <v>176</v>
      </c>
    </row>
    <row r="716" spans="1:18">
      <c r="A716" s="7">
        <v>46216</v>
      </c>
      <c r="B716" s="8">
        <v>46229</v>
      </c>
      <c r="C716" s="9">
        <v>14</v>
      </c>
      <c r="D716" s="10" t="s">
        <v>1002</v>
      </c>
      <c r="E716" s="10" t="s">
        <v>434</v>
      </c>
      <c r="F716" s="9"/>
      <c r="G716" s="9">
        <v>4</v>
      </c>
      <c r="H716" s="9">
        <v>0</v>
      </c>
      <c r="I716" s="9">
        <v>4</v>
      </c>
      <c r="J716" s="11">
        <v>0</v>
      </c>
      <c r="K716" s="24">
        <v>0.1</v>
      </c>
      <c r="L716" s="24">
        <v>0</v>
      </c>
      <c r="M716" s="24">
        <v>0</v>
      </c>
      <c r="N716" s="9">
        <v>0</v>
      </c>
      <c r="O716" s="9">
        <v>0</v>
      </c>
      <c r="P716" s="9">
        <v>0</v>
      </c>
      <c r="Q716" s="11">
        <v>0</v>
      </c>
      <c r="R716" s="10" t="s">
        <v>176</v>
      </c>
    </row>
    <row r="717" spans="1:18">
      <c r="A717" s="7">
        <v>46216</v>
      </c>
      <c r="B717" s="8">
        <v>46229</v>
      </c>
      <c r="C717" s="9">
        <v>14</v>
      </c>
      <c r="D717" s="10" t="s">
        <v>1002</v>
      </c>
      <c r="E717" s="10" t="s">
        <v>435</v>
      </c>
      <c r="F717" s="9"/>
      <c r="G717" s="9">
        <v>3</v>
      </c>
      <c r="H717" s="9">
        <v>0</v>
      </c>
      <c r="I717" s="9">
        <v>3</v>
      </c>
      <c r="J717" s="11">
        <v>0</v>
      </c>
      <c r="K717" s="24">
        <v>0.1</v>
      </c>
      <c r="L717" s="24">
        <v>0</v>
      </c>
      <c r="M717" s="24">
        <v>0</v>
      </c>
      <c r="N717" s="9">
        <v>0</v>
      </c>
      <c r="O717" s="9">
        <v>0</v>
      </c>
      <c r="P717" s="9">
        <v>0</v>
      </c>
      <c r="Q717" s="11">
        <v>0</v>
      </c>
      <c r="R717" s="10" t="s">
        <v>176</v>
      </c>
    </row>
    <row r="718" spans="1:18">
      <c r="A718" s="7">
        <v>46216</v>
      </c>
      <c r="B718" s="8">
        <v>46229</v>
      </c>
      <c r="C718" s="9">
        <v>14</v>
      </c>
      <c r="D718" s="10" t="s">
        <v>1002</v>
      </c>
      <c r="E718" s="10" t="s">
        <v>1380</v>
      </c>
      <c r="F718" s="9"/>
      <c r="G718" s="9">
        <v>3</v>
      </c>
      <c r="H718" s="9">
        <v>0</v>
      </c>
      <c r="I718" s="9">
        <v>3</v>
      </c>
      <c r="J718" s="11">
        <v>0</v>
      </c>
      <c r="K718" s="24">
        <v>0.1</v>
      </c>
      <c r="L718" s="24">
        <v>0</v>
      </c>
      <c r="M718" s="24">
        <v>0</v>
      </c>
      <c r="N718" s="9">
        <v>0</v>
      </c>
      <c r="O718" s="9">
        <v>0</v>
      </c>
      <c r="P718" s="9">
        <v>0</v>
      </c>
      <c r="Q718" s="11">
        <v>0</v>
      </c>
      <c r="R718" s="10" t="s">
        <v>176</v>
      </c>
    </row>
    <row r="719" spans="1:18">
      <c r="A719" s="7">
        <v>46216</v>
      </c>
      <c r="B719" s="8">
        <v>46229</v>
      </c>
      <c r="C719" s="9">
        <v>14</v>
      </c>
      <c r="D719" s="10" t="s">
        <v>1002</v>
      </c>
      <c r="E719" s="10" t="s">
        <v>436</v>
      </c>
      <c r="F719" s="9"/>
      <c r="G719" s="9">
        <v>2</v>
      </c>
      <c r="H719" s="9">
        <v>0</v>
      </c>
      <c r="I719" s="9">
        <v>2</v>
      </c>
      <c r="J719" s="11">
        <v>0</v>
      </c>
      <c r="K719" s="24">
        <v>0.1</v>
      </c>
      <c r="L719" s="24">
        <v>0</v>
      </c>
      <c r="M719" s="24">
        <v>0</v>
      </c>
      <c r="N719" s="9">
        <v>0</v>
      </c>
      <c r="O719" s="9">
        <v>0</v>
      </c>
      <c r="P719" s="9">
        <v>0</v>
      </c>
      <c r="Q719" s="11">
        <v>0</v>
      </c>
      <c r="R719" s="10" t="s">
        <v>176</v>
      </c>
    </row>
    <row r="720" spans="1:18">
      <c r="A720" s="7">
        <v>46216</v>
      </c>
      <c r="B720" s="8">
        <v>46229</v>
      </c>
      <c r="C720" s="9">
        <v>14</v>
      </c>
      <c r="D720" s="10" t="s">
        <v>1002</v>
      </c>
      <c r="E720" s="10" t="s">
        <v>437</v>
      </c>
      <c r="F720" s="9"/>
      <c r="G720" s="9">
        <v>2</v>
      </c>
      <c r="H720" s="9">
        <v>0</v>
      </c>
      <c r="I720" s="9">
        <v>2</v>
      </c>
      <c r="J720" s="11">
        <v>0</v>
      </c>
      <c r="K720" s="24">
        <v>0.1</v>
      </c>
      <c r="L720" s="24">
        <v>0</v>
      </c>
      <c r="M720" s="24">
        <v>0</v>
      </c>
      <c r="N720" s="9">
        <v>0</v>
      </c>
      <c r="O720" s="9">
        <v>0</v>
      </c>
      <c r="P720" s="9">
        <v>0</v>
      </c>
      <c r="Q720" s="11">
        <v>0</v>
      </c>
      <c r="R720" s="10" t="s">
        <v>176</v>
      </c>
    </row>
    <row r="721" spans="1:18">
      <c r="A721" s="7">
        <v>46216</v>
      </c>
      <c r="B721" s="8">
        <v>46229</v>
      </c>
      <c r="C721" s="9">
        <v>14</v>
      </c>
      <c r="D721" s="10" t="s">
        <v>1002</v>
      </c>
      <c r="E721" s="10" t="s">
        <v>1382</v>
      </c>
      <c r="F721" s="9"/>
      <c r="G721" s="9">
        <v>3</v>
      </c>
      <c r="H721" s="9">
        <v>0</v>
      </c>
      <c r="I721" s="9">
        <v>3</v>
      </c>
      <c r="J721" s="11">
        <v>0</v>
      </c>
      <c r="K721" s="24">
        <v>0.1</v>
      </c>
      <c r="L721" s="24">
        <v>0</v>
      </c>
      <c r="M721" s="24">
        <v>0</v>
      </c>
      <c r="N721" s="9">
        <v>0</v>
      </c>
      <c r="O721" s="9">
        <v>0</v>
      </c>
      <c r="P721" s="9">
        <v>0</v>
      </c>
      <c r="Q721" s="11">
        <v>0</v>
      </c>
      <c r="R721" s="10" t="s">
        <v>176</v>
      </c>
    </row>
    <row r="722" spans="1:18">
      <c r="A722" s="7">
        <v>46216</v>
      </c>
      <c r="B722" s="8">
        <v>46229</v>
      </c>
      <c r="C722" s="9">
        <v>14</v>
      </c>
      <c r="D722" s="10" t="s">
        <v>1002</v>
      </c>
      <c r="E722" s="10" t="s">
        <v>438</v>
      </c>
      <c r="F722" s="9"/>
      <c r="G722" s="9">
        <v>2</v>
      </c>
      <c r="H722" s="9">
        <v>0</v>
      </c>
      <c r="I722" s="9">
        <v>2</v>
      </c>
      <c r="J722" s="11">
        <v>0</v>
      </c>
      <c r="K722" s="24">
        <v>0.1</v>
      </c>
      <c r="L722" s="24">
        <v>0</v>
      </c>
      <c r="M722" s="24">
        <v>0</v>
      </c>
      <c r="N722" s="9">
        <v>0</v>
      </c>
      <c r="O722" s="9">
        <v>0</v>
      </c>
      <c r="P722" s="9">
        <v>0</v>
      </c>
      <c r="Q722" s="11">
        <v>0</v>
      </c>
      <c r="R722" s="10" t="s">
        <v>176</v>
      </c>
    </row>
    <row r="723" spans="1:18">
      <c r="A723" s="7">
        <v>46216</v>
      </c>
      <c r="B723" s="8">
        <v>46229</v>
      </c>
      <c r="C723" s="9">
        <v>14</v>
      </c>
      <c r="D723" s="10" t="s">
        <v>1002</v>
      </c>
      <c r="E723" s="10" t="s">
        <v>1384</v>
      </c>
      <c r="F723" s="9"/>
      <c r="G723" s="9">
        <v>3</v>
      </c>
      <c r="H723" s="9">
        <v>0</v>
      </c>
      <c r="I723" s="9">
        <v>3</v>
      </c>
      <c r="J723" s="11">
        <v>0</v>
      </c>
      <c r="K723" s="24">
        <v>0.1</v>
      </c>
      <c r="L723" s="24">
        <v>0</v>
      </c>
      <c r="M723" s="24">
        <v>0</v>
      </c>
      <c r="N723" s="9">
        <v>0</v>
      </c>
      <c r="O723" s="9">
        <v>0</v>
      </c>
      <c r="P723" s="9">
        <v>0</v>
      </c>
      <c r="Q723" s="11">
        <v>0</v>
      </c>
      <c r="R723" s="10" t="s">
        <v>176</v>
      </c>
    </row>
    <row r="724" spans="1:18">
      <c r="A724" s="7">
        <v>46216</v>
      </c>
      <c r="B724" s="8">
        <v>46229</v>
      </c>
      <c r="C724" s="9">
        <v>14</v>
      </c>
      <c r="D724" s="10" t="s">
        <v>1002</v>
      </c>
      <c r="E724" s="10" t="s">
        <v>439</v>
      </c>
      <c r="F724" s="9"/>
      <c r="G724" s="9">
        <v>2</v>
      </c>
      <c r="H724" s="9">
        <v>0</v>
      </c>
      <c r="I724" s="9">
        <v>2</v>
      </c>
      <c r="J724" s="11">
        <v>0</v>
      </c>
      <c r="K724" s="24">
        <v>0.1</v>
      </c>
      <c r="L724" s="24">
        <v>0</v>
      </c>
      <c r="M724" s="24">
        <v>0</v>
      </c>
      <c r="N724" s="9">
        <v>0</v>
      </c>
      <c r="O724" s="9">
        <v>0</v>
      </c>
      <c r="P724" s="9">
        <v>0</v>
      </c>
      <c r="Q724" s="11">
        <v>0</v>
      </c>
      <c r="R724" s="10" t="s">
        <v>176</v>
      </c>
    </row>
    <row r="725" spans="1:18">
      <c r="A725" s="7">
        <v>46216</v>
      </c>
      <c r="B725" s="8">
        <v>46229</v>
      </c>
      <c r="C725" s="9">
        <v>14</v>
      </c>
      <c r="D725" s="10" t="s">
        <v>1002</v>
      </c>
      <c r="E725" s="10" t="s">
        <v>440</v>
      </c>
      <c r="F725" s="9"/>
      <c r="G725" s="9">
        <v>1</v>
      </c>
      <c r="H725" s="9">
        <v>0</v>
      </c>
      <c r="I725" s="9">
        <v>1</v>
      </c>
      <c r="J725" s="11">
        <v>0</v>
      </c>
      <c r="K725" s="24">
        <v>0.1</v>
      </c>
      <c r="L725" s="24">
        <v>0</v>
      </c>
      <c r="M725" s="24">
        <v>0</v>
      </c>
      <c r="N725" s="9">
        <v>0</v>
      </c>
      <c r="O725" s="9">
        <v>0</v>
      </c>
      <c r="P725" s="9">
        <v>0</v>
      </c>
      <c r="Q725" s="11">
        <v>0</v>
      </c>
      <c r="R725" s="10" t="s">
        <v>176</v>
      </c>
    </row>
    <row r="726" spans="1:18">
      <c r="A726" s="7">
        <v>46216</v>
      </c>
      <c r="B726" s="8">
        <v>46229</v>
      </c>
      <c r="C726" s="9">
        <v>14</v>
      </c>
      <c r="D726" s="10" t="s">
        <v>1002</v>
      </c>
      <c r="E726" s="10" t="s">
        <v>441</v>
      </c>
      <c r="F726" s="9"/>
      <c r="G726" s="9">
        <v>2</v>
      </c>
      <c r="H726" s="9">
        <v>0</v>
      </c>
      <c r="I726" s="9">
        <v>2</v>
      </c>
      <c r="J726" s="11">
        <v>0</v>
      </c>
      <c r="K726" s="24">
        <v>0.1</v>
      </c>
      <c r="L726" s="24">
        <v>0</v>
      </c>
      <c r="M726" s="24">
        <v>0</v>
      </c>
      <c r="N726" s="9">
        <v>0</v>
      </c>
      <c r="O726" s="9">
        <v>0</v>
      </c>
      <c r="P726" s="9">
        <v>0</v>
      </c>
      <c r="Q726" s="11">
        <v>0</v>
      </c>
      <c r="R726" s="10" t="s">
        <v>176</v>
      </c>
    </row>
    <row r="727" spans="1:18">
      <c r="A727" s="7">
        <v>46216</v>
      </c>
      <c r="B727" s="8">
        <v>46229</v>
      </c>
      <c r="C727" s="9">
        <v>14</v>
      </c>
      <c r="D727" s="10" t="s">
        <v>1002</v>
      </c>
      <c r="E727" s="10" t="s">
        <v>1031</v>
      </c>
      <c r="F727" s="9"/>
      <c r="G727" s="9">
        <v>11</v>
      </c>
      <c r="H727" s="9">
        <v>0</v>
      </c>
      <c r="I727" s="9">
        <v>11</v>
      </c>
      <c r="J727" s="11">
        <v>0</v>
      </c>
      <c r="K727" s="24">
        <v>0.1</v>
      </c>
      <c r="L727" s="24">
        <v>0</v>
      </c>
      <c r="M727" s="24">
        <v>0</v>
      </c>
      <c r="N727" s="9">
        <v>0</v>
      </c>
      <c r="O727" s="9">
        <v>0</v>
      </c>
      <c r="P727" s="9">
        <v>0</v>
      </c>
      <c r="Q727" s="11">
        <v>0</v>
      </c>
      <c r="R727" s="10" t="s">
        <v>176</v>
      </c>
    </row>
    <row r="728" spans="1:18">
      <c r="A728" s="7">
        <v>46216</v>
      </c>
      <c r="B728" s="8">
        <v>46229</v>
      </c>
      <c r="C728" s="9">
        <v>14</v>
      </c>
      <c r="D728" s="10" t="s">
        <v>1002</v>
      </c>
      <c r="E728" s="10" t="s">
        <v>442</v>
      </c>
      <c r="F728" s="9"/>
      <c r="G728" s="9">
        <v>16</v>
      </c>
      <c r="H728" s="9">
        <v>0</v>
      </c>
      <c r="I728" s="9">
        <v>16</v>
      </c>
      <c r="J728" s="11">
        <v>0</v>
      </c>
      <c r="K728" s="24">
        <v>0.1</v>
      </c>
      <c r="L728" s="24">
        <v>0</v>
      </c>
      <c r="M728" s="24">
        <v>0</v>
      </c>
      <c r="N728" s="9">
        <v>0</v>
      </c>
      <c r="O728" s="9">
        <v>0</v>
      </c>
      <c r="P728" s="9">
        <v>0</v>
      </c>
      <c r="Q728" s="11">
        <v>0</v>
      </c>
      <c r="R728" s="10" t="s">
        <v>176</v>
      </c>
    </row>
    <row r="729" spans="1:18">
      <c r="A729" s="7">
        <v>46216</v>
      </c>
      <c r="B729" s="8">
        <v>46229</v>
      </c>
      <c r="C729" s="9">
        <v>14</v>
      </c>
      <c r="D729" s="10" t="s">
        <v>1002</v>
      </c>
      <c r="E729" s="10" t="s">
        <v>443</v>
      </c>
      <c r="F729" s="9"/>
      <c r="G729" s="9">
        <v>8</v>
      </c>
      <c r="H729" s="9">
        <v>0</v>
      </c>
      <c r="I729" s="9">
        <v>8</v>
      </c>
      <c r="J729" s="11">
        <v>0</v>
      </c>
      <c r="K729" s="24">
        <v>0.1</v>
      </c>
      <c r="L729" s="24">
        <v>0</v>
      </c>
      <c r="M729" s="24">
        <v>0</v>
      </c>
      <c r="N729" s="9">
        <v>0</v>
      </c>
      <c r="O729" s="9">
        <v>0</v>
      </c>
      <c r="P729" s="9">
        <v>0</v>
      </c>
      <c r="Q729" s="11">
        <v>0</v>
      </c>
      <c r="R729" s="10" t="s">
        <v>176</v>
      </c>
    </row>
    <row r="730" spans="1:18">
      <c r="A730" s="7">
        <v>46216</v>
      </c>
      <c r="B730" s="8">
        <v>46229</v>
      </c>
      <c r="C730" s="9">
        <v>14</v>
      </c>
      <c r="D730" s="10" t="s">
        <v>1002</v>
      </c>
      <c r="E730" s="10" t="s">
        <v>444</v>
      </c>
      <c r="F730" s="9"/>
      <c r="G730" s="9">
        <v>8</v>
      </c>
      <c r="H730" s="9">
        <v>0</v>
      </c>
      <c r="I730" s="9">
        <v>8</v>
      </c>
      <c r="J730" s="11">
        <v>0</v>
      </c>
      <c r="K730" s="24">
        <v>0.1</v>
      </c>
      <c r="L730" s="24">
        <v>0</v>
      </c>
      <c r="M730" s="24">
        <v>0</v>
      </c>
      <c r="N730" s="9">
        <v>0</v>
      </c>
      <c r="O730" s="9">
        <v>0</v>
      </c>
      <c r="P730" s="9">
        <v>0</v>
      </c>
      <c r="Q730" s="11">
        <v>0</v>
      </c>
      <c r="R730" s="10" t="s">
        <v>176</v>
      </c>
    </row>
    <row r="731" spans="1:18">
      <c r="A731" s="7">
        <v>46216</v>
      </c>
      <c r="B731" s="8">
        <v>46229</v>
      </c>
      <c r="C731" s="9">
        <v>14</v>
      </c>
      <c r="D731" s="10" t="s">
        <v>1002</v>
      </c>
      <c r="E731" s="10" t="s">
        <v>445</v>
      </c>
      <c r="F731" s="9"/>
      <c r="G731" s="9">
        <v>10</v>
      </c>
      <c r="H731" s="9">
        <v>0</v>
      </c>
      <c r="I731" s="9">
        <v>10</v>
      </c>
      <c r="J731" s="11">
        <v>0</v>
      </c>
      <c r="K731" s="24">
        <v>0.1</v>
      </c>
      <c r="L731" s="24">
        <v>0</v>
      </c>
      <c r="M731" s="24">
        <v>0</v>
      </c>
      <c r="N731" s="9">
        <v>0</v>
      </c>
      <c r="O731" s="9">
        <v>0</v>
      </c>
      <c r="P731" s="9">
        <v>0</v>
      </c>
      <c r="Q731" s="11">
        <v>0</v>
      </c>
      <c r="R731" s="10" t="s">
        <v>176</v>
      </c>
    </row>
    <row r="732" spans="1:18">
      <c r="A732" s="7">
        <v>46216</v>
      </c>
      <c r="B732" s="8">
        <v>46229</v>
      </c>
      <c r="C732" s="9">
        <v>14</v>
      </c>
      <c r="D732" s="10" t="s">
        <v>1002</v>
      </c>
      <c r="E732" s="10" t="s">
        <v>446</v>
      </c>
      <c r="F732" s="9"/>
      <c r="G732" s="9">
        <v>9</v>
      </c>
      <c r="H732" s="9">
        <v>0</v>
      </c>
      <c r="I732" s="9">
        <v>9</v>
      </c>
      <c r="J732" s="11">
        <v>0</v>
      </c>
      <c r="K732" s="24">
        <v>0.1</v>
      </c>
      <c r="L732" s="24">
        <v>0</v>
      </c>
      <c r="M732" s="24">
        <v>0</v>
      </c>
      <c r="N732" s="9">
        <v>0</v>
      </c>
      <c r="O732" s="9">
        <v>0</v>
      </c>
      <c r="P732" s="9">
        <v>0</v>
      </c>
      <c r="Q732" s="11">
        <v>0</v>
      </c>
      <c r="R732" s="10" t="s">
        <v>176</v>
      </c>
    </row>
    <row r="733" spans="1:18">
      <c r="A733" s="7">
        <v>46216</v>
      </c>
      <c r="B733" s="8">
        <v>46229</v>
      </c>
      <c r="C733" s="9">
        <v>14</v>
      </c>
      <c r="D733" s="10" t="s">
        <v>1002</v>
      </c>
      <c r="E733" s="10" t="s">
        <v>447</v>
      </c>
      <c r="F733" s="9"/>
      <c r="G733" s="9">
        <v>6</v>
      </c>
      <c r="H733" s="9">
        <v>0</v>
      </c>
      <c r="I733" s="9">
        <v>6</v>
      </c>
      <c r="J733" s="11">
        <v>0</v>
      </c>
      <c r="K733" s="24">
        <v>0.1</v>
      </c>
      <c r="L733" s="24">
        <v>0</v>
      </c>
      <c r="M733" s="24">
        <v>0</v>
      </c>
      <c r="N733" s="9">
        <v>0</v>
      </c>
      <c r="O733" s="9">
        <v>0</v>
      </c>
      <c r="P733" s="9">
        <v>0</v>
      </c>
      <c r="Q733" s="11">
        <v>0</v>
      </c>
      <c r="R733" s="10" t="s">
        <v>176</v>
      </c>
    </row>
    <row r="734" spans="1:18">
      <c r="A734" s="7">
        <v>46216</v>
      </c>
      <c r="B734" s="8">
        <v>46229</v>
      </c>
      <c r="C734" s="9">
        <v>14</v>
      </c>
      <c r="D734" s="10" t="s">
        <v>1002</v>
      </c>
      <c r="E734" s="10" t="s">
        <v>448</v>
      </c>
      <c r="F734" s="9"/>
      <c r="G734" s="9">
        <v>7</v>
      </c>
      <c r="H734" s="9">
        <v>0</v>
      </c>
      <c r="I734" s="9">
        <v>7</v>
      </c>
      <c r="J734" s="11">
        <v>0</v>
      </c>
      <c r="K734" s="24">
        <v>0.1</v>
      </c>
      <c r="L734" s="24">
        <v>0</v>
      </c>
      <c r="M734" s="24">
        <v>0</v>
      </c>
      <c r="N734" s="9">
        <v>0</v>
      </c>
      <c r="O734" s="9">
        <v>0</v>
      </c>
      <c r="P734" s="9">
        <v>0</v>
      </c>
      <c r="Q734" s="11">
        <v>0</v>
      </c>
      <c r="R734" s="10" t="s">
        <v>176</v>
      </c>
    </row>
    <row r="735" spans="1:18">
      <c r="A735" s="7">
        <v>46216</v>
      </c>
      <c r="B735" s="8">
        <v>46229</v>
      </c>
      <c r="C735" s="9">
        <v>14</v>
      </c>
      <c r="D735" s="10" t="s">
        <v>1002</v>
      </c>
      <c r="E735" s="10" t="s">
        <v>1784</v>
      </c>
      <c r="F735" s="9"/>
      <c r="G735" s="9">
        <v>1</v>
      </c>
      <c r="H735" s="9">
        <v>0</v>
      </c>
      <c r="I735" s="9">
        <v>1</v>
      </c>
      <c r="J735" s="11">
        <v>0</v>
      </c>
      <c r="K735" s="24">
        <v>0.1</v>
      </c>
      <c r="L735" s="24">
        <v>0</v>
      </c>
      <c r="M735" s="24">
        <v>0</v>
      </c>
      <c r="N735" s="9">
        <v>0</v>
      </c>
      <c r="O735" s="9">
        <v>0</v>
      </c>
      <c r="P735" s="9">
        <v>0</v>
      </c>
      <c r="Q735" s="11">
        <v>0</v>
      </c>
      <c r="R735" s="10" t="s">
        <v>176</v>
      </c>
    </row>
    <row r="736" spans="1:18">
      <c r="A736" s="7">
        <v>46216</v>
      </c>
      <c r="B736" s="8">
        <v>46229</v>
      </c>
      <c r="C736" s="9">
        <v>14</v>
      </c>
      <c r="D736" s="10" t="s">
        <v>1002</v>
      </c>
      <c r="E736" s="10" t="s">
        <v>449</v>
      </c>
      <c r="F736" s="9"/>
      <c r="G736" s="9">
        <v>6</v>
      </c>
      <c r="H736" s="9">
        <v>0</v>
      </c>
      <c r="I736" s="9">
        <v>6</v>
      </c>
      <c r="J736" s="11">
        <v>0</v>
      </c>
      <c r="K736" s="24">
        <v>0.1</v>
      </c>
      <c r="L736" s="24">
        <v>0</v>
      </c>
      <c r="M736" s="24">
        <v>0</v>
      </c>
      <c r="N736" s="9">
        <v>0</v>
      </c>
      <c r="O736" s="9">
        <v>0</v>
      </c>
      <c r="P736" s="9">
        <v>0</v>
      </c>
      <c r="Q736" s="11">
        <v>0</v>
      </c>
      <c r="R736" s="10" t="s">
        <v>176</v>
      </c>
    </row>
    <row r="737" spans="1:18">
      <c r="A737" s="7">
        <v>46216</v>
      </c>
      <c r="B737" s="8">
        <v>46229</v>
      </c>
      <c r="C737" s="9">
        <v>14</v>
      </c>
      <c r="D737" s="10" t="s">
        <v>1002</v>
      </c>
      <c r="E737" s="10" t="s">
        <v>450</v>
      </c>
      <c r="F737" s="9"/>
      <c r="G737" s="9">
        <v>6</v>
      </c>
      <c r="H737" s="9">
        <v>0</v>
      </c>
      <c r="I737" s="9">
        <v>6</v>
      </c>
      <c r="J737" s="11">
        <v>0</v>
      </c>
      <c r="K737" s="24">
        <v>0.1</v>
      </c>
      <c r="L737" s="24">
        <v>0</v>
      </c>
      <c r="M737" s="24">
        <v>0</v>
      </c>
      <c r="N737" s="9">
        <v>0</v>
      </c>
      <c r="O737" s="9">
        <v>0</v>
      </c>
      <c r="P737" s="9">
        <v>0</v>
      </c>
      <c r="Q737" s="11">
        <v>0</v>
      </c>
      <c r="R737" s="10" t="s">
        <v>176</v>
      </c>
    </row>
    <row r="738" spans="1:18">
      <c r="A738" s="7">
        <v>46216</v>
      </c>
      <c r="B738" s="8">
        <v>46229</v>
      </c>
      <c r="C738" s="9">
        <v>14</v>
      </c>
      <c r="D738" s="10" t="s">
        <v>1002</v>
      </c>
      <c r="E738" s="10" t="s">
        <v>451</v>
      </c>
      <c r="F738" s="9"/>
      <c r="G738" s="9">
        <v>5</v>
      </c>
      <c r="H738" s="9">
        <v>0</v>
      </c>
      <c r="I738" s="9">
        <v>5</v>
      </c>
      <c r="J738" s="11">
        <v>0</v>
      </c>
      <c r="K738" s="24">
        <v>0.1</v>
      </c>
      <c r="L738" s="24">
        <v>0</v>
      </c>
      <c r="M738" s="24">
        <v>0</v>
      </c>
      <c r="N738" s="9">
        <v>0</v>
      </c>
      <c r="O738" s="9">
        <v>0</v>
      </c>
      <c r="P738" s="9">
        <v>0</v>
      </c>
      <c r="Q738" s="11">
        <v>0</v>
      </c>
      <c r="R738" s="10" t="s">
        <v>176</v>
      </c>
    </row>
    <row r="739" spans="1:18">
      <c r="A739" s="7">
        <v>46216</v>
      </c>
      <c r="B739" s="8">
        <v>46229</v>
      </c>
      <c r="C739" s="9">
        <v>14</v>
      </c>
      <c r="D739" s="10" t="s">
        <v>1002</v>
      </c>
      <c r="E739" s="10" t="s">
        <v>452</v>
      </c>
      <c r="F739" s="9"/>
      <c r="G739" s="9">
        <v>5</v>
      </c>
      <c r="H739" s="9">
        <v>0</v>
      </c>
      <c r="I739" s="9">
        <v>5</v>
      </c>
      <c r="J739" s="11">
        <v>0</v>
      </c>
      <c r="K739" s="24">
        <v>0.1</v>
      </c>
      <c r="L739" s="24">
        <v>0</v>
      </c>
      <c r="M739" s="24">
        <v>0</v>
      </c>
      <c r="N739" s="9">
        <v>0</v>
      </c>
      <c r="O739" s="9">
        <v>0</v>
      </c>
      <c r="P739" s="9">
        <v>0</v>
      </c>
      <c r="Q739" s="11">
        <v>0</v>
      </c>
      <c r="R739" s="10" t="s">
        <v>176</v>
      </c>
    </row>
    <row r="740" spans="1:18">
      <c r="A740" s="7">
        <v>46216</v>
      </c>
      <c r="B740" s="8">
        <v>46229</v>
      </c>
      <c r="C740" s="9">
        <v>14</v>
      </c>
      <c r="D740" s="10" t="s">
        <v>1002</v>
      </c>
      <c r="E740" s="10" t="s">
        <v>453</v>
      </c>
      <c r="F740" s="9"/>
      <c r="G740" s="9">
        <v>6</v>
      </c>
      <c r="H740" s="9">
        <v>0</v>
      </c>
      <c r="I740" s="9">
        <v>6</v>
      </c>
      <c r="J740" s="11">
        <v>0</v>
      </c>
      <c r="K740" s="24">
        <v>0.1</v>
      </c>
      <c r="L740" s="24">
        <v>0</v>
      </c>
      <c r="M740" s="24">
        <v>0</v>
      </c>
      <c r="N740" s="9">
        <v>0</v>
      </c>
      <c r="O740" s="9">
        <v>0</v>
      </c>
      <c r="P740" s="9">
        <v>0</v>
      </c>
      <c r="Q740" s="11">
        <v>0</v>
      </c>
      <c r="R740" s="10" t="s">
        <v>176</v>
      </c>
    </row>
    <row r="741" spans="1:18">
      <c r="A741" s="7">
        <v>46216</v>
      </c>
      <c r="B741" s="8">
        <v>46229</v>
      </c>
      <c r="C741" s="9">
        <v>14</v>
      </c>
      <c r="D741" s="10" t="s">
        <v>1002</v>
      </c>
      <c r="E741" s="10" t="s">
        <v>454</v>
      </c>
      <c r="F741" s="9"/>
      <c r="G741" s="9">
        <v>7</v>
      </c>
      <c r="H741" s="9">
        <v>0</v>
      </c>
      <c r="I741" s="9">
        <v>7</v>
      </c>
      <c r="J741" s="11">
        <v>0</v>
      </c>
      <c r="K741" s="24">
        <v>0.1</v>
      </c>
      <c r="L741" s="24">
        <v>0</v>
      </c>
      <c r="M741" s="24">
        <v>0</v>
      </c>
      <c r="N741" s="9">
        <v>0</v>
      </c>
      <c r="O741" s="9">
        <v>0</v>
      </c>
      <c r="P741" s="9">
        <v>0</v>
      </c>
      <c r="Q741" s="11">
        <v>0</v>
      </c>
      <c r="R741" s="10" t="s">
        <v>176</v>
      </c>
    </row>
    <row r="742" spans="1:18">
      <c r="A742" s="7">
        <v>46216</v>
      </c>
      <c r="B742" s="8">
        <v>46229</v>
      </c>
      <c r="C742" s="9">
        <v>14</v>
      </c>
      <c r="D742" s="10" t="s">
        <v>1002</v>
      </c>
      <c r="E742" s="10" t="s">
        <v>455</v>
      </c>
      <c r="F742" s="9"/>
      <c r="G742" s="9">
        <v>4</v>
      </c>
      <c r="H742" s="9">
        <v>0</v>
      </c>
      <c r="I742" s="9">
        <v>4</v>
      </c>
      <c r="J742" s="11">
        <v>0</v>
      </c>
      <c r="K742" s="24">
        <v>0.1</v>
      </c>
      <c r="L742" s="24">
        <v>0</v>
      </c>
      <c r="M742" s="24">
        <v>0</v>
      </c>
      <c r="N742" s="9">
        <v>0</v>
      </c>
      <c r="O742" s="9">
        <v>0</v>
      </c>
      <c r="P742" s="9">
        <v>0</v>
      </c>
      <c r="Q742" s="11">
        <v>0</v>
      </c>
      <c r="R742" s="10" t="s">
        <v>176</v>
      </c>
    </row>
    <row r="743" spans="1:18">
      <c r="A743" s="7">
        <v>46216</v>
      </c>
      <c r="B743" s="8">
        <v>46229</v>
      </c>
      <c r="C743" s="9">
        <v>14</v>
      </c>
      <c r="D743" s="10" t="s">
        <v>1002</v>
      </c>
      <c r="E743" s="10" t="s">
        <v>1013</v>
      </c>
      <c r="F743" s="9"/>
      <c r="G743" s="9">
        <v>16</v>
      </c>
      <c r="H743" s="9">
        <v>0</v>
      </c>
      <c r="I743" s="9">
        <v>16</v>
      </c>
      <c r="J743" s="11">
        <v>0</v>
      </c>
      <c r="K743" s="24">
        <v>0.1</v>
      </c>
      <c r="L743" s="24">
        <v>0</v>
      </c>
      <c r="M743" s="24">
        <v>0</v>
      </c>
      <c r="N743" s="9">
        <v>0</v>
      </c>
      <c r="O743" s="9">
        <v>0</v>
      </c>
      <c r="P743" s="9">
        <v>0</v>
      </c>
      <c r="Q743" s="11">
        <v>0</v>
      </c>
      <c r="R743" s="10" t="s">
        <v>176</v>
      </c>
    </row>
    <row r="744" spans="1:18">
      <c r="A744" s="7">
        <v>46216</v>
      </c>
      <c r="B744" s="8">
        <v>46229</v>
      </c>
      <c r="C744" s="9">
        <v>14</v>
      </c>
      <c r="D744" s="10" t="s">
        <v>1002</v>
      </c>
      <c r="E744" s="10" t="s">
        <v>456</v>
      </c>
      <c r="F744" s="9"/>
      <c r="G744" s="9">
        <v>13</v>
      </c>
      <c r="H744" s="9">
        <v>0</v>
      </c>
      <c r="I744" s="9">
        <v>13</v>
      </c>
      <c r="J744" s="11">
        <v>0</v>
      </c>
      <c r="K744" s="24">
        <v>0.1</v>
      </c>
      <c r="L744" s="24">
        <v>0</v>
      </c>
      <c r="M744" s="24">
        <v>0</v>
      </c>
      <c r="N744" s="9">
        <v>0</v>
      </c>
      <c r="O744" s="9">
        <v>0</v>
      </c>
      <c r="P744" s="9">
        <v>0</v>
      </c>
      <c r="Q744" s="11">
        <v>0</v>
      </c>
      <c r="R744" s="10" t="s">
        <v>176</v>
      </c>
    </row>
    <row r="745" spans="1:18">
      <c r="A745" s="7">
        <v>46216</v>
      </c>
      <c r="B745" s="8">
        <v>46229</v>
      </c>
      <c r="C745" s="9">
        <v>14</v>
      </c>
      <c r="D745" s="10" t="s">
        <v>1002</v>
      </c>
      <c r="E745" s="10" t="s">
        <v>1386</v>
      </c>
      <c r="F745" s="9"/>
      <c r="G745" s="9">
        <v>3</v>
      </c>
      <c r="H745" s="9">
        <v>0</v>
      </c>
      <c r="I745" s="9">
        <v>3</v>
      </c>
      <c r="J745" s="11">
        <v>0</v>
      </c>
      <c r="K745" s="24">
        <v>0.1</v>
      </c>
      <c r="L745" s="24">
        <v>0</v>
      </c>
      <c r="M745" s="24">
        <v>0</v>
      </c>
      <c r="N745" s="9">
        <v>0</v>
      </c>
      <c r="O745" s="9">
        <v>0</v>
      </c>
      <c r="P745" s="9">
        <v>0</v>
      </c>
      <c r="Q745" s="11">
        <v>0</v>
      </c>
      <c r="R745" s="10" t="s">
        <v>176</v>
      </c>
    </row>
    <row r="746" spans="1:18">
      <c r="A746" s="7">
        <v>46216</v>
      </c>
      <c r="B746" s="8">
        <v>46229</v>
      </c>
      <c r="C746" s="9">
        <v>14</v>
      </c>
      <c r="D746" s="10" t="s">
        <v>1002</v>
      </c>
      <c r="E746" s="10" t="s">
        <v>1133</v>
      </c>
      <c r="F746" s="9"/>
      <c r="G746" s="9">
        <v>6</v>
      </c>
      <c r="H746" s="9">
        <v>0</v>
      </c>
      <c r="I746" s="9">
        <v>6</v>
      </c>
      <c r="J746" s="11">
        <v>0</v>
      </c>
      <c r="K746" s="24">
        <v>0.1</v>
      </c>
      <c r="L746" s="24">
        <v>0</v>
      </c>
      <c r="M746" s="24">
        <v>0</v>
      </c>
      <c r="N746" s="9">
        <v>0</v>
      </c>
      <c r="O746" s="9">
        <v>0</v>
      </c>
      <c r="P746" s="9">
        <v>0</v>
      </c>
      <c r="Q746" s="11">
        <v>0</v>
      </c>
      <c r="R746" s="10" t="s">
        <v>176</v>
      </c>
    </row>
    <row r="747" spans="1:18">
      <c r="A747" s="7">
        <v>46216</v>
      </c>
      <c r="B747" s="8">
        <v>46229</v>
      </c>
      <c r="C747" s="9">
        <v>14</v>
      </c>
      <c r="D747" s="10" t="s">
        <v>1002</v>
      </c>
      <c r="E747" s="10" t="s">
        <v>457</v>
      </c>
      <c r="F747" s="9"/>
      <c r="G747" s="9">
        <v>13</v>
      </c>
      <c r="H747" s="9">
        <v>0</v>
      </c>
      <c r="I747" s="9">
        <v>13</v>
      </c>
      <c r="J747" s="11">
        <v>0</v>
      </c>
      <c r="K747" s="24">
        <v>0.1</v>
      </c>
      <c r="L747" s="24">
        <v>0</v>
      </c>
      <c r="M747" s="24">
        <v>0</v>
      </c>
      <c r="N747" s="9">
        <v>0</v>
      </c>
      <c r="O747" s="9">
        <v>0</v>
      </c>
      <c r="P747" s="9">
        <v>0</v>
      </c>
      <c r="Q747" s="11">
        <v>0</v>
      </c>
      <c r="R747" s="10" t="s">
        <v>176</v>
      </c>
    </row>
    <row r="748" spans="1:18">
      <c r="A748" s="7">
        <v>46216</v>
      </c>
      <c r="B748" s="8">
        <v>46229</v>
      </c>
      <c r="C748" s="9">
        <v>14</v>
      </c>
      <c r="D748" s="10" t="s">
        <v>1002</v>
      </c>
      <c r="E748" s="10" t="s">
        <v>1388</v>
      </c>
      <c r="F748" s="9"/>
      <c r="G748" s="9">
        <v>3</v>
      </c>
      <c r="H748" s="9">
        <v>0</v>
      </c>
      <c r="I748" s="9">
        <v>3</v>
      </c>
      <c r="J748" s="11">
        <v>0</v>
      </c>
      <c r="K748" s="24">
        <v>0.1</v>
      </c>
      <c r="L748" s="24">
        <v>0</v>
      </c>
      <c r="M748" s="24">
        <v>0</v>
      </c>
      <c r="N748" s="9">
        <v>0</v>
      </c>
      <c r="O748" s="9">
        <v>0</v>
      </c>
      <c r="P748" s="9">
        <v>0</v>
      </c>
      <c r="Q748" s="11">
        <v>0</v>
      </c>
      <c r="R748" s="10" t="s">
        <v>176</v>
      </c>
    </row>
    <row r="749" spans="1:18">
      <c r="A749" s="7">
        <v>46216</v>
      </c>
      <c r="B749" s="8">
        <v>46229</v>
      </c>
      <c r="C749" s="9">
        <v>14</v>
      </c>
      <c r="D749" s="10" t="s">
        <v>1002</v>
      </c>
      <c r="E749" s="10" t="s">
        <v>458</v>
      </c>
      <c r="F749" s="9"/>
      <c r="G749" s="9">
        <v>14</v>
      </c>
      <c r="H749" s="9">
        <v>0</v>
      </c>
      <c r="I749" s="9">
        <v>14</v>
      </c>
      <c r="J749" s="11">
        <v>0</v>
      </c>
      <c r="K749" s="24">
        <v>0.1</v>
      </c>
      <c r="L749" s="24">
        <v>0</v>
      </c>
      <c r="M749" s="24">
        <v>0</v>
      </c>
      <c r="N749" s="9">
        <v>0</v>
      </c>
      <c r="O749" s="9">
        <v>0</v>
      </c>
      <c r="P749" s="9">
        <v>0</v>
      </c>
      <c r="Q749" s="11">
        <v>0</v>
      </c>
      <c r="R749" s="10" t="s">
        <v>176</v>
      </c>
    </row>
    <row r="750" spans="1:18">
      <c r="A750" s="7">
        <v>46216</v>
      </c>
      <c r="B750" s="8">
        <v>46229</v>
      </c>
      <c r="C750" s="9">
        <v>14</v>
      </c>
      <c r="D750" s="10" t="s">
        <v>1002</v>
      </c>
      <c r="E750" s="10" t="s">
        <v>1390</v>
      </c>
      <c r="F750" s="9"/>
      <c r="G750" s="9">
        <v>3</v>
      </c>
      <c r="H750" s="9">
        <v>0</v>
      </c>
      <c r="I750" s="9">
        <v>3</v>
      </c>
      <c r="J750" s="11">
        <v>0</v>
      </c>
      <c r="K750" s="24">
        <v>0.1</v>
      </c>
      <c r="L750" s="24">
        <v>0</v>
      </c>
      <c r="M750" s="24">
        <v>0</v>
      </c>
      <c r="N750" s="9">
        <v>0</v>
      </c>
      <c r="O750" s="9">
        <v>0</v>
      </c>
      <c r="P750" s="9">
        <v>0</v>
      </c>
      <c r="Q750" s="11">
        <v>0</v>
      </c>
      <c r="R750" s="10" t="s">
        <v>176</v>
      </c>
    </row>
    <row r="751" spans="1:18">
      <c r="A751" s="7">
        <v>46216</v>
      </c>
      <c r="B751" s="8">
        <v>46229</v>
      </c>
      <c r="C751" s="9">
        <v>14</v>
      </c>
      <c r="D751" s="10" t="s">
        <v>1002</v>
      </c>
      <c r="E751" s="10" t="s">
        <v>459</v>
      </c>
      <c r="F751" s="9"/>
      <c r="G751" s="9">
        <v>7</v>
      </c>
      <c r="H751" s="9">
        <v>0</v>
      </c>
      <c r="I751" s="9">
        <v>7</v>
      </c>
      <c r="J751" s="11">
        <v>0</v>
      </c>
      <c r="K751" s="24">
        <v>0.1</v>
      </c>
      <c r="L751" s="24">
        <v>0</v>
      </c>
      <c r="M751" s="24">
        <v>0</v>
      </c>
      <c r="N751" s="9">
        <v>0</v>
      </c>
      <c r="O751" s="9">
        <v>0</v>
      </c>
      <c r="P751" s="9">
        <v>0</v>
      </c>
      <c r="Q751" s="11">
        <v>0</v>
      </c>
      <c r="R751" s="10" t="s">
        <v>176</v>
      </c>
    </row>
    <row r="752" spans="1:18">
      <c r="A752" s="7">
        <v>46216</v>
      </c>
      <c r="B752" s="8">
        <v>46229</v>
      </c>
      <c r="C752" s="9">
        <v>14</v>
      </c>
      <c r="D752" s="10" t="s">
        <v>1002</v>
      </c>
      <c r="E752" s="10" t="s">
        <v>460</v>
      </c>
      <c r="F752" s="9"/>
      <c r="G752" s="9">
        <v>5</v>
      </c>
      <c r="H752" s="9">
        <v>0</v>
      </c>
      <c r="I752" s="9">
        <v>5</v>
      </c>
      <c r="J752" s="11">
        <v>0</v>
      </c>
      <c r="K752" s="24">
        <v>0.1</v>
      </c>
      <c r="L752" s="24">
        <v>0</v>
      </c>
      <c r="M752" s="24">
        <v>0</v>
      </c>
      <c r="N752" s="9">
        <v>0</v>
      </c>
      <c r="O752" s="9">
        <v>0</v>
      </c>
      <c r="P752" s="9">
        <v>0</v>
      </c>
      <c r="Q752" s="11">
        <v>0</v>
      </c>
      <c r="R752" s="10" t="s">
        <v>176</v>
      </c>
    </row>
    <row r="753" spans="1:18">
      <c r="A753" s="7">
        <v>46216</v>
      </c>
      <c r="B753" s="8">
        <v>46229</v>
      </c>
      <c r="C753" s="9">
        <v>14</v>
      </c>
      <c r="D753" s="10" t="s">
        <v>1002</v>
      </c>
      <c r="E753" s="10" t="s">
        <v>108</v>
      </c>
      <c r="F753" s="9"/>
      <c r="G753" s="9">
        <v>5</v>
      </c>
      <c r="H753" s="9">
        <v>0</v>
      </c>
      <c r="I753" s="9">
        <v>5</v>
      </c>
      <c r="J753" s="11">
        <v>0</v>
      </c>
      <c r="K753" s="24">
        <v>0.1</v>
      </c>
      <c r="L753" s="24">
        <v>0</v>
      </c>
      <c r="M753" s="24">
        <v>0</v>
      </c>
      <c r="N753" s="9">
        <v>0</v>
      </c>
      <c r="O753" s="9">
        <v>0</v>
      </c>
      <c r="P753" s="9">
        <v>0</v>
      </c>
      <c r="Q753" s="11">
        <v>0</v>
      </c>
      <c r="R753" s="10" t="s">
        <v>176</v>
      </c>
    </row>
    <row r="754" spans="1:18">
      <c r="A754" s="7">
        <v>46216</v>
      </c>
      <c r="B754" s="8">
        <v>46229</v>
      </c>
      <c r="C754" s="9">
        <v>14</v>
      </c>
      <c r="D754" s="10" t="s">
        <v>1002</v>
      </c>
      <c r="E754" s="10" t="s">
        <v>461</v>
      </c>
      <c r="F754" s="9"/>
      <c r="G754" s="9">
        <v>5</v>
      </c>
      <c r="H754" s="9">
        <v>0</v>
      </c>
      <c r="I754" s="9">
        <v>5</v>
      </c>
      <c r="J754" s="11">
        <v>0</v>
      </c>
      <c r="K754" s="24">
        <v>0.1</v>
      </c>
      <c r="L754" s="24">
        <v>0</v>
      </c>
      <c r="M754" s="24">
        <v>0</v>
      </c>
      <c r="N754" s="9">
        <v>0</v>
      </c>
      <c r="O754" s="9">
        <v>0</v>
      </c>
      <c r="P754" s="9">
        <v>0</v>
      </c>
      <c r="Q754" s="11">
        <v>0</v>
      </c>
      <c r="R754" s="10" t="s">
        <v>176</v>
      </c>
    </row>
    <row r="755" spans="1:18">
      <c r="A755" s="7">
        <v>46216</v>
      </c>
      <c r="B755" s="8">
        <v>46229</v>
      </c>
      <c r="C755" s="9">
        <v>14</v>
      </c>
      <c r="D755" s="10" t="s">
        <v>1002</v>
      </c>
      <c r="E755" s="10" t="s">
        <v>462</v>
      </c>
      <c r="F755" s="9"/>
      <c r="G755" s="9">
        <v>9</v>
      </c>
      <c r="H755" s="9">
        <v>0</v>
      </c>
      <c r="I755" s="9">
        <v>9</v>
      </c>
      <c r="J755" s="11">
        <v>0</v>
      </c>
      <c r="K755" s="24">
        <v>0.1</v>
      </c>
      <c r="L755" s="24">
        <v>0</v>
      </c>
      <c r="M755" s="24">
        <v>0</v>
      </c>
      <c r="N755" s="9">
        <v>0</v>
      </c>
      <c r="O755" s="9">
        <v>0</v>
      </c>
      <c r="P755" s="9">
        <v>0</v>
      </c>
      <c r="Q755" s="11">
        <v>0</v>
      </c>
      <c r="R755" s="10" t="s">
        <v>176</v>
      </c>
    </row>
    <row r="756" spans="1:18">
      <c r="A756" s="7">
        <v>46216</v>
      </c>
      <c r="B756" s="8">
        <v>46229</v>
      </c>
      <c r="C756" s="9">
        <v>14</v>
      </c>
      <c r="D756" s="10" t="s">
        <v>1002</v>
      </c>
      <c r="E756" s="10" t="s">
        <v>1392</v>
      </c>
      <c r="F756" s="9"/>
      <c r="G756" s="9">
        <v>3</v>
      </c>
      <c r="H756" s="9">
        <v>0</v>
      </c>
      <c r="I756" s="9">
        <v>3</v>
      </c>
      <c r="J756" s="11">
        <v>0</v>
      </c>
      <c r="K756" s="24">
        <v>0.1</v>
      </c>
      <c r="L756" s="24">
        <v>0</v>
      </c>
      <c r="M756" s="24">
        <v>0</v>
      </c>
      <c r="N756" s="9">
        <v>0</v>
      </c>
      <c r="O756" s="9">
        <v>0</v>
      </c>
      <c r="P756" s="9">
        <v>0</v>
      </c>
      <c r="Q756" s="11">
        <v>0</v>
      </c>
      <c r="R756" s="10" t="s">
        <v>176</v>
      </c>
    </row>
    <row r="757" spans="1:18">
      <c r="A757" s="7">
        <v>46216</v>
      </c>
      <c r="B757" s="8">
        <v>46229</v>
      </c>
      <c r="C757" s="9">
        <v>14</v>
      </c>
      <c r="D757" s="10" t="s">
        <v>1002</v>
      </c>
      <c r="E757" s="10" t="s">
        <v>463</v>
      </c>
      <c r="F757" s="9"/>
      <c r="G757" s="9">
        <v>3</v>
      </c>
      <c r="H757" s="9">
        <v>0</v>
      </c>
      <c r="I757" s="9">
        <v>3</v>
      </c>
      <c r="J757" s="11">
        <v>0</v>
      </c>
      <c r="K757" s="24">
        <v>0.1</v>
      </c>
      <c r="L757" s="24">
        <v>0</v>
      </c>
      <c r="M757" s="24">
        <v>0</v>
      </c>
      <c r="N757" s="9">
        <v>0</v>
      </c>
      <c r="O757" s="9">
        <v>0</v>
      </c>
      <c r="P757" s="9">
        <v>0</v>
      </c>
      <c r="Q757" s="11">
        <v>0</v>
      </c>
      <c r="R757" s="10" t="s">
        <v>176</v>
      </c>
    </row>
    <row r="758" spans="1:18">
      <c r="A758" s="7">
        <v>46216</v>
      </c>
      <c r="B758" s="8">
        <v>46229</v>
      </c>
      <c r="C758" s="9">
        <v>14</v>
      </c>
      <c r="D758" s="10" t="s">
        <v>1002</v>
      </c>
      <c r="E758" s="10" t="s">
        <v>464</v>
      </c>
      <c r="F758" s="9"/>
      <c r="G758" s="9">
        <v>6</v>
      </c>
      <c r="H758" s="9">
        <v>0</v>
      </c>
      <c r="I758" s="9">
        <v>6</v>
      </c>
      <c r="J758" s="11">
        <v>0</v>
      </c>
      <c r="K758" s="24">
        <v>0.1</v>
      </c>
      <c r="L758" s="24">
        <v>0</v>
      </c>
      <c r="M758" s="24">
        <v>0</v>
      </c>
      <c r="N758" s="9">
        <v>0</v>
      </c>
      <c r="O758" s="9">
        <v>0</v>
      </c>
      <c r="P758" s="9">
        <v>0</v>
      </c>
      <c r="Q758" s="11">
        <v>0</v>
      </c>
      <c r="R758" s="10" t="s">
        <v>176</v>
      </c>
    </row>
    <row r="759" spans="1:18">
      <c r="A759" s="7">
        <v>46216</v>
      </c>
      <c r="B759" s="8">
        <v>46229</v>
      </c>
      <c r="C759" s="9">
        <v>14</v>
      </c>
      <c r="D759" s="10" t="s">
        <v>1002</v>
      </c>
      <c r="E759" s="10" t="s">
        <v>465</v>
      </c>
      <c r="F759" s="9"/>
      <c r="G759" s="9">
        <v>3</v>
      </c>
      <c r="H759" s="9">
        <v>0</v>
      </c>
      <c r="I759" s="9">
        <v>3</v>
      </c>
      <c r="J759" s="11">
        <v>0</v>
      </c>
      <c r="K759" s="24">
        <v>0.1</v>
      </c>
      <c r="L759" s="24">
        <v>0</v>
      </c>
      <c r="M759" s="24">
        <v>0</v>
      </c>
      <c r="N759" s="9">
        <v>0</v>
      </c>
      <c r="O759" s="9">
        <v>0</v>
      </c>
      <c r="P759" s="9">
        <v>0</v>
      </c>
      <c r="Q759" s="11">
        <v>0</v>
      </c>
      <c r="R759" s="10" t="s">
        <v>176</v>
      </c>
    </row>
    <row r="760" spans="1:18">
      <c r="A760" s="7">
        <v>46216</v>
      </c>
      <c r="B760" s="8">
        <v>46229</v>
      </c>
      <c r="C760" s="9">
        <v>14</v>
      </c>
      <c r="D760" s="10" t="s">
        <v>1002</v>
      </c>
      <c r="E760" s="10" t="s">
        <v>466</v>
      </c>
      <c r="F760" s="9"/>
      <c r="G760" s="9">
        <v>4</v>
      </c>
      <c r="H760" s="9">
        <v>0</v>
      </c>
      <c r="I760" s="9">
        <v>4</v>
      </c>
      <c r="J760" s="11">
        <v>0</v>
      </c>
      <c r="K760" s="24">
        <v>0.1</v>
      </c>
      <c r="L760" s="24">
        <v>0</v>
      </c>
      <c r="M760" s="24">
        <v>0</v>
      </c>
      <c r="N760" s="9">
        <v>0</v>
      </c>
      <c r="O760" s="9">
        <v>0</v>
      </c>
      <c r="P760" s="9">
        <v>0</v>
      </c>
      <c r="Q760" s="11">
        <v>0</v>
      </c>
      <c r="R760" s="10" t="s">
        <v>176</v>
      </c>
    </row>
    <row r="761" spans="1:18">
      <c r="A761" s="7">
        <v>46216</v>
      </c>
      <c r="B761" s="8">
        <v>46229</v>
      </c>
      <c r="C761" s="9">
        <v>14</v>
      </c>
      <c r="D761" s="10" t="s">
        <v>1002</v>
      </c>
      <c r="E761" s="10" t="s">
        <v>467</v>
      </c>
      <c r="F761" s="9"/>
      <c r="G761" s="9">
        <v>3</v>
      </c>
      <c r="H761" s="9">
        <v>0</v>
      </c>
      <c r="I761" s="9">
        <v>3</v>
      </c>
      <c r="J761" s="11">
        <v>0</v>
      </c>
      <c r="K761" s="24">
        <v>0.1</v>
      </c>
      <c r="L761" s="24">
        <v>0</v>
      </c>
      <c r="M761" s="24">
        <v>0</v>
      </c>
      <c r="N761" s="9">
        <v>0</v>
      </c>
      <c r="O761" s="9">
        <v>0</v>
      </c>
      <c r="P761" s="9">
        <v>0</v>
      </c>
      <c r="Q761" s="11">
        <v>0</v>
      </c>
      <c r="R761" s="10" t="s">
        <v>176</v>
      </c>
    </row>
    <row r="762" spans="1:18">
      <c r="A762" s="7">
        <v>46216</v>
      </c>
      <c r="B762" s="8">
        <v>46229</v>
      </c>
      <c r="C762" s="9">
        <v>14</v>
      </c>
      <c r="D762" s="10" t="s">
        <v>1002</v>
      </c>
      <c r="E762" s="10" t="s">
        <v>468</v>
      </c>
      <c r="F762" s="9"/>
      <c r="G762" s="9">
        <v>2</v>
      </c>
      <c r="H762" s="9">
        <v>0</v>
      </c>
      <c r="I762" s="9">
        <v>2</v>
      </c>
      <c r="J762" s="11">
        <v>0</v>
      </c>
      <c r="K762" s="24">
        <v>0.1</v>
      </c>
      <c r="L762" s="24">
        <v>0</v>
      </c>
      <c r="M762" s="24">
        <v>0</v>
      </c>
      <c r="N762" s="9">
        <v>0</v>
      </c>
      <c r="O762" s="9">
        <v>0</v>
      </c>
      <c r="P762" s="9">
        <v>0</v>
      </c>
      <c r="Q762" s="11">
        <v>0</v>
      </c>
      <c r="R762" s="10" t="s">
        <v>176</v>
      </c>
    </row>
    <row r="763" spans="1:18">
      <c r="A763" s="7">
        <v>46216</v>
      </c>
      <c r="B763" s="8">
        <v>46229</v>
      </c>
      <c r="C763" s="9">
        <v>14</v>
      </c>
      <c r="D763" s="10" t="s">
        <v>1002</v>
      </c>
      <c r="E763" s="10" t="s">
        <v>469</v>
      </c>
      <c r="F763" s="9"/>
      <c r="G763" s="9">
        <v>3</v>
      </c>
      <c r="H763" s="9">
        <v>0</v>
      </c>
      <c r="I763" s="9">
        <v>3</v>
      </c>
      <c r="J763" s="11">
        <v>0</v>
      </c>
      <c r="K763" s="24">
        <v>0.1</v>
      </c>
      <c r="L763" s="24">
        <v>0</v>
      </c>
      <c r="M763" s="24">
        <v>0</v>
      </c>
      <c r="N763" s="9">
        <v>0</v>
      </c>
      <c r="O763" s="9">
        <v>0</v>
      </c>
      <c r="P763" s="9">
        <v>0</v>
      </c>
      <c r="Q763" s="11">
        <v>0</v>
      </c>
      <c r="R763" s="10" t="s">
        <v>176</v>
      </c>
    </row>
    <row r="764" spans="1:18">
      <c r="A764" s="7">
        <v>46216</v>
      </c>
      <c r="B764" s="8">
        <v>46229</v>
      </c>
      <c r="C764" s="9">
        <v>14</v>
      </c>
      <c r="D764" s="10" t="s">
        <v>1002</v>
      </c>
      <c r="E764" s="10" t="s">
        <v>470</v>
      </c>
      <c r="F764" s="9"/>
      <c r="G764" s="9">
        <v>2</v>
      </c>
      <c r="H764" s="9">
        <v>0</v>
      </c>
      <c r="I764" s="9">
        <v>2</v>
      </c>
      <c r="J764" s="11">
        <v>0</v>
      </c>
      <c r="K764" s="24">
        <v>0.1</v>
      </c>
      <c r="L764" s="24">
        <v>0</v>
      </c>
      <c r="M764" s="24">
        <v>0</v>
      </c>
      <c r="N764" s="9">
        <v>0</v>
      </c>
      <c r="O764" s="9">
        <v>0</v>
      </c>
      <c r="P764" s="9">
        <v>0</v>
      </c>
      <c r="Q764" s="11">
        <v>0</v>
      </c>
      <c r="R764" s="10" t="s">
        <v>176</v>
      </c>
    </row>
    <row r="765" spans="1:18">
      <c r="A765" s="7">
        <v>46216</v>
      </c>
      <c r="B765" s="8">
        <v>46229</v>
      </c>
      <c r="C765" s="9">
        <v>14</v>
      </c>
      <c r="D765" s="10" t="s">
        <v>1002</v>
      </c>
      <c r="E765" s="10" t="s">
        <v>1102</v>
      </c>
      <c r="F765" s="9"/>
      <c r="G765" s="9">
        <v>7</v>
      </c>
      <c r="H765" s="9">
        <v>0</v>
      </c>
      <c r="I765" s="9">
        <v>7</v>
      </c>
      <c r="J765" s="11">
        <v>0</v>
      </c>
      <c r="K765" s="24">
        <v>0.1</v>
      </c>
      <c r="L765" s="24">
        <v>0</v>
      </c>
      <c r="M765" s="24">
        <v>0</v>
      </c>
      <c r="N765" s="9">
        <v>0</v>
      </c>
      <c r="O765" s="9">
        <v>0</v>
      </c>
      <c r="P765" s="9">
        <v>0</v>
      </c>
      <c r="Q765" s="11">
        <v>0</v>
      </c>
      <c r="R765" s="10" t="s">
        <v>176</v>
      </c>
    </row>
    <row r="766" spans="1:18">
      <c r="A766" s="7">
        <v>46216</v>
      </c>
      <c r="B766" s="8">
        <v>46229</v>
      </c>
      <c r="C766" s="9">
        <v>14</v>
      </c>
      <c r="D766" s="10" t="s">
        <v>1002</v>
      </c>
      <c r="E766" s="10" t="s">
        <v>471</v>
      </c>
      <c r="F766" s="9"/>
      <c r="G766" s="9">
        <v>12</v>
      </c>
      <c r="H766" s="9">
        <v>0</v>
      </c>
      <c r="I766" s="9">
        <v>12</v>
      </c>
      <c r="J766" s="11">
        <v>0</v>
      </c>
      <c r="K766" s="24">
        <v>0.1</v>
      </c>
      <c r="L766" s="24">
        <v>0</v>
      </c>
      <c r="M766" s="24">
        <v>0</v>
      </c>
      <c r="N766" s="9">
        <v>0</v>
      </c>
      <c r="O766" s="9">
        <v>0</v>
      </c>
      <c r="P766" s="9">
        <v>0</v>
      </c>
      <c r="Q766" s="11">
        <v>0</v>
      </c>
      <c r="R766" s="10" t="s">
        <v>176</v>
      </c>
    </row>
    <row r="767" spans="1:18">
      <c r="A767" s="7">
        <v>46216</v>
      </c>
      <c r="B767" s="8">
        <v>46229</v>
      </c>
      <c r="C767" s="9">
        <v>14</v>
      </c>
      <c r="D767" s="10" t="s">
        <v>1002</v>
      </c>
      <c r="E767" s="10" t="s">
        <v>1581</v>
      </c>
      <c r="F767" s="9"/>
      <c r="G767" s="9">
        <v>2</v>
      </c>
      <c r="H767" s="9">
        <v>0</v>
      </c>
      <c r="I767" s="9">
        <v>2</v>
      </c>
      <c r="J767" s="11">
        <v>0</v>
      </c>
      <c r="K767" s="24">
        <v>0.1</v>
      </c>
      <c r="L767" s="24">
        <v>0</v>
      </c>
      <c r="M767" s="24">
        <v>0</v>
      </c>
      <c r="N767" s="9">
        <v>0</v>
      </c>
      <c r="O767" s="9">
        <v>0</v>
      </c>
      <c r="P767" s="9">
        <v>0</v>
      </c>
      <c r="Q767" s="11">
        <v>0</v>
      </c>
      <c r="R767" s="10" t="s">
        <v>176</v>
      </c>
    </row>
    <row r="768" spans="1:18">
      <c r="A768" s="7">
        <v>46216</v>
      </c>
      <c r="B768" s="8">
        <v>46229</v>
      </c>
      <c r="C768" s="9">
        <v>14</v>
      </c>
      <c r="D768" s="10" t="s">
        <v>1002</v>
      </c>
      <c r="E768" s="10" t="s">
        <v>1398</v>
      </c>
      <c r="F768" s="9"/>
      <c r="G768" s="9">
        <v>3</v>
      </c>
      <c r="H768" s="9">
        <v>0</v>
      </c>
      <c r="I768" s="9">
        <v>3</v>
      </c>
      <c r="J768" s="11">
        <v>0</v>
      </c>
      <c r="K768" s="24">
        <v>0.1</v>
      </c>
      <c r="L768" s="24">
        <v>0</v>
      </c>
      <c r="M768" s="24">
        <v>0</v>
      </c>
      <c r="N768" s="9">
        <v>0</v>
      </c>
      <c r="O768" s="9">
        <v>0</v>
      </c>
      <c r="P768" s="9">
        <v>0</v>
      </c>
      <c r="Q768" s="11">
        <v>0</v>
      </c>
      <c r="R768" s="10" t="s">
        <v>176</v>
      </c>
    </row>
    <row r="769" spans="1:18">
      <c r="A769" s="7">
        <v>46216</v>
      </c>
      <c r="B769" s="8">
        <v>46229</v>
      </c>
      <c r="C769" s="9">
        <v>14</v>
      </c>
      <c r="D769" s="10" t="s">
        <v>1002</v>
      </c>
      <c r="E769" s="10" t="s">
        <v>1280</v>
      </c>
      <c r="F769" s="9"/>
      <c r="G769" s="9">
        <v>4</v>
      </c>
      <c r="H769" s="9">
        <v>0</v>
      </c>
      <c r="I769" s="9">
        <v>4</v>
      </c>
      <c r="J769" s="11">
        <v>0</v>
      </c>
      <c r="K769" s="24">
        <v>0.1</v>
      </c>
      <c r="L769" s="24">
        <v>0</v>
      </c>
      <c r="M769" s="24">
        <v>0</v>
      </c>
      <c r="N769" s="9">
        <v>0</v>
      </c>
      <c r="O769" s="9">
        <v>0</v>
      </c>
      <c r="P769" s="9">
        <v>0</v>
      </c>
      <c r="Q769" s="11">
        <v>0</v>
      </c>
      <c r="R769" s="10" t="s">
        <v>176</v>
      </c>
    </row>
    <row r="770" spans="1:18">
      <c r="A770" s="7">
        <v>46216</v>
      </c>
      <c r="B770" s="8">
        <v>46229</v>
      </c>
      <c r="C770" s="9">
        <v>14</v>
      </c>
      <c r="D770" s="10" t="s">
        <v>1002</v>
      </c>
      <c r="E770" s="10" t="s">
        <v>472</v>
      </c>
      <c r="F770" s="9"/>
      <c r="G770" s="9">
        <v>13</v>
      </c>
      <c r="H770" s="9">
        <v>0</v>
      </c>
      <c r="I770" s="9">
        <v>13</v>
      </c>
      <c r="J770" s="11">
        <v>0</v>
      </c>
      <c r="K770" s="24">
        <v>0.1</v>
      </c>
      <c r="L770" s="24">
        <v>0</v>
      </c>
      <c r="M770" s="24">
        <v>0</v>
      </c>
      <c r="N770" s="9">
        <v>1</v>
      </c>
      <c r="O770" s="9">
        <v>1</v>
      </c>
      <c r="P770" s="9">
        <v>1</v>
      </c>
      <c r="Q770" s="11">
        <v>7.69230769230769E-2</v>
      </c>
      <c r="R770" s="10" t="s">
        <v>3075</v>
      </c>
    </row>
    <row r="771" spans="1:18">
      <c r="A771" s="7">
        <v>46216</v>
      </c>
      <c r="B771" s="8">
        <v>46229</v>
      </c>
      <c r="C771" s="9">
        <v>14</v>
      </c>
      <c r="D771" s="10" t="s">
        <v>1002</v>
      </c>
      <c r="E771" s="10" t="s">
        <v>1017</v>
      </c>
      <c r="F771" s="9"/>
      <c r="G771" s="9">
        <v>15</v>
      </c>
      <c r="H771" s="9">
        <v>0</v>
      </c>
      <c r="I771" s="9">
        <v>15</v>
      </c>
      <c r="J771" s="11">
        <v>0</v>
      </c>
      <c r="K771" s="24">
        <v>0.1</v>
      </c>
      <c r="L771" s="24">
        <v>0</v>
      </c>
      <c r="M771" s="24">
        <v>0</v>
      </c>
      <c r="N771" s="9">
        <v>0</v>
      </c>
      <c r="O771" s="9">
        <v>0</v>
      </c>
      <c r="P771" s="9">
        <v>0</v>
      </c>
      <c r="Q771" s="11">
        <v>0</v>
      </c>
      <c r="R771" s="10" t="s">
        <v>176</v>
      </c>
    </row>
    <row r="772" spans="1:18">
      <c r="A772" s="7">
        <v>46216</v>
      </c>
      <c r="B772" s="8">
        <v>46229</v>
      </c>
      <c r="C772" s="9">
        <v>14</v>
      </c>
      <c r="D772" s="10" t="s">
        <v>1002</v>
      </c>
      <c r="E772" s="10" t="s">
        <v>1583</v>
      </c>
      <c r="F772" s="9"/>
      <c r="G772" s="9">
        <v>2</v>
      </c>
      <c r="H772" s="9">
        <v>0</v>
      </c>
      <c r="I772" s="9">
        <v>2</v>
      </c>
      <c r="J772" s="11">
        <v>0</v>
      </c>
      <c r="K772" s="24">
        <v>0.1</v>
      </c>
      <c r="L772" s="24">
        <v>0</v>
      </c>
      <c r="M772" s="24">
        <v>0</v>
      </c>
      <c r="N772" s="9">
        <v>0</v>
      </c>
      <c r="O772" s="9">
        <v>0</v>
      </c>
      <c r="P772" s="9">
        <v>0</v>
      </c>
      <c r="Q772" s="11">
        <v>0</v>
      </c>
      <c r="R772" s="10" t="s">
        <v>176</v>
      </c>
    </row>
    <row r="773" spans="1:18">
      <c r="A773" s="7">
        <v>46216</v>
      </c>
      <c r="B773" s="8">
        <v>46229</v>
      </c>
      <c r="C773" s="9">
        <v>14</v>
      </c>
      <c r="D773" s="10" t="s">
        <v>1002</v>
      </c>
      <c r="E773" s="10" t="s">
        <v>1019</v>
      </c>
      <c r="F773" s="9"/>
      <c r="G773" s="9">
        <v>15</v>
      </c>
      <c r="H773" s="9">
        <v>0</v>
      </c>
      <c r="I773" s="9">
        <v>15</v>
      </c>
      <c r="J773" s="11">
        <v>0</v>
      </c>
      <c r="K773" s="24">
        <v>0.1</v>
      </c>
      <c r="L773" s="24">
        <v>0</v>
      </c>
      <c r="M773" s="24">
        <v>0</v>
      </c>
      <c r="N773" s="9">
        <v>0</v>
      </c>
      <c r="O773" s="9">
        <v>0</v>
      </c>
      <c r="P773" s="9">
        <v>0</v>
      </c>
      <c r="Q773" s="11">
        <v>0</v>
      </c>
      <c r="R773" s="10" t="s">
        <v>176</v>
      </c>
    </row>
    <row r="774" spans="1:18">
      <c r="A774" s="7">
        <v>46216</v>
      </c>
      <c r="B774" s="8">
        <v>46229</v>
      </c>
      <c r="C774" s="9">
        <v>14</v>
      </c>
      <c r="D774" s="10" t="s">
        <v>1002</v>
      </c>
      <c r="E774" s="10" t="s">
        <v>1137</v>
      </c>
      <c r="F774" s="9"/>
      <c r="G774" s="9">
        <v>6</v>
      </c>
      <c r="H774" s="9">
        <v>0</v>
      </c>
      <c r="I774" s="9">
        <v>6</v>
      </c>
      <c r="J774" s="11">
        <v>0</v>
      </c>
      <c r="K774" s="24">
        <v>0.1</v>
      </c>
      <c r="L774" s="24">
        <v>0</v>
      </c>
      <c r="M774" s="24">
        <v>0</v>
      </c>
      <c r="N774" s="9">
        <v>0</v>
      </c>
      <c r="O774" s="9">
        <v>0</v>
      </c>
      <c r="P774" s="9">
        <v>0</v>
      </c>
      <c r="Q774" s="11">
        <v>0</v>
      </c>
      <c r="R774" s="10" t="s">
        <v>176</v>
      </c>
    </row>
    <row r="775" spans="1:18">
      <c r="A775" s="7">
        <v>46216</v>
      </c>
      <c r="B775" s="8">
        <v>46229</v>
      </c>
      <c r="C775" s="9">
        <v>14</v>
      </c>
      <c r="D775" s="10" t="s">
        <v>1002</v>
      </c>
      <c r="E775" s="10" t="s">
        <v>1139</v>
      </c>
      <c r="F775" s="9"/>
      <c r="G775" s="9">
        <v>6</v>
      </c>
      <c r="H775" s="9">
        <v>0</v>
      </c>
      <c r="I775" s="9">
        <v>6</v>
      </c>
      <c r="J775" s="11">
        <v>0</v>
      </c>
      <c r="K775" s="24">
        <v>0.1</v>
      </c>
      <c r="L775" s="24">
        <v>0</v>
      </c>
      <c r="M775" s="24">
        <v>0</v>
      </c>
      <c r="N775" s="9">
        <v>0</v>
      </c>
      <c r="O775" s="9">
        <v>0</v>
      </c>
      <c r="P775" s="9">
        <v>0</v>
      </c>
      <c r="Q775" s="11">
        <v>0</v>
      </c>
      <c r="R775" s="10" t="s">
        <v>176</v>
      </c>
    </row>
    <row r="776" spans="1:18">
      <c r="A776" s="7">
        <v>46216</v>
      </c>
      <c r="B776" s="8">
        <v>46229</v>
      </c>
      <c r="C776" s="9">
        <v>14</v>
      </c>
      <c r="D776" s="10" t="s">
        <v>1002</v>
      </c>
      <c r="E776" s="10" t="s">
        <v>1021</v>
      </c>
      <c r="F776" s="9"/>
      <c r="G776" s="9">
        <v>15</v>
      </c>
      <c r="H776" s="9">
        <v>0</v>
      </c>
      <c r="I776" s="9">
        <v>15</v>
      </c>
      <c r="J776" s="11">
        <v>0</v>
      </c>
      <c r="K776" s="24">
        <v>0.1</v>
      </c>
      <c r="L776" s="24">
        <v>0</v>
      </c>
      <c r="M776" s="24">
        <v>0</v>
      </c>
      <c r="N776" s="9">
        <v>0</v>
      </c>
      <c r="O776" s="9">
        <v>0</v>
      </c>
      <c r="P776" s="9">
        <v>0</v>
      </c>
      <c r="Q776" s="11">
        <v>0</v>
      </c>
      <c r="R776" s="10" t="s">
        <v>176</v>
      </c>
    </row>
    <row r="777" spans="1:18">
      <c r="A777" s="7">
        <v>46216</v>
      </c>
      <c r="B777" s="8">
        <v>46229</v>
      </c>
      <c r="C777" s="9">
        <v>14</v>
      </c>
      <c r="D777" s="10" t="s">
        <v>1002</v>
      </c>
      <c r="E777" s="10" t="s">
        <v>473</v>
      </c>
      <c r="F777" s="9"/>
      <c r="G777" s="9">
        <v>2</v>
      </c>
      <c r="H777" s="9">
        <v>0</v>
      </c>
      <c r="I777" s="9">
        <v>2</v>
      </c>
      <c r="J777" s="11">
        <v>0</v>
      </c>
      <c r="K777" s="24">
        <v>0.1</v>
      </c>
      <c r="L777" s="24">
        <v>0</v>
      </c>
      <c r="M777" s="24">
        <v>0</v>
      </c>
      <c r="N777" s="9">
        <v>0</v>
      </c>
      <c r="O777" s="9">
        <v>0</v>
      </c>
      <c r="P777" s="9">
        <v>0</v>
      </c>
      <c r="Q777" s="11">
        <v>0</v>
      </c>
      <c r="R777" s="10" t="s">
        <v>176</v>
      </c>
    </row>
    <row r="778" spans="1:18">
      <c r="A778" s="7">
        <v>46216</v>
      </c>
      <c r="B778" s="8">
        <v>46229</v>
      </c>
      <c r="C778" s="9">
        <v>14</v>
      </c>
      <c r="D778" s="10" t="s">
        <v>1002</v>
      </c>
      <c r="E778" s="10" t="s">
        <v>474</v>
      </c>
      <c r="F778" s="9"/>
      <c r="G778" s="9">
        <v>3</v>
      </c>
      <c r="H778" s="9">
        <v>0</v>
      </c>
      <c r="I778" s="9">
        <v>3</v>
      </c>
      <c r="J778" s="11">
        <v>0</v>
      </c>
      <c r="K778" s="24">
        <v>0.1</v>
      </c>
      <c r="L778" s="24">
        <v>0</v>
      </c>
      <c r="M778" s="24">
        <v>0</v>
      </c>
      <c r="N778" s="9">
        <v>0</v>
      </c>
      <c r="O778" s="9">
        <v>0</v>
      </c>
      <c r="P778" s="9">
        <v>0</v>
      </c>
      <c r="Q778" s="11">
        <v>0</v>
      </c>
      <c r="R778" s="10" t="s">
        <v>176</v>
      </c>
    </row>
    <row r="779" spans="1:18">
      <c r="A779" s="7">
        <v>46216</v>
      </c>
      <c r="B779" s="8">
        <v>46229</v>
      </c>
      <c r="C779" s="9">
        <v>14</v>
      </c>
      <c r="D779" s="10" t="s">
        <v>1002</v>
      </c>
      <c r="E779" s="10" t="s">
        <v>475</v>
      </c>
      <c r="F779" s="9"/>
      <c r="G779" s="9">
        <v>2</v>
      </c>
      <c r="H779" s="9">
        <v>0</v>
      </c>
      <c r="I779" s="9">
        <v>2</v>
      </c>
      <c r="J779" s="11">
        <v>0</v>
      </c>
      <c r="K779" s="24">
        <v>0.1</v>
      </c>
      <c r="L779" s="24">
        <v>0</v>
      </c>
      <c r="M779" s="24">
        <v>0</v>
      </c>
      <c r="N779" s="9">
        <v>0</v>
      </c>
      <c r="O779" s="9">
        <v>0</v>
      </c>
      <c r="P779" s="9">
        <v>0</v>
      </c>
      <c r="Q779" s="11">
        <v>0</v>
      </c>
      <c r="R779" s="10" t="s">
        <v>176</v>
      </c>
    </row>
    <row r="780" spans="1:18">
      <c r="A780" s="7">
        <v>46216</v>
      </c>
      <c r="B780" s="8">
        <v>46229</v>
      </c>
      <c r="C780" s="9">
        <v>14</v>
      </c>
      <c r="D780" s="10" t="s">
        <v>1002</v>
      </c>
      <c r="E780" s="10" t="s">
        <v>2139</v>
      </c>
      <c r="F780" s="9"/>
      <c r="G780" s="9">
        <v>2</v>
      </c>
      <c r="H780" s="9">
        <v>0</v>
      </c>
      <c r="I780" s="9">
        <v>2</v>
      </c>
      <c r="J780" s="11">
        <v>0</v>
      </c>
      <c r="K780" s="24">
        <v>0.1</v>
      </c>
      <c r="L780" s="24">
        <v>0</v>
      </c>
      <c r="M780" s="24">
        <v>0</v>
      </c>
      <c r="N780" s="9">
        <v>0</v>
      </c>
      <c r="O780" s="9">
        <v>0</v>
      </c>
      <c r="P780" s="9">
        <v>0</v>
      </c>
      <c r="Q780" s="11">
        <v>0</v>
      </c>
      <c r="R780" s="10" t="s">
        <v>176</v>
      </c>
    </row>
    <row r="781" spans="1:18">
      <c r="A781" s="7">
        <v>46216</v>
      </c>
      <c r="B781" s="8">
        <v>46229</v>
      </c>
      <c r="C781" s="9">
        <v>14</v>
      </c>
      <c r="D781" s="10" t="s">
        <v>1002</v>
      </c>
      <c r="E781" s="10" t="s">
        <v>476</v>
      </c>
      <c r="F781" s="9"/>
      <c r="G781" s="9">
        <v>2</v>
      </c>
      <c r="H781" s="9">
        <v>0</v>
      </c>
      <c r="I781" s="9">
        <v>2</v>
      </c>
      <c r="J781" s="11">
        <v>0</v>
      </c>
      <c r="K781" s="24">
        <v>0.1</v>
      </c>
      <c r="L781" s="24">
        <v>0</v>
      </c>
      <c r="M781" s="24">
        <v>0</v>
      </c>
      <c r="N781" s="9">
        <v>0</v>
      </c>
      <c r="O781" s="9">
        <v>0</v>
      </c>
      <c r="P781" s="9">
        <v>0</v>
      </c>
      <c r="Q781" s="11">
        <v>0</v>
      </c>
      <c r="R781" s="10" t="s">
        <v>176</v>
      </c>
    </row>
    <row r="782" spans="1:18">
      <c r="A782" s="7">
        <v>46216</v>
      </c>
      <c r="B782" s="8">
        <v>46229</v>
      </c>
      <c r="C782" s="9">
        <v>14</v>
      </c>
      <c r="D782" s="10" t="s">
        <v>1002</v>
      </c>
      <c r="E782" s="10" t="s">
        <v>477</v>
      </c>
      <c r="F782" s="9"/>
      <c r="G782" s="9">
        <v>4</v>
      </c>
      <c r="H782" s="9">
        <v>0</v>
      </c>
      <c r="I782" s="9">
        <v>4</v>
      </c>
      <c r="J782" s="11">
        <v>0</v>
      </c>
      <c r="K782" s="24">
        <v>0.1</v>
      </c>
      <c r="L782" s="24">
        <v>0</v>
      </c>
      <c r="M782" s="24">
        <v>0</v>
      </c>
      <c r="N782" s="9">
        <v>0</v>
      </c>
      <c r="O782" s="9">
        <v>0</v>
      </c>
      <c r="P782" s="9">
        <v>0</v>
      </c>
      <c r="Q782" s="11">
        <v>0</v>
      </c>
      <c r="R782" s="10" t="s">
        <v>176</v>
      </c>
    </row>
    <row r="783" spans="1:18">
      <c r="A783" s="7">
        <v>46216</v>
      </c>
      <c r="B783" s="8">
        <v>46229</v>
      </c>
      <c r="C783" s="9">
        <v>14</v>
      </c>
      <c r="D783" s="10" t="s">
        <v>1002</v>
      </c>
      <c r="E783" s="10" t="s">
        <v>478</v>
      </c>
      <c r="F783" s="9"/>
      <c r="G783" s="9">
        <v>3</v>
      </c>
      <c r="H783" s="9">
        <v>0</v>
      </c>
      <c r="I783" s="9">
        <v>3</v>
      </c>
      <c r="J783" s="11">
        <v>0</v>
      </c>
      <c r="K783" s="24">
        <v>0.1</v>
      </c>
      <c r="L783" s="24">
        <v>0</v>
      </c>
      <c r="M783" s="24">
        <v>0</v>
      </c>
      <c r="N783" s="9">
        <v>0</v>
      </c>
      <c r="O783" s="9">
        <v>0</v>
      </c>
      <c r="P783" s="9">
        <v>0</v>
      </c>
      <c r="Q783" s="11">
        <v>0</v>
      </c>
      <c r="R783" s="10" t="s">
        <v>176</v>
      </c>
    </row>
    <row r="784" spans="1:18">
      <c r="A784" s="7">
        <v>46216</v>
      </c>
      <c r="B784" s="8">
        <v>46229</v>
      </c>
      <c r="C784" s="9">
        <v>14</v>
      </c>
      <c r="D784" s="10" t="s">
        <v>1002</v>
      </c>
      <c r="E784" s="10" t="s">
        <v>479</v>
      </c>
      <c r="F784" s="9"/>
      <c r="G784" s="9">
        <v>2</v>
      </c>
      <c r="H784" s="9">
        <v>0</v>
      </c>
      <c r="I784" s="9">
        <v>2</v>
      </c>
      <c r="J784" s="11">
        <v>0</v>
      </c>
      <c r="K784" s="24">
        <v>0.1</v>
      </c>
      <c r="L784" s="24">
        <v>0</v>
      </c>
      <c r="M784" s="24">
        <v>0</v>
      </c>
      <c r="N784" s="9">
        <v>0</v>
      </c>
      <c r="O784" s="9">
        <v>0</v>
      </c>
      <c r="P784" s="9">
        <v>0</v>
      </c>
      <c r="Q784" s="11">
        <v>0</v>
      </c>
      <c r="R784" s="10" t="s">
        <v>176</v>
      </c>
    </row>
    <row r="785" spans="1:18">
      <c r="A785" s="7">
        <v>46216</v>
      </c>
      <c r="B785" s="8">
        <v>46229</v>
      </c>
      <c r="C785" s="9">
        <v>14</v>
      </c>
      <c r="D785" s="10" t="s">
        <v>1002</v>
      </c>
      <c r="E785" s="10" t="s">
        <v>480</v>
      </c>
      <c r="F785" s="9"/>
      <c r="G785" s="9">
        <v>3</v>
      </c>
      <c r="H785" s="9">
        <v>0</v>
      </c>
      <c r="I785" s="9">
        <v>3</v>
      </c>
      <c r="J785" s="11">
        <v>0</v>
      </c>
      <c r="K785" s="24">
        <v>0.1</v>
      </c>
      <c r="L785" s="24">
        <v>0</v>
      </c>
      <c r="M785" s="24">
        <v>0</v>
      </c>
      <c r="N785" s="9">
        <v>0</v>
      </c>
      <c r="O785" s="9">
        <v>0</v>
      </c>
      <c r="P785" s="9">
        <v>0</v>
      </c>
      <c r="Q785" s="11">
        <v>0</v>
      </c>
      <c r="R785" s="10" t="s">
        <v>176</v>
      </c>
    </row>
    <row r="786" spans="1:18">
      <c r="A786" s="7">
        <v>46216</v>
      </c>
      <c r="B786" s="8">
        <v>46229</v>
      </c>
      <c r="C786" s="9">
        <v>14</v>
      </c>
      <c r="D786" s="10" t="s">
        <v>1002</v>
      </c>
      <c r="E786" s="10" t="s">
        <v>481</v>
      </c>
      <c r="F786" s="9"/>
      <c r="G786" s="9">
        <v>4</v>
      </c>
      <c r="H786" s="9">
        <v>0</v>
      </c>
      <c r="I786" s="9">
        <v>4</v>
      </c>
      <c r="J786" s="11">
        <v>0</v>
      </c>
      <c r="K786" s="24">
        <v>0.1</v>
      </c>
      <c r="L786" s="24">
        <v>0</v>
      </c>
      <c r="M786" s="24">
        <v>0</v>
      </c>
      <c r="N786" s="9">
        <v>0</v>
      </c>
      <c r="O786" s="9">
        <v>0</v>
      </c>
      <c r="P786" s="9">
        <v>0</v>
      </c>
      <c r="Q786" s="11">
        <v>0</v>
      </c>
      <c r="R786" s="10" t="s">
        <v>176</v>
      </c>
    </row>
    <row r="787" spans="1:18">
      <c r="A787" s="7">
        <v>46216</v>
      </c>
      <c r="B787" s="8">
        <v>46229</v>
      </c>
      <c r="C787" s="9">
        <v>14</v>
      </c>
      <c r="D787" s="10" t="s">
        <v>1002</v>
      </c>
      <c r="E787" s="10" t="s">
        <v>482</v>
      </c>
      <c r="F787" s="9"/>
      <c r="G787" s="9">
        <v>2</v>
      </c>
      <c r="H787" s="9">
        <v>0</v>
      </c>
      <c r="I787" s="9">
        <v>2</v>
      </c>
      <c r="J787" s="11">
        <v>0</v>
      </c>
      <c r="K787" s="24">
        <v>0.1</v>
      </c>
      <c r="L787" s="24">
        <v>0</v>
      </c>
      <c r="M787" s="24">
        <v>0</v>
      </c>
      <c r="N787" s="9">
        <v>0</v>
      </c>
      <c r="O787" s="9">
        <v>0</v>
      </c>
      <c r="P787" s="9">
        <v>0</v>
      </c>
      <c r="Q787" s="11">
        <v>0</v>
      </c>
      <c r="R787" s="10" t="s">
        <v>176</v>
      </c>
    </row>
    <row r="788" spans="1:18">
      <c r="A788" s="7">
        <v>46216</v>
      </c>
      <c r="B788" s="8">
        <v>46229</v>
      </c>
      <c r="C788" s="9">
        <v>14</v>
      </c>
      <c r="D788" s="10" t="s">
        <v>1002</v>
      </c>
      <c r="E788" s="10" t="s">
        <v>483</v>
      </c>
      <c r="F788" s="9"/>
      <c r="G788" s="9">
        <v>4</v>
      </c>
      <c r="H788" s="9">
        <v>0</v>
      </c>
      <c r="I788" s="9">
        <v>4</v>
      </c>
      <c r="J788" s="11">
        <v>0</v>
      </c>
      <c r="K788" s="24">
        <v>0.1</v>
      </c>
      <c r="L788" s="24">
        <v>0</v>
      </c>
      <c r="M788" s="24">
        <v>0</v>
      </c>
      <c r="N788" s="9">
        <v>0</v>
      </c>
      <c r="O788" s="9">
        <v>0</v>
      </c>
      <c r="P788" s="9">
        <v>0</v>
      </c>
      <c r="Q788" s="11">
        <v>0</v>
      </c>
      <c r="R788" s="10" t="s">
        <v>176</v>
      </c>
    </row>
    <row r="789" spans="1:18">
      <c r="A789" s="7">
        <v>46216</v>
      </c>
      <c r="B789" s="8">
        <v>46229</v>
      </c>
      <c r="C789" s="9">
        <v>14</v>
      </c>
      <c r="D789" s="10" t="s">
        <v>1002</v>
      </c>
      <c r="E789" s="10" t="s">
        <v>2140</v>
      </c>
      <c r="F789" s="9"/>
      <c r="G789" s="9">
        <v>2</v>
      </c>
      <c r="H789" s="9">
        <v>0</v>
      </c>
      <c r="I789" s="9">
        <v>2</v>
      </c>
      <c r="J789" s="11">
        <v>0</v>
      </c>
      <c r="K789" s="24">
        <v>0.1</v>
      </c>
      <c r="L789" s="24">
        <v>0</v>
      </c>
      <c r="M789" s="24">
        <v>0</v>
      </c>
      <c r="N789" s="9">
        <v>0</v>
      </c>
      <c r="O789" s="9">
        <v>0</v>
      </c>
      <c r="P789" s="9">
        <v>0</v>
      </c>
      <c r="Q789" s="11">
        <v>0</v>
      </c>
      <c r="R789" s="10" t="s">
        <v>176</v>
      </c>
    </row>
    <row r="790" spans="1:18">
      <c r="A790" s="7">
        <v>46216</v>
      </c>
      <c r="B790" s="8">
        <v>46229</v>
      </c>
      <c r="C790" s="9">
        <v>14</v>
      </c>
      <c r="D790" s="10" t="s">
        <v>1002</v>
      </c>
      <c r="E790" s="10" t="s">
        <v>2141</v>
      </c>
      <c r="F790" s="9"/>
      <c r="G790" s="9">
        <v>3</v>
      </c>
      <c r="H790" s="9">
        <v>0</v>
      </c>
      <c r="I790" s="9">
        <v>3</v>
      </c>
      <c r="J790" s="11">
        <v>0</v>
      </c>
      <c r="K790" s="24">
        <v>0.1</v>
      </c>
      <c r="L790" s="24">
        <v>0</v>
      </c>
      <c r="M790" s="24">
        <v>0</v>
      </c>
      <c r="N790" s="9">
        <v>0</v>
      </c>
      <c r="O790" s="9">
        <v>0</v>
      </c>
      <c r="P790" s="9">
        <v>0</v>
      </c>
      <c r="Q790" s="11">
        <v>0</v>
      </c>
      <c r="R790" s="10" t="s">
        <v>176</v>
      </c>
    </row>
    <row r="791" spans="1:18">
      <c r="A791" s="7">
        <v>46216</v>
      </c>
      <c r="B791" s="8">
        <v>46229</v>
      </c>
      <c r="C791" s="9">
        <v>14</v>
      </c>
      <c r="D791" s="10" t="s">
        <v>1002</v>
      </c>
      <c r="E791" s="10" t="s">
        <v>484</v>
      </c>
      <c r="F791" s="9"/>
      <c r="G791" s="9">
        <v>1</v>
      </c>
      <c r="H791" s="9">
        <v>0</v>
      </c>
      <c r="I791" s="9">
        <v>1</v>
      </c>
      <c r="J791" s="11">
        <v>0</v>
      </c>
      <c r="K791" s="24">
        <v>0.1</v>
      </c>
      <c r="L791" s="24">
        <v>0</v>
      </c>
      <c r="M791" s="24">
        <v>0</v>
      </c>
      <c r="N791" s="9">
        <v>0</v>
      </c>
      <c r="O791" s="9">
        <v>0</v>
      </c>
      <c r="P791" s="9">
        <v>0</v>
      </c>
      <c r="Q791" s="11">
        <v>0</v>
      </c>
      <c r="R791" s="10" t="s">
        <v>176</v>
      </c>
    </row>
    <row r="792" spans="1:18">
      <c r="A792" s="7">
        <v>46216</v>
      </c>
      <c r="B792" s="8">
        <v>46229</v>
      </c>
      <c r="C792" s="9">
        <v>14</v>
      </c>
      <c r="D792" s="10" t="s">
        <v>1002</v>
      </c>
      <c r="E792" s="10" t="s">
        <v>485</v>
      </c>
      <c r="F792" s="9"/>
      <c r="G792" s="9">
        <v>3</v>
      </c>
      <c r="H792" s="9">
        <v>0</v>
      </c>
      <c r="I792" s="9">
        <v>3</v>
      </c>
      <c r="J792" s="11">
        <v>0</v>
      </c>
      <c r="K792" s="24">
        <v>0.1</v>
      </c>
      <c r="L792" s="24">
        <v>0</v>
      </c>
      <c r="M792" s="24">
        <v>0</v>
      </c>
      <c r="N792" s="9">
        <v>0</v>
      </c>
      <c r="O792" s="9">
        <v>0</v>
      </c>
      <c r="P792" s="9">
        <v>0</v>
      </c>
      <c r="Q792" s="11">
        <v>0</v>
      </c>
      <c r="R792" s="10" t="s">
        <v>176</v>
      </c>
    </row>
    <row r="793" spans="1:18">
      <c r="A793" s="7">
        <v>46216</v>
      </c>
      <c r="B793" s="8">
        <v>46229</v>
      </c>
      <c r="C793" s="9">
        <v>14</v>
      </c>
      <c r="D793" s="10" t="s">
        <v>1002</v>
      </c>
      <c r="E793" s="10" t="s">
        <v>486</v>
      </c>
      <c r="F793" s="9"/>
      <c r="G793" s="9">
        <v>3</v>
      </c>
      <c r="H793" s="9">
        <v>0</v>
      </c>
      <c r="I793" s="9">
        <v>3</v>
      </c>
      <c r="J793" s="11">
        <v>0</v>
      </c>
      <c r="K793" s="24">
        <v>0.1</v>
      </c>
      <c r="L793" s="24">
        <v>0</v>
      </c>
      <c r="M793" s="24">
        <v>0</v>
      </c>
      <c r="N793" s="9">
        <v>0</v>
      </c>
      <c r="O793" s="9">
        <v>0</v>
      </c>
      <c r="P793" s="9">
        <v>0</v>
      </c>
      <c r="Q793" s="11">
        <v>0</v>
      </c>
      <c r="R793" s="10" t="s">
        <v>176</v>
      </c>
    </row>
    <row r="794" spans="1:18">
      <c r="A794" s="7">
        <v>46216</v>
      </c>
      <c r="B794" s="8">
        <v>46229</v>
      </c>
      <c r="C794" s="9">
        <v>14</v>
      </c>
      <c r="D794" s="10" t="s">
        <v>1002</v>
      </c>
      <c r="E794" s="10" t="s">
        <v>487</v>
      </c>
      <c r="F794" s="9"/>
      <c r="G794" s="9">
        <v>3</v>
      </c>
      <c r="H794" s="9">
        <v>0</v>
      </c>
      <c r="I794" s="9">
        <v>3</v>
      </c>
      <c r="J794" s="11">
        <v>0</v>
      </c>
      <c r="K794" s="24">
        <v>0.1</v>
      </c>
      <c r="L794" s="24">
        <v>0</v>
      </c>
      <c r="M794" s="24">
        <v>0</v>
      </c>
      <c r="N794" s="9">
        <v>0</v>
      </c>
      <c r="O794" s="9">
        <v>0</v>
      </c>
      <c r="P794" s="9">
        <v>0</v>
      </c>
      <c r="Q794" s="11">
        <v>0</v>
      </c>
      <c r="R794" s="10" t="s">
        <v>176</v>
      </c>
    </row>
    <row r="795" spans="1:18">
      <c r="A795" s="7">
        <v>46216</v>
      </c>
      <c r="B795" s="8">
        <v>46229</v>
      </c>
      <c r="C795" s="9">
        <v>14</v>
      </c>
      <c r="D795" s="10" t="s">
        <v>1002</v>
      </c>
      <c r="E795" s="10" t="s">
        <v>488</v>
      </c>
      <c r="F795" s="9"/>
      <c r="G795" s="9">
        <v>3</v>
      </c>
      <c r="H795" s="9">
        <v>0</v>
      </c>
      <c r="I795" s="9">
        <v>3</v>
      </c>
      <c r="J795" s="11">
        <v>0</v>
      </c>
      <c r="K795" s="24">
        <v>0.1</v>
      </c>
      <c r="L795" s="24">
        <v>0</v>
      </c>
      <c r="M795" s="24">
        <v>0</v>
      </c>
      <c r="N795" s="9">
        <v>0</v>
      </c>
      <c r="O795" s="9">
        <v>0</v>
      </c>
      <c r="P795" s="9">
        <v>0</v>
      </c>
      <c r="Q795" s="11">
        <v>0</v>
      </c>
      <c r="R795" s="10" t="s">
        <v>176</v>
      </c>
    </row>
    <row r="796" spans="1:18">
      <c r="A796" s="7">
        <v>46216</v>
      </c>
      <c r="B796" s="8">
        <v>46229</v>
      </c>
      <c r="C796" s="9">
        <v>14</v>
      </c>
      <c r="D796" s="10" t="s">
        <v>1002</v>
      </c>
      <c r="E796" s="10" t="s">
        <v>489</v>
      </c>
      <c r="F796" s="9"/>
      <c r="G796" s="9">
        <v>4</v>
      </c>
      <c r="H796" s="9">
        <v>0</v>
      </c>
      <c r="I796" s="9">
        <v>4</v>
      </c>
      <c r="J796" s="11">
        <v>0</v>
      </c>
      <c r="K796" s="24">
        <v>0.1</v>
      </c>
      <c r="L796" s="24">
        <v>0</v>
      </c>
      <c r="M796" s="24">
        <v>0</v>
      </c>
      <c r="N796" s="9">
        <v>0</v>
      </c>
      <c r="O796" s="9">
        <v>0</v>
      </c>
      <c r="P796" s="9">
        <v>0</v>
      </c>
      <c r="Q796" s="11">
        <v>0</v>
      </c>
      <c r="R796" s="10" t="s">
        <v>176</v>
      </c>
    </row>
    <row r="797" spans="1:18">
      <c r="A797" s="7">
        <v>46216</v>
      </c>
      <c r="B797" s="8">
        <v>46229</v>
      </c>
      <c r="C797" s="9">
        <v>14</v>
      </c>
      <c r="D797" s="10" t="s">
        <v>1002</v>
      </c>
      <c r="E797" s="10" t="s">
        <v>490</v>
      </c>
      <c r="F797" s="9"/>
      <c r="G797" s="9">
        <v>3</v>
      </c>
      <c r="H797" s="9">
        <v>0</v>
      </c>
      <c r="I797" s="9">
        <v>3</v>
      </c>
      <c r="J797" s="11">
        <v>0</v>
      </c>
      <c r="K797" s="24">
        <v>0.1</v>
      </c>
      <c r="L797" s="24">
        <v>0</v>
      </c>
      <c r="M797" s="24">
        <v>0</v>
      </c>
      <c r="N797" s="9">
        <v>0</v>
      </c>
      <c r="O797" s="9">
        <v>0</v>
      </c>
      <c r="P797" s="9">
        <v>0</v>
      </c>
      <c r="Q797" s="11">
        <v>0</v>
      </c>
      <c r="R797" s="10" t="s">
        <v>176</v>
      </c>
    </row>
    <row r="798" spans="1:18">
      <c r="A798" s="7">
        <v>46216</v>
      </c>
      <c r="B798" s="8">
        <v>46229</v>
      </c>
      <c r="C798" s="9">
        <v>14</v>
      </c>
      <c r="D798" s="10" t="s">
        <v>1002</v>
      </c>
      <c r="E798" s="10" t="s">
        <v>491</v>
      </c>
      <c r="F798" s="9"/>
      <c r="G798" s="9">
        <v>4</v>
      </c>
      <c r="H798" s="9">
        <v>0</v>
      </c>
      <c r="I798" s="9">
        <v>4</v>
      </c>
      <c r="J798" s="11">
        <v>0</v>
      </c>
      <c r="K798" s="24">
        <v>0.1</v>
      </c>
      <c r="L798" s="24">
        <v>0</v>
      </c>
      <c r="M798" s="24">
        <v>0</v>
      </c>
      <c r="N798" s="9">
        <v>0</v>
      </c>
      <c r="O798" s="9">
        <v>0</v>
      </c>
      <c r="P798" s="9">
        <v>0</v>
      </c>
      <c r="Q798" s="11">
        <v>0</v>
      </c>
      <c r="R798" s="10" t="s">
        <v>176</v>
      </c>
    </row>
    <row r="799" spans="1:18">
      <c r="A799" s="7">
        <v>46216</v>
      </c>
      <c r="B799" s="8">
        <v>46229</v>
      </c>
      <c r="C799" s="9">
        <v>14</v>
      </c>
      <c r="D799" s="10" t="s">
        <v>1002</v>
      </c>
      <c r="E799" s="10" t="s">
        <v>492</v>
      </c>
      <c r="F799" s="9"/>
      <c r="G799" s="9">
        <v>5</v>
      </c>
      <c r="H799" s="9">
        <v>0</v>
      </c>
      <c r="I799" s="9">
        <v>5</v>
      </c>
      <c r="J799" s="11">
        <v>0</v>
      </c>
      <c r="K799" s="24">
        <v>0.1</v>
      </c>
      <c r="L799" s="24">
        <v>0</v>
      </c>
      <c r="M799" s="24">
        <v>0</v>
      </c>
      <c r="N799" s="9">
        <v>0</v>
      </c>
      <c r="O799" s="9">
        <v>0</v>
      </c>
      <c r="P799" s="9">
        <v>0</v>
      </c>
      <c r="Q799" s="11">
        <v>0</v>
      </c>
      <c r="R799" s="10" t="s">
        <v>176</v>
      </c>
    </row>
    <row r="800" spans="1:18">
      <c r="A800" s="7">
        <v>46216</v>
      </c>
      <c r="B800" s="8">
        <v>46229</v>
      </c>
      <c r="C800" s="9">
        <v>14</v>
      </c>
      <c r="D800" s="10" t="s">
        <v>1002</v>
      </c>
      <c r="E800" s="10" t="s">
        <v>1597</v>
      </c>
      <c r="F800" s="9"/>
      <c r="G800" s="9">
        <v>2</v>
      </c>
      <c r="H800" s="9">
        <v>0</v>
      </c>
      <c r="I800" s="9">
        <v>2</v>
      </c>
      <c r="J800" s="11">
        <v>0</v>
      </c>
      <c r="K800" s="24">
        <v>0.1</v>
      </c>
      <c r="L800" s="24">
        <v>0</v>
      </c>
      <c r="M800" s="24">
        <v>0</v>
      </c>
      <c r="N800" s="9">
        <v>0</v>
      </c>
      <c r="O800" s="9">
        <v>0</v>
      </c>
      <c r="P800" s="9">
        <v>0</v>
      </c>
      <c r="Q800" s="11">
        <v>0</v>
      </c>
      <c r="R800" s="10" t="s">
        <v>176</v>
      </c>
    </row>
    <row r="801" spans="1:18">
      <c r="A801" s="7">
        <v>46216</v>
      </c>
      <c r="B801" s="8">
        <v>46229</v>
      </c>
      <c r="C801" s="9">
        <v>14</v>
      </c>
      <c r="D801" s="10" t="s">
        <v>1002</v>
      </c>
      <c r="E801" s="10" t="s">
        <v>493</v>
      </c>
      <c r="F801" s="9"/>
      <c r="G801" s="9">
        <v>2</v>
      </c>
      <c r="H801" s="9">
        <v>0</v>
      </c>
      <c r="I801" s="9">
        <v>2</v>
      </c>
      <c r="J801" s="11">
        <v>0</v>
      </c>
      <c r="K801" s="24">
        <v>0.1</v>
      </c>
      <c r="L801" s="24">
        <v>0</v>
      </c>
      <c r="M801" s="24">
        <v>0</v>
      </c>
      <c r="N801" s="9">
        <v>0</v>
      </c>
      <c r="O801" s="9">
        <v>0</v>
      </c>
      <c r="P801" s="9">
        <v>0</v>
      </c>
      <c r="Q801" s="11">
        <v>0</v>
      </c>
      <c r="R801" s="10" t="s">
        <v>176</v>
      </c>
    </row>
    <row r="802" spans="1:18">
      <c r="A802" s="7">
        <v>46216</v>
      </c>
      <c r="B802" s="8">
        <v>46229</v>
      </c>
      <c r="C802" s="9">
        <v>14</v>
      </c>
      <c r="D802" s="10" t="s">
        <v>1002</v>
      </c>
      <c r="E802" s="10" t="s">
        <v>494</v>
      </c>
      <c r="F802" s="9"/>
      <c r="G802" s="9">
        <v>1</v>
      </c>
      <c r="H802" s="9">
        <v>0</v>
      </c>
      <c r="I802" s="9">
        <v>1</v>
      </c>
      <c r="J802" s="11">
        <v>0</v>
      </c>
      <c r="K802" s="24">
        <v>0.1</v>
      </c>
      <c r="L802" s="24">
        <v>0</v>
      </c>
      <c r="M802" s="24">
        <v>0</v>
      </c>
      <c r="N802" s="9">
        <v>0</v>
      </c>
      <c r="O802" s="9">
        <v>0</v>
      </c>
      <c r="P802" s="9">
        <v>0</v>
      </c>
      <c r="Q802" s="11">
        <v>0</v>
      </c>
      <c r="R802" s="10" t="s">
        <v>176</v>
      </c>
    </row>
    <row r="803" spans="1:18">
      <c r="A803" s="7">
        <v>46216</v>
      </c>
      <c r="B803" s="8">
        <v>46229</v>
      </c>
      <c r="C803" s="9">
        <v>14</v>
      </c>
      <c r="D803" s="10" t="s">
        <v>1002</v>
      </c>
      <c r="E803" s="10" t="s">
        <v>495</v>
      </c>
      <c r="F803" s="9"/>
      <c r="G803" s="9">
        <v>1</v>
      </c>
      <c r="H803" s="9">
        <v>0</v>
      </c>
      <c r="I803" s="9">
        <v>1</v>
      </c>
      <c r="J803" s="11">
        <v>0</v>
      </c>
      <c r="K803" s="24">
        <v>0.1</v>
      </c>
      <c r="L803" s="24">
        <v>0</v>
      </c>
      <c r="M803" s="24">
        <v>0</v>
      </c>
      <c r="N803" s="9">
        <v>0</v>
      </c>
      <c r="O803" s="9">
        <v>0</v>
      </c>
      <c r="P803" s="9">
        <v>0</v>
      </c>
      <c r="Q803" s="11">
        <v>0</v>
      </c>
      <c r="R803" s="10" t="s">
        <v>176</v>
      </c>
    </row>
    <row r="804" spans="1:18">
      <c r="A804" s="7">
        <v>46216</v>
      </c>
      <c r="B804" s="8">
        <v>46229</v>
      </c>
      <c r="C804" s="9">
        <v>14</v>
      </c>
      <c r="D804" s="10" t="s">
        <v>1002</v>
      </c>
      <c r="E804" s="10" t="s">
        <v>496</v>
      </c>
      <c r="F804" s="9"/>
      <c r="G804" s="9">
        <v>2</v>
      </c>
      <c r="H804" s="9">
        <v>0</v>
      </c>
      <c r="I804" s="9">
        <v>2</v>
      </c>
      <c r="J804" s="11">
        <v>0</v>
      </c>
      <c r="K804" s="24">
        <v>0.1</v>
      </c>
      <c r="L804" s="24">
        <v>0</v>
      </c>
      <c r="M804" s="24">
        <v>0</v>
      </c>
      <c r="N804" s="9">
        <v>0</v>
      </c>
      <c r="O804" s="9">
        <v>0</v>
      </c>
      <c r="P804" s="9">
        <v>0</v>
      </c>
      <c r="Q804" s="11">
        <v>0</v>
      </c>
      <c r="R804" s="10" t="s">
        <v>176</v>
      </c>
    </row>
    <row r="805" spans="1:18">
      <c r="A805" s="7">
        <v>46216</v>
      </c>
      <c r="B805" s="8">
        <v>46229</v>
      </c>
      <c r="C805" s="9">
        <v>14</v>
      </c>
      <c r="D805" s="10" t="s">
        <v>1002</v>
      </c>
      <c r="E805" s="10" t="s">
        <v>2142</v>
      </c>
      <c r="F805" s="9"/>
      <c r="G805" s="9">
        <v>1</v>
      </c>
      <c r="H805" s="9">
        <v>0</v>
      </c>
      <c r="I805" s="9">
        <v>1</v>
      </c>
      <c r="J805" s="11">
        <v>0</v>
      </c>
      <c r="K805" s="24">
        <v>0.1</v>
      </c>
      <c r="L805" s="24">
        <v>0</v>
      </c>
      <c r="M805" s="24">
        <v>0</v>
      </c>
      <c r="N805" s="9">
        <v>0</v>
      </c>
      <c r="O805" s="9">
        <v>0</v>
      </c>
      <c r="P805" s="9">
        <v>0</v>
      </c>
      <c r="Q805" s="11">
        <v>0</v>
      </c>
      <c r="R805" s="10" t="s">
        <v>176</v>
      </c>
    </row>
    <row r="806" spans="1:18">
      <c r="A806" s="7">
        <v>46216</v>
      </c>
      <c r="B806" s="8">
        <v>46229</v>
      </c>
      <c r="C806" s="9">
        <v>14</v>
      </c>
      <c r="D806" s="10" t="s">
        <v>1002</v>
      </c>
      <c r="E806" s="10" t="s">
        <v>497</v>
      </c>
      <c r="F806" s="9"/>
      <c r="G806" s="9">
        <v>2</v>
      </c>
      <c r="H806" s="9">
        <v>0</v>
      </c>
      <c r="I806" s="9">
        <v>2</v>
      </c>
      <c r="J806" s="11">
        <v>0</v>
      </c>
      <c r="K806" s="24">
        <v>0.1</v>
      </c>
      <c r="L806" s="24">
        <v>0</v>
      </c>
      <c r="M806" s="24">
        <v>0</v>
      </c>
      <c r="N806" s="9">
        <v>0</v>
      </c>
      <c r="O806" s="9">
        <v>0</v>
      </c>
      <c r="P806" s="9">
        <v>0</v>
      </c>
      <c r="Q806" s="11">
        <v>0</v>
      </c>
      <c r="R806" s="10" t="s">
        <v>176</v>
      </c>
    </row>
    <row r="807" spans="1:18">
      <c r="A807" s="7">
        <v>46216</v>
      </c>
      <c r="B807" s="8">
        <v>46229</v>
      </c>
      <c r="C807" s="9">
        <v>14</v>
      </c>
      <c r="D807" s="10" t="s">
        <v>1002</v>
      </c>
      <c r="E807" s="10" t="s">
        <v>498</v>
      </c>
      <c r="F807" s="9"/>
      <c r="G807" s="9">
        <v>2</v>
      </c>
      <c r="H807" s="9">
        <v>0</v>
      </c>
      <c r="I807" s="9">
        <v>2</v>
      </c>
      <c r="J807" s="11">
        <v>0</v>
      </c>
      <c r="K807" s="24">
        <v>0.1</v>
      </c>
      <c r="L807" s="24">
        <v>0</v>
      </c>
      <c r="M807" s="24">
        <v>0</v>
      </c>
      <c r="N807" s="9">
        <v>0</v>
      </c>
      <c r="O807" s="9">
        <v>0</v>
      </c>
      <c r="P807" s="9">
        <v>0</v>
      </c>
      <c r="Q807" s="11">
        <v>0</v>
      </c>
      <c r="R807" s="10" t="s">
        <v>176</v>
      </c>
    </row>
    <row r="808" spans="1:18">
      <c r="A808" s="7">
        <v>46216</v>
      </c>
      <c r="B808" s="8">
        <v>46229</v>
      </c>
      <c r="C808" s="9">
        <v>14</v>
      </c>
      <c r="D808" s="10" t="s">
        <v>1002</v>
      </c>
      <c r="E808" s="10" t="s">
        <v>499</v>
      </c>
      <c r="F808" s="9"/>
      <c r="G808" s="9">
        <v>1</v>
      </c>
      <c r="H808" s="9">
        <v>0</v>
      </c>
      <c r="I808" s="9">
        <v>1</v>
      </c>
      <c r="J808" s="11">
        <v>0</v>
      </c>
      <c r="K808" s="24">
        <v>0.1</v>
      </c>
      <c r="L808" s="24">
        <v>0</v>
      </c>
      <c r="M808" s="24">
        <v>0</v>
      </c>
      <c r="N808" s="9">
        <v>0</v>
      </c>
      <c r="O808" s="9">
        <v>0</v>
      </c>
      <c r="P808" s="9">
        <v>0</v>
      </c>
      <c r="Q808" s="11">
        <v>0</v>
      </c>
      <c r="R808" s="10" t="s">
        <v>176</v>
      </c>
    </row>
    <row r="809" spans="1:18">
      <c r="A809" s="7">
        <v>46216</v>
      </c>
      <c r="B809" s="8">
        <v>46229</v>
      </c>
      <c r="C809" s="9">
        <v>14</v>
      </c>
      <c r="D809" s="10" t="s">
        <v>1002</v>
      </c>
      <c r="E809" s="10" t="s">
        <v>500</v>
      </c>
      <c r="F809" s="9"/>
      <c r="G809" s="9">
        <v>2</v>
      </c>
      <c r="H809" s="9">
        <v>0</v>
      </c>
      <c r="I809" s="9">
        <v>2</v>
      </c>
      <c r="J809" s="11">
        <v>0</v>
      </c>
      <c r="K809" s="24">
        <v>0.1</v>
      </c>
      <c r="L809" s="24">
        <v>0</v>
      </c>
      <c r="M809" s="24">
        <v>0</v>
      </c>
      <c r="N809" s="9">
        <v>0</v>
      </c>
      <c r="O809" s="9">
        <v>0</v>
      </c>
      <c r="P809" s="9">
        <v>0</v>
      </c>
      <c r="Q809" s="11">
        <v>0</v>
      </c>
      <c r="R809" s="10" t="s">
        <v>176</v>
      </c>
    </row>
    <row r="810" spans="1:18">
      <c r="A810" s="7">
        <v>46216</v>
      </c>
      <c r="B810" s="8">
        <v>46229</v>
      </c>
      <c r="C810" s="9">
        <v>14</v>
      </c>
      <c r="D810" s="10" t="s">
        <v>1002</v>
      </c>
      <c r="E810" s="10" t="s">
        <v>501</v>
      </c>
      <c r="F810" s="9"/>
      <c r="G810" s="9">
        <v>2</v>
      </c>
      <c r="H810" s="9">
        <v>0</v>
      </c>
      <c r="I810" s="9">
        <v>2</v>
      </c>
      <c r="J810" s="11">
        <v>0</v>
      </c>
      <c r="K810" s="24">
        <v>0.1</v>
      </c>
      <c r="L810" s="24">
        <v>0</v>
      </c>
      <c r="M810" s="24">
        <v>0</v>
      </c>
      <c r="N810" s="9">
        <v>0</v>
      </c>
      <c r="O810" s="9">
        <v>0</v>
      </c>
      <c r="P810" s="9">
        <v>0</v>
      </c>
      <c r="Q810" s="11">
        <v>0</v>
      </c>
      <c r="R810" s="10" t="s">
        <v>176</v>
      </c>
    </row>
    <row r="811" spans="1:18">
      <c r="A811" s="7">
        <v>46216</v>
      </c>
      <c r="B811" s="8">
        <v>46229</v>
      </c>
      <c r="C811" s="9">
        <v>14</v>
      </c>
      <c r="D811" s="10" t="s">
        <v>1002</v>
      </c>
      <c r="E811" s="10" t="s">
        <v>502</v>
      </c>
      <c r="F811" s="9"/>
      <c r="G811" s="9">
        <v>2</v>
      </c>
      <c r="H811" s="9">
        <v>0</v>
      </c>
      <c r="I811" s="9">
        <v>2</v>
      </c>
      <c r="J811" s="11">
        <v>0</v>
      </c>
      <c r="K811" s="24">
        <v>0.1</v>
      </c>
      <c r="L811" s="24">
        <v>0</v>
      </c>
      <c r="M811" s="24">
        <v>0</v>
      </c>
      <c r="N811" s="9">
        <v>0</v>
      </c>
      <c r="O811" s="9">
        <v>0</v>
      </c>
      <c r="P811" s="9">
        <v>0</v>
      </c>
      <c r="Q811" s="11">
        <v>0</v>
      </c>
      <c r="R811" s="10" t="s">
        <v>176</v>
      </c>
    </row>
    <row r="812" spans="1:18">
      <c r="A812" s="7">
        <v>46216</v>
      </c>
      <c r="B812" s="8">
        <v>46229</v>
      </c>
      <c r="C812" s="9">
        <v>14</v>
      </c>
      <c r="D812" s="10" t="s">
        <v>1002</v>
      </c>
      <c r="E812" s="10" t="s">
        <v>2143</v>
      </c>
      <c r="F812" s="9"/>
      <c r="G812" s="9">
        <v>2</v>
      </c>
      <c r="H812" s="9">
        <v>0</v>
      </c>
      <c r="I812" s="9">
        <v>2</v>
      </c>
      <c r="J812" s="11">
        <v>0</v>
      </c>
      <c r="K812" s="24">
        <v>0.1</v>
      </c>
      <c r="L812" s="24">
        <v>0</v>
      </c>
      <c r="M812" s="24">
        <v>0</v>
      </c>
      <c r="N812" s="9">
        <v>0</v>
      </c>
      <c r="O812" s="9">
        <v>0</v>
      </c>
      <c r="P812" s="9">
        <v>0</v>
      </c>
      <c r="Q812" s="11">
        <v>0</v>
      </c>
      <c r="R812" s="10" t="s">
        <v>176</v>
      </c>
    </row>
    <row r="813" spans="1:18">
      <c r="A813" s="7">
        <v>46216</v>
      </c>
      <c r="B813" s="8">
        <v>46229</v>
      </c>
      <c r="C813" s="9">
        <v>14</v>
      </c>
      <c r="D813" s="10" t="s">
        <v>1002</v>
      </c>
      <c r="E813" s="10" t="s">
        <v>2144</v>
      </c>
      <c r="F813" s="9"/>
      <c r="G813" s="9">
        <v>2</v>
      </c>
      <c r="H813" s="9">
        <v>0</v>
      </c>
      <c r="I813" s="9">
        <v>2</v>
      </c>
      <c r="J813" s="11">
        <v>0</v>
      </c>
      <c r="K813" s="24">
        <v>0.1</v>
      </c>
      <c r="L813" s="24">
        <v>0</v>
      </c>
      <c r="M813" s="24">
        <v>0</v>
      </c>
      <c r="N813" s="9">
        <v>0</v>
      </c>
      <c r="O813" s="9">
        <v>0</v>
      </c>
      <c r="P813" s="9">
        <v>0</v>
      </c>
      <c r="Q813" s="11">
        <v>0</v>
      </c>
      <c r="R813" s="10" t="s">
        <v>176</v>
      </c>
    </row>
    <row r="814" spans="1:18">
      <c r="A814" s="7">
        <v>46216</v>
      </c>
      <c r="B814" s="8">
        <v>46229</v>
      </c>
      <c r="C814" s="9">
        <v>14</v>
      </c>
      <c r="D814" s="10" t="s">
        <v>1002</v>
      </c>
      <c r="E814" s="10" t="s">
        <v>503</v>
      </c>
      <c r="F814" s="9"/>
      <c r="G814" s="9">
        <v>1</v>
      </c>
      <c r="H814" s="9">
        <v>0</v>
      </c>
      <c r="I814" s="9">
        <v>1</v>
      </c>
      <c r="J814" s="11">
        <v>0</v>
      </c>
      <c r="K814" s="24">
        <v>0.1</v>
      </c>
      <c r="L814" s="24">
        <v>0</v>
      </c>
      <c r="M814" s="24">
        <v>0</v>
      </c>
      <c r="N814" s="9">
        <v>0</v>
      </c>
      <c r="O814" s="9">
        <v>0</v>
      </c>
      <c r="P814" s="9">
        <v>0</v>
      </c>
      <c r="Q814" s="11">
        <v>0</v>
      </c>
      <c r="R814" s="10" t="s">
        <v>176</v>
      </c>
    </row>
    <row r="815" spans="1:18">
      <c r="A815" s="7">
        <v>46216</v>
      </c>
      <c r="B815" s="8">
        <v>46229</v>
      </c>
      <c r="C815" s="9">
        <v>14</v>
      </c>
      <c r="D815" s="10" t="s">
        <v>1002</v>
      </c>
      <c r="E815" s="10" t="s">
        <v>504</v>
      </c>
      <c r="F815" s="9"/>
      <c r="G815" s="9">
        <v>2</v>
      </c>
      <c r="H815" s="9">
        <v>0</v>
      </c>
      <c r="I815" s="9">
        <v>2</v>
      </c>
      <c r="J815" s="11">
        <v>0</v>
      </c>
      <c r="K815" s="24">
        <v>0.1</v>
      </c>
      <c r="L815" s="24">
        <v>0</v>
      </c>
      <c r="M815" s="24">
        <v>0</v>
      </c>
      <c r="N815" s="9">
        <v>0</v>
      </c>
      <c r="O815" s="9">
        <v>0</v>
      </c>
      <c r="P815" s="9">
        <v>0</v>
      </c>
      <c r="Q815" s="11">
        <v>0</v>
      </c>
      <c r="R815" s="10" t="s">
        <v>176</v>
      </c>
    </row>
    <row r="816" spans="1:18">
      <c r="A816" s="7">
        <v>46216</v>
      </c>
      <c r="B816" s="8">
        <v>46229</v>
      </c>
      <c r="C816" s="9">
        <v>14</v>
      </c>
      <c r="D816" s="10" t="s">
        <v>1002</v>
      </c>
      <c r="E816" s="10" t="s">
        <v>2145</v>
      </c>
      <c r="F816" s="9"/>
      <c r="G816" s="9">
        <v>2</v>
      </c>
      <c r="H816" s="9">
        <v>0</v>
      </c>
      <c r="I816" s="9">
        <v>2</v>
      </c>
      <c r="J816" s="11">
        <v>0</v>
      </c>
      <c r="K816" s="24">
        <v>0.1</v>
      </c>
      <c r="L816" s="24">
        <v>0</v>
      </c>
      <c r="M816" s="24">
        <v>0</v>
      </c>
      <c r="N816" s="9">
        <v>0</v>
      </c>
      <c r="O816" s="9">
        <v>0</v>
      </c>
      <c r="P816" s="9">
        <v>0</v>
      </c>
      <c r="Q816" s="11">
        <v>0</v>
      </c>
      <c r="R816" s="10" t="s">
        <v>176</v>
      </c>
    </row>
    <row r="817" spans="1:18">
      <c r="A817" s="7">
        <v>46216</v>
      </c>
      <c r="B817" s="8">
        <v>46229</v>
      </c>
      <c r="C817" s="9">
        <v>14</v>
      </c>
      <c r="D817" s="10" t="s">
        <v>1002</v>
      </c>
      <c r="E817" s="10" t="s">
        <v>2146</v>
      </c>
      <c r="F817" s="9"/>
      <c r="G817" s="9">
        <v>2</v>
      </c>
      <c r="H817" s="9">
        <v>0</v>
      </c>
      <c r="I817" s="9">
        <v>2</v>
      </c>
      <c r="J817" s="11">
        <v>0</v>
      </c>
      <c r="K817" s="24">
        <v>0.1</v>
      </c>
      <c r="L817" s="24">
        <v>0</v>
      </c>
      <c r="M817" s="24">
        <v>0</v>
      </c>
      <c r="N817" s="9">
        <v>0</v>
      </c>
      <c r="O817" s="9">
        <v>0</v>
      </c>
      <c r="P817" s="9">
        <v>0</v>
      </c>
      <c r="Q817" s="11">
        <v>0</v>
      </c>
      <c r="R817" s="10" t="s">
        <v>176</v>
      </c>
    </row>
    <row r="818" spans="1:18">
      <c r="A818" s="7">
        <v>46216</v>
      </c>
      <c r="B818" s="8">
        <v>46229</v>
      </c>
      <c r="C818" s="9">
        <v>14</v>
      </c>
      <c r="D818" s="10" t="s">
        <v>1002</v>
      </c>
      <c r="E818" s="10" t="s">
        <v>1614</v>
      </c>
      <c r="F818" s="9"/>
      <c r="G818" s="9">
        <v>2</v>
      </c>
      <c r="H818" s="9">
        <v>0</v>
      </c>
      <c r="I818" s="9">
        <v>2</v>
      </c>
      <c r="J818" s="11">
        <v>0</v>
      </c>
      <c r="K818" s="24">
        <v>0.1</v>
      </c>
      <c r="L818" s="24">
        <v>0</v>
      </c>
      <c r="M818" s="24">
        <v>0</v>
      </c>
      <c r="N818" s="9">
        <v>0</v>
      </c>
      <c r="O818" s="9">
        <v>0</v>
      </c>
      <c r="P818" s="9">
        <v>0</v>
      </c>
      <c r="Q818" s="11">
        <v>0</v>
      </c>
      <c r="R818" s="10" t="s">
        <v>176</v>
      </c>
    </row>
    <row r="819" spans="1:18">
      <c r="A819" s="7">
        <v>46216</v>
      </c>
      <c r="B819" s="8">
        <v>46229</v>
      </c>
      <c r="C819" s="9">
        <v>14</v>
      </c>
      <c r="D819" s="10" t="s">
        <v>1002</v>
      </c>
      <c r="E819" s="10" t="s">
        <v>1413</v>
      </c>
      <c r="F819" s="9"/>
      <c r="G819" s="9">
        <v>3</v>
      </c>
      <c r="H819" s="9">
        <v>0</v>
      </c>
      <c r="I819" s="9">
        <v>3</v>
      </c>
      <c r="J819" s="11">
        <v>0</v>
      </c>
      <c r="K819" s="24">
        <v>0.1</v>
      </c>
      <c r="L819" s="24">
        <v>0</v>
      </c>
      <c r="M819" s="24">
        <v>0</v>
      </c>
      <c r="N819" s="9">
        <v>0</v>
      </c>
      <c r="O819" s="9">
        <v>0</v>
      </c>
      <c r="P819" s="9">
        <v>0</v>
      </c>
      <c r="Q819" s="11">
        <v>0</v>
      </c>
      <c r="R819" s="10" t="s">
        <v>176</v>
      </c>
    </row>
    <row r="820" spans="1:18">
      <c r="A820" s="7">
        <v>46216</v>
      </c>
      <c r="B820" s="8">
        <v>46229</v>
      </c>
      <c r="C820" s="9">
        <v>14</v>
      </c>
      <c r="D820" s="10" t="s">
        <v>1002</v>
      </c>
      <c r="E820" s="10" t="s">
        <v>505</v>
      </c>
      <c r="F820" s="9"/>
      <c r="G820" s="9">
        <v>2</v>
      </c>
      <c r="H820" s="9">
        <v>0</v>
      </c>
      <c r="I820" s="9">
        <v>2</v>
      </c>
      <c r="J820" s="11">
        <v>0</v>
      </c>
      <c r="K820" s="24">
        <v>0.1</v>
      </c>
      <c r="L820" s="24">
        <v>0</v>
      </c>
      <c r="M820" s="24">
        <v>0</v>
      </c>
      <c r="N820" s="9">
        <v>0</v>
      </c>
      <c r="O820" s="9">
        <v>0</v>
      </c>
      <c r="P820" s="9">
        <v>0</v>
      </c>
      <c r="Q820" s="11">
        <v>0</v>
      </c>
      <c r="R820" s="10" t="s">
        <v>176</v>
      </c>
    </row>
    <row r="821" spans="1:18">
      <c r="A821" s="7">
        <v>46216</v>
      </c>
      <c r="B821" s="8">
        <v>46229</v>
      </c>
      <c r="C821" s="9">
        <v>14</v>
      </c>
      <c r="D821" s="10" t="s">
        <v>1002</v>
      </c>
      <c r="E821" s="10" t="s">
        <v>506</v>
      </c>
      <c r="F821" s="9"/>
      <c r="G821" s="9">
        <v>3</v>
      </c>
      <c r="H821" s="9">
        <v>0</v>
      </c>
      <c r="I821" s="9">
        <v>3</v>
      </c>
      <c r="J821" s="11">
        <v>0</v>
      </c>
      <c r="K821" s="24">
        <v>0.1</v>
      </c>
      <c r="L821" s="24">
        <v>0</v>
      </c>
      <c r="M821" s="24">
        <v>0</v>
      </c>
      <c r="N821" s="9">
        <v>0</v>
      </c>
      <c r="O821" s="9">
        <v>0</v>
      </c>
      <c r="P821" s="9">
        <v>0</v>
      </c>
      <c r="Q821" s="11">
        <v>0</v>
      </c>
      <c r="R821" s="10" t="s">
        <v>176</v>
      </c>
    </row>
    <row r="822" spans="1:18">
      <c r="A822" s="7">
        <v>46216</v>
      </c>
      <c r="B822" s="8">
        <v>46229</v>
      </c>
      <c r="C822" s="9">
        <v>14</v>
      </c>
      <c r="D822" s="10" t="s">
        <v>1002</v>
      </c>
      <c r="E822" s="10" t="s">
        <v>507</v>
      </c>
      <c r="F822" s="9"/>
      <c r="G822" s="9">
        <v>6</v>
      </c>
      <c r="H822" s="9">
        <v>0</v>
      </c>
      <c r="I822" s="9">
        <v>6</v>
      </c>
      <c r="J822" s="11">
        <v>0</v>
      </c>
      <c r="K822" s="24">
        <v>0.1</v>
      </c>
      <c r="L822" s="24">
        <v>0</v>
      </c>
      <c r="M822" s="24">
        <v>0</v>
      </c>
      <c r="N822" s="9">
        <v>0</v>
      </c>
      <c r="O822" s="9">
        <v>0</v>
      </c>
      <c r="P822" s="9">
        <v>0</v>
      </c>
      <c r="Q822" s="11">
        <v>0</v>
      </c>
      <c r="R822" s="10" t="s">
        <v>176</v>
      </c>
    </row>
    <row r="823" spans="1:18">
      <c r="A823" s="7">
        <v>46216</v>
      </c>
      <c r="B823" s="8">
        <v>46229</v>
      </c>
      <c r="C823" s="9">
        <v>14</v>
      </c>
      <c r="D823" s="10" t="s">
        <v>1002</v>
      </c>
      <c r="E823" s="10" t="s">
        <v>508</v>
      </c>
      <c r="F823" s="9"/>
      <c r="G823" s="9">
        <v>6</v>
      </c>
      <c r="H823" s="9">
        <v>0</v>
      </c>
      <c r="I823" s="9">
        <v>6</v>
      </c>
      <c r="J823" s="11">
        <v>0</v>
      </c>
      <c r="K823" s="24">
        <v>0.1</v>
      </c>
      <c r="L823" s="24">
        <v>0</v>
      </c>
      <c r="M823" s="24">
        <v>0</v>
      </c>
      <c r="N823" s="9">
        <v>0</v>
      </c>
      <c r="O823" s="9">
        <v>0</v>
      </c>
      <c r="P823" s="9">
        <v>0</v>
      </c>
      <c r="Q823" s="11">
        <v>0</v>
      </c>
      <c r="R823" s="10" t="s">
        <v>176</v>
      </c>
    </row>
    <row r="824" spans="1:18">
      <c r="A824" s="7">
        <v>46216</v>
      </c>
      <c r="B824" s="8">
        <v>46229</v>
      </c>
      <c r="C824" s="9">
        <v>14</v>
      </c>
      <c r="D824" s="10" t="s">
        <v>1002</v>
      </c>
      <c r="E824" s="10" t="s">
        <v>509</v>
      </c>
      <c r="F824" s="9"/>
      <c r="G824" s="9">
        <v>1</v>
      </c>
      <c r="H824" s="9">
        <v>0</v>
      </c>
      <c r="I824" s="9">
        <v>1</v>
      </c>
      <c r="J824" s="11">
        <v>0</v>
      </c>
      <c r="K824" s="24">
        <v>0.1</v>
      </c>
      <c r="L824" s="24">
        <v>0</v>
      </c>
      <c r="M824" s="24">
        <v>0</v>
      </c>
      <c r="N824" s="9">
        <v>0</v>
      </c>
      <c r="O824" s="9">
        <v>0</v>
      </c>
      <c r="P824" s="9">
        <v>0</v>
      </c>
      <c r="Q824" s="11">
        <v>0</v>
      </c>
      <c r="R824" s="10" t="s">
        <v>176</v>
      </c>
    </row>
    <row r="825" spans="1:18">
      <c r="A825" s="7">
        <v>46216</v>
      </c>
      <c r="B825" s="8">
        <v>46229</v>
      </c>
      <c r="C825" s="9">
        <v>14</v>
      </c>
      <c r="D825" s="10" t="s">
        <v>1002</v>
      </c>
      <c r="E825" s="10" t="s">
        <v>2147</v>
      </c>
      <c r="F825" s="9"/>
      <c r="G825" s="9">
        <v>1</v>
      </c>
      <c r="H825" s="9">
        <v>0</v>
      </c>
      <c r="I825" s="9">
        <v>1</v>
      </c>
      <c r="J825" s="11">
        <v>0</v>
      </c>
      <c r="K825" s="24">
        <v>0.1</v>
      </c>
      <c r="L825" s="24">
        <v>0</v>
      </c>
      <c r="M825" s="24">
        <v>0</v>
      </c>
      <c r="N825" s="9">
        <v>0</v>
      </c>
      <c r="O825" s="9">
        <v>0</v>
      </c>
      <c r="P825" s="9">
        <v>0</v>
      </c>
      <c r="Q825" s="11">
        <v>0</v>
      </c>
      <c r="R825" s="10" t="s">
        <v>176</v>
      </c>
    </row>
    <row r="826" spans="1:18">
      <c r="A826" s="7">
        <v>46216</v>
      </c>
      <c r="B826" s="8">
        <v>46229</v>
      </c>
      <c r="C826" s="9">
        <v>14</v>
      </c>
      <c r="D826" s="10" t="s">
        <v>1002</v>
      </c>
      <c r="E826" s="10" t="s">
        <v>510</v>
      </c>
      <c r="F826" s="9"/>
      <c r="G826" s="9">
        <v>1</v>
      </c>
      <c r="H826" s="9">
        <v>0</v>
      </c>
      <c r="I826" s="9">
        <v>1</v>
      </c>
      <c r="J826" s="11">
        <v>0</v>
      </c>
      <c r="K826" s="24">
        <v>0.1</v>
      </c>
      <c r="L826" s="24">
        <v>0</v>
      </c>
      <c r="M826" s="24">
        <v>0</v>
      </c>
      <c r="N826" s="9">
        <v>0</v>
      </c>
      <c r="O826" s="9">
        <v>0</v>
      </c>
      <c r="P826" s="9">
        <v>0</v>
      </c>
      <c r="Q826" s="11">
        <v>0</v>
      </c>
      <c r="R826" s="10" t="s">
        <v>176</v>
      </c>
    </row>
    <row r="827" spans="1:18">
      <c r="A827" s="7">
        <v>46216</v>
      </c>
      <c r="B827" s="8">
        <v>46229</v>
      </c>
      <c r="C827" s="9">
        <v>14</v>
      </c>
      <c r="D827" s="10" t="s">
        <v>1002</v>
      </c>
      <c r="E827" s="10" t="s">
        <v>511</v>
      </c>
      <c r="F827" s="9"/>
      <c r="G827" s="9">
        <v>1</v>
      </c>
      <c r="H827" s="9">
        <v>0</v>
      </c>
      <c r="I827" s="9">
        <v>1</v>
      </c>
      <c r="J827" s="11">
        <v>0</v>
      </c>
      <c r="K827" s="24">
        <v>0.1</v>
      </c>
      <c r="L827" s="24">
        <v>0</v>
      </c>
      <c r="M827" s="24">
        <v>0</v>
      </c>
      <c r="N827" s="9">
        <v>0</v>
      </c>
      <c r="O827" s="9">
        <v>0</v>
      </c>
      <c r="P827" s="9">
        <v>0</v>
      </c>
      <c r="Q827" s="11">
        <v>0</v>
      </c>
      <c r="R827" s="10" t="s">
        <v>176</v>
      </c>
    </row>
    <row r="828" spans="1:18">
      <c r="A828" s="7">
        <v>46216</v>
      </c>
      <c r="B828" s="8">
        <v>46229</v>
      </c>
      <c r="C828" s="9">
        <v>14</v>
      </c>
      <c r="D828" s="10" t="s">
        <v>1002</v>
      </c>
      <c r="E828" s="10" t="s">
        <v>2148</v>
      </c>
      <c r="F828" s="9"/>
      <c r="G828" s="9">
        <v>10</v>
      </c>
      <c r="H828" s="9">
        <v>0</v>
      </c>
      <c r="I828" s="9">
        <v>10</v>
      </c>
      <c r="J828" s="11">
        <v>0</v>
      </c>
      <c r="K828" s="24">
        <v>0.1</v>
      </c>
      <c r="L828" s="24">
        <v>0</v>
      </c>
      <c r="M828" s="24">
        <v>0</v>
      </c>
      <c r="N828" s="9">
        <v>0</v>
      </c>
      <c r="O828" s="9">
        <v>0</v>
      </c>
      <c r="P828" s="9">
        <v>0</v>
      </c>
      <c r="Q828" s="11">
        <v>0</v>
      </c>
      <c r="R828" s="10" t="s">
        <v>176</v>
      </c>
    </row>
    <row r="829" spans="1:18">
      <c r="A829" s="7">
        <v>46216</v>
      </c>
      <c r="B829" s="8">
        <v>46229</v>
      </c>
      <c r="C829" s="9">
        <v>14</v>
      </c>
      <c r="D829" s="10" t="s">
        <v>1002</v>
      </c>
      <c r="E829" s="10" t="s">
        <v>514</v>
      </c>
      <c r="F829" s="9"/>
      <c r="G829" s="9">
        <v>1</v>
      </c>
      <c r="H829" s="9">
        <v>0</v>
      </c>
      <c r="I829" s="9">
        <v>1</v>
      </c>
      <c r="J829" s="11">
        <v>0</v>
      </c>
      <c r="K829" s="24">
        <v>0.1</v>
      </c>
      <c r="L829" s="24">
        <v>0</v>
      </c>
      <c r="M829" s="24">
        <v>0</v>
      </c>
      <c r="N829" s="9">
        <v>1</v>
      </c>
      <c r="O829" s="9">
        <v>1</v>
      </c>
      <c r="P829" s="9">
        <v>1</v>
      </c>
      <c r="Q829" s="11">
        <v>1</v>
      </c>
      <c r="R829" s="10" t="s">
        <v>3449</v>
      </c>
    </row>
    <row r="830" spans="1:18">
      <c r="A830" s="7">
        <v>46216</v>
      </c>
      <c r="B830" s="8">
        <v>46229</v>
      </c>
      <c r="C830" s="9">
        <v>14</v>
      </c>
      <c r="D830" s="10" t="s">
        <v>1002</v>
      </c>
      <c r="E830" s="10" t="s">
        <v>516</v>
      </c>
      <c r="F830" s="9"/>
      <c r="G830" s="9">
        <v>2</v>
      </c>
      <c r="H830" s="9">
        <v>0</v>
      </c>
      <c r="I830" s="9">
        <v>2</v>
      </c>
      <c r="J830" s="11">
        <v>0</v>
      </c>
      <c r="K830" s="24">
        <v>0.1</v>
      </c>
      <c r="L830" s="24">
        <v>0</v>
      </c>
      <c r="M830" s="24">
        <v>0</v>
      </c>
      <c r="N830" s="9">
        <v>0</v>
      </c>
      <c r="O830" s="9">
        <v>0</v>
      </c>
      <c r="P830" s="9">
        <v>0</v>
      </c>
      <c r="Q830" s="11">
        <v>0</v>
      </c>
      <c r="R830" s="10" t="s">
        <v>176</v>
      </c>
    </row>
    <row r="831" spans="1:18">
      <c r="A831" s="7">
        <v>46216</v>
      </c>
      <c r="B831" s="8">
        <v>46229</v>
      </c>
      <c r="C831" s="9">
        <v>14</v>
      </c>
      <c r="D831" s="10" t="s">
        <v>1002</v>
      </c>
      <c r="E831" s="10" t="s">
        <v>1805</v>
      </c>
      <c r="F831" s="9"/>
      <c r="G831" s="9">
        <v>1</v>
      </c>
      <c r="H831" s="9">
        <v>0</v>
      </c>
      <c r="I831" s="9">
        <v>1</v>
      </c>
      <c r="J831" s="11">
        <v>0</v>
      </c>
      <c r="K831" s="24">
        <v>0.1</v>
      </c>
      <c r="L831" s="24">
        <v>0</v>
      </c>
      <c r="M831" s="24">
        <v>0</v>
      </c>
      <c r="N831" s="9">
        <v>0</v>
      </c>
      <c r="O831" s="9">
        <v>0</v>
      </c>
      <c r="P831" s="9">
        <v>0</v>
      </c>
      <c r="Q831" s="11">
        <v>0</v>
      </c>
      <c r="R831" s="10" t="s">
        <v>176</v>
      </c>
    </row>
    <row r="832" spans="1:18">
      <c r="A832" s="7">
        <v>46216</v>
      </c>
      <c r="B832" s="8">
        <v>46229</v>
      </c>
      <c r="C832" s="9">
        <v>14</v>
      </c>
      <c r="D832" s="10" t="s">
        <v>1002</v>
      </c>
      <c r="E832" s="10" t="s">
        <v>518</v>
      </c>
      <c r="F832" s="9"/>
      <c r="G832" s="9">
        <v>3</v>
      </c>
      <c r="H832" s="9">
        <v>0</v>
      </c>
      <c r="I832" s="9">
        <v>3</v>
      </c>
      <c r="J832" s="11">
        <v>0</v>
      </c>
      <c r="K832" s="24">
        <v>0</v>
      </c>
      <c r="L832" s="24">
        <v>0</v>
      </c>
      <c r="M832" s="24">
        <v>0</v>
      </c>
      <c r="N832" s="9">
        <v>0</v>
      </c>
      <c r="O832" s="9">
        <v>0</v>
      </c>
      <c r="P832" s="9">
        <v>0</v>
      </c>
      <c r="Q832" s="11">
        <v>0</v>
      </c>
      <c r="R832" s="10" t="s">
        <v>176</v>
      </c>
    </row>
    <row r="833" spans="1:18">
      <c r="A833" s="7">
        <v>46216</v>
      </c>
      <c r="B833" s="8">
        <v>46229</v>
      </c>
      <c r="C833" s="9">
        <v>14</v>
      </c>
      <c r="D833" s="10" t="s">
        <v>1002</v>
      </c>
      <c r="E833" s="10" t="s">
        <v>519</v>
      </c>
      <c r="F833" s="9"/>
      <c r="G833" s="9">
        <v>2</v>
      </c>
      <c r="H833" s="9">
        <v>0</v>
      </c>
      <c r="I833" s="9">
        <v>2</v>
      </c>
      <c r="J833" s="11">
        <v>0</v>
      </c>
      <c r="K833" s="24">
        <v>0.1</v>
      </c>
      <c r="L833" s="24">
        <v>0</v>
      </c>
      <c r="M833" s="24">
        <v>0</v>
      </c>
      <c r="N833" s="9">
        <v>0</v>
      </c>
      <c r="O833" s="9">
        <v>0</v>
      </c>
      <c r="P833" s="9">
        <v>0</v>
      </c>
      <c r="Q833" s="11">
        <v>0</v>
      </c>
      <c r="R833" s="10" t="s">
        <v>176</v>
      </c>
    </row>
    <row r="834" spans="1:18">
      <c r="A834" s="7">
        <v>46216</v>
      </c>
      <c r="B834" s="8">
        <v>46229</v>
      </c>
      <c r="C834" s="9">
        <v>14</v>
      </c>
      <c r="D834" s="10" t="s">
        <v>1002</v>
      </c>
      <c r="E834" s="10" t="s">
        <v>520</v>
      </c>
      <c r="F834" s="9"/>
      <c r="G834" s="9">
        <v>4</v>
      </c>
      <c r="H834" s="9">
        <v>0</v>
      </c>
      <c r="I834" s="9">
        <v>4</v>
      </c>
      <c r="J834" s="11">
        <v>0</v>
      </c>
      <c r="K834" s="24">
        <v>0.1</v>
      </c>
      <c r="L834" s="24">
        <v>0</v>
      </c>
      <c r="M834" s="24">
        <v>0</v>
      </c>
      <c r="N834" s="9">
        <v>0</v>
      </c>
      <c r="O834" s="9">
        <v>0</v>
      </c>
      <c r="P834" s="9">
        <v>0</v>
      </c>
      <c r="Q834" s="11">
        <v>0</v>
      </c>
      <c r="R834" s="10" t="s">
        <v>176</v>
      </c>
    </row>
    <row r="835" spans="1:18">
      <c r="A835" s="7">
        <v>46216</v>
      </c>
      <c r="B835" s="8">
        <v>46229</v>
      </c>
      <c r="C835" s="9">
        <v>14</v>
      </c>
      <c r="D835" s="10" t="s">
        <v>1002</v>
      </c>
      <c r="E835" s="10" t="s">
        <v>2149</v>
      </c>
      <c r="F835" s="9"/>
      <c r="G835" s="9">
        <v>2</v>
      </c>
      <c r="H835" s="9">
        <v>0</v>
      </c>
      <c r="I835" s="9">
        <v>2</v>
      </c>
      <c r="J835" s="11">
        <v>0</v>
      </c>
      <c r="K835" s="24">
        <v>0.1</v>
      </c>
      <c r="L835" s="24">
        <v>0</v>
      </c>
      <c r="M835" s="24">
        <v>0</v>
      </c>
      <c r="N835" s="9">
        <v>0</v>
      </c>
      <c r="O835" s="9">
        <v>0</v>
      </c>
      <c r="P835" s="9">
        <v>0</v>
      </c>
      <c r="Q835" s="11">
        <v>0</v>
      </c>
      <c r="R835" s="10" t="s">
        <v>176</v>
      </c>
    </row>
    <row r="836" spans="1:18">
      <c r="A836" s="7">
        <v>46216</v>
      </c>
      <c r="B836" s="8">
        <v>46229</v>
      </c>
      <c r="C836" s="9">
        <v>14</v>
      </c>
      <c r="D836" s="10" t="s">
        <v>1002</v>
      </c>
      <c r="E836" s="10" t="s">
        <v>2150</v>
      </c>
      <c r="F836" s="9"/>
      <c r="G836" s="9">
        <v>2</v>
      </c>
      <c r="H836" s="9">
        <v>0</v>
      </c>
      <c r="I836" s="9">
        <v>2</v>
      </c>
      <c r="J836" s="11">
        <v>0</v>
      </c>
      <c r="K836" s="24">
        <v>0.1</v>
      </c>
      <c r="L836" s="24">
        <v>0</v>
      </c>
      <c r="M836" s="24">
        <v>0</v>
      </c>
      <c r="N836" s="9">
        <v>0</v>
      </c>
      <c r="O836" s="9">
        <v>0</v>
      </c>
      <c r="P836" s="9">
        <v>0</v>
      </c>
      <c r="Q836" s="11">
        <v>0</v>
      </c>
      <c r="R836" s="10" t="s">
        <v>176</v>
      </c>
    </row>
    <row r="837" spans="1:18">
      <c r="A837" s="7">
        <v>46216</v>
      </c>
      <c r="B837" s="8">
        <v>46229</v>
      </c>
      <c r="C837" s="9">
        <v>14</v>
      </c>
      <c r="D837" s="10" t="s">
        <v>1002</v>
      </c>
      <c r="E837" s="10" t="s">
        <v>2151</v>
      </c>
      <c r="F837" s="9"/>
      <c r="G837" s="9">
        <v>1</v>
      </c>
      <c r="H837" s="9">
        <v>0</v>
      </c>
      <c r="I837" s="9">
        <v>1</v>
      </c>
      <c r="J837" s="11">
        <v>0</v>
      </c>
      <c r="K837" s="24">
        <v>0.1</v>
      </c>
      <c r="L837" s="24">
        <v>0</v>
      </c>
      <c r="M837" s="24">
        <v>0</v>
      </c>
      <c r="N837" s="9">
        <v>0</v>
      </c>
      <c r="O837" s="9">
        <v>0</v>
      </c>
      <c r="P837" s="9">
        <v>0</v>
      </c>
      <c r="Q837" s="11">
        <v>0</v>
      </c>
      <c r="R837" s="10" t="s">
        <v>176</v>
      </c>
    </row>
    <row r="838" spans="1:18">
      <c r="A838" s="7">
        <v>46216</v>
      </c>
      <c r="B838" s="8">
        <v>46229</v>
      </c>
      <c r="C838" s="9">
        <v>14</v>
      </c>
      <c r="D838" s="10" t="s">
        <v>1002</v>
      </c>
      <c r="E838" s="10" t="s">
        <v>521</v>
      </c>
      <c r="F838" s="9"/>
      <c r="G838" s="9">
        <v>2</v>
      </c>
      <c r="H838" s="9">
        <v>0</v>
      </c>
      <c r="I838" s="9">
        <v>2</v>
      </c>
      <c r="J838" s="11">
        <v>0</v>
      </c>
      <c r="K838" s="24">
        <v>0.1</v>
      </c>
      <c r="L838" s="24">
        <v>0</v>
      </c>
      <c r="M838" s="24">
        <v>0</v>
      </c>
      <c r="N838" s="9">
        <v>0</v>
      </c>
      <c r="O838" s="9">
        <v>0</v>
      </c>
      <c r="P838" s="9">
        <v>0</v>
      </c>
      <c r="Q838" s="11">
        <v>0</v>
      </c>
      <c r="R838" s="10" t="s">
        <v>176</v>
      </c>
    </row>
    <row r="839" spans="1:18">
      <c r="A839" s="7">
        <v>46216</v>
      </c>
      <c r="B839" s="8">
        <v>46229</v>
      </c>
      <c r="C839" s="9">
        <v>14</v>
      </c>
      <c r="D839" s="10" t="s">
        <v>1002</v>
      </c>
      <c r="E839" s="10" t="s">
        <v>522</v>
      </c>
      <c r="F839" s="9"/>
      <c r="G839" s="9">
        <v>4</v>
      </c>
      <c r="H839" s="9">
        <v>0</v>
      </c>
      <c r="I839" s="9">
        <v>4</v>
      </c>
      <c r="J839" s="11">
        <v>0</v>
      </c>
      <c r="K839" s="24">
        <v>0.1</v>
      </c>
      <c r="L839" s="24">
        <v>0</v>
      </c>
      <c r="M839" s="24">
        <v>0</v>
      </c>
      <c r="N839" s="9">
        <v>0</v>
      </c>
      <c r="O839" s="9">
        <v>0</v>
      </c>
      <c r="P839" s="9">
        <v>0</v>
      </c>
      <c r="Q839" s="11">
        <v>0</v>
      </c>
      <c r="R839" s="10" t="s">
        <v>176</v>
      </c>
    </row>
    <row r="840" spans="1:18">
      <c r="A840" s="7">
        <v>46216</v>
      </c>
      <c r="B840" s="8">
        <v>46229</v>
      </c>
      <c r="C840" s="9">
        <v>14</v>
      </c>
      <c r="D840" s="10" t="s">
        <v>1002</v>
      </c>
      <c r="E840" s="10" t="s">
        <v>2152</v>
      </c>
      <c r="F840" s="9"/>
      <c r="G840" s="9">
        <v>2</v>
      </c>
      <c r="H840" s="9">
        <v>0</v>
      </c>
      <c r="I840" s="9">
        <v>2</v>
      </c>
      <c r="J840" s="11">
        <v>0</v>
      </c>
      <c r="K840" s="24">
        <v>0</v>
      </c>
      <c r="L840" s="24">
        <v>0</v>
      </c>
      <c r="M840" s="24">
        <v>0</v>
      </c>
      <c r="N840" s="9">
        <v>0</v>
      </c>
      <c r="O840" s="9">
        <v>0</v>
      </c>
      <c r="P840" s="9">
        <v>0</v>
      </c>
      <c r="Q840" s="11">
        <v>0</v>
      </c>
      <c r="R840" s="10" t="s">
        <v>176</v>
      </c>
    </row>
    <row r="841" spans="1:18">
      <c r="A841" s="7">
        <v>46216</v>
      </c>
      <c r="B841" s="8">
        <v>46229</v>
      </c>
      <c r="C841" s="9">
        <v>14</v>
      </c>
      <c r="D841" s="10" t="s">
        <v>1002</v>
      </c>
      <c r="E841" s="10" t="s">
        <v>2153</v>
      </c>
      <c r="F841" s="9"/>
      <c r="G841" s="9">
        <v>2</v>
      </c>
      <c r="H841" s="9">
        <v>0</v>
      </c>
      <c r="I841" s="9">
        <v>2</v>
      </c>
      <c r="J841" s="11">
        <v>0</v>
      </c>
      <c r="K841" s="24">
        <v>0</v>
      </c>
      <c r="L841" s="24">
        <v>0</v>
      </c>
      <c r="M841" s="24">
        <v>0</v>
      </c>
      <c r="N841" s="9">
        <v>0</v>
      </c>
      <c r="O841" s="9">
        <v>0</v>
      </c>
      <c r="P841" s="9">
        <v>0</v>
      </c>
      <c r="Q841" s="11">
        <v>0</v>
      </c>
      <c r="R841" s="10" t="s">
        <v>176</v>
      </c>
    </row>
    <row r="842" spans="1:18">
      <c r="A842" s="7">
        <v>46216</v>
      </c>
      <c r="B842" s="8">
        <v>46229</v>
      </c>
      <c r="C842" s="9">
        <v>14</v>
      </c>
      <c r="D842" s="10" t="s">
        <v>1002</v>
      </c>
      <c r="E842" s="10" t="s">
        <v>2154</v>
      </c>
      <c r="F842" s="9"/>
      <c r="G842" s="9">
        <v>2</v>
      </c>
      <c r="H842" s="9">
        <v>0</v>
      </c>
      <c r="I842" s="9">
        <v>2</v>
      </c>
      <c r="J842" s="11">
        <v>0</v>
      </c>
      <c r="K842" s="24">
        <v>0</v>
      </c>
      <c r="L842" s="24">
        <v>0</v>
      </c>
      <c r="M842" s="24">
        <v>0</v>
      </c>
      <c r="N842" s="9">
        <v>0</v>
      </c>
      <c r="O842" s="9">
        <v>0</v>
      </c>
      <c r="P842" s="9">
        <v>0</v>
      </c>
      <c r="Q842" s="11">
        <v>0</v>
      </c>
      <c r="R842" s="10" t="s">
        <v>176</v>
      </c>
    </row>
    <row r="843" spans="1:18">
      <c r="A843" s="7">
        <v>46216</v>
      </c>
      <c r="B843" s="8">
        <v>46229</v>
      </c>
      <c r="C843" s="9">
        <v>14</v>
      </c>
      <c r="D843" s="10" t="s">
        <v>1002</v>
      </c>
      <c r="E843" s="10" t="s">
        <v>2155</v>
      </c>
      <c r="F843" s="9"/>
      <c r="G843" s="9">
        <v>2</v>
      </c>
      <c r="H843" s="9">
        <v>0</v>
      </c>
      <c r="I843" s="9">
        <v>2</v>
      </c>
      <c r="J843" s="11">
        <v>0</v>
      </c>
      <c r="K843" s="24">
        <v>0</v>
      </c>
      <c r="L843" s="24">
        <v>0</v>
      </c>
      <c r="M843" s="24">
        <v>0</v>
      </c>
      <c r="N843" s="9">
        <v>0</v>
      </c>
      <c r="O843" s="9">
        <v>0</v>
      </c>
      <c r="P843" s="9">
        <v>0</v>
      </c>
      <c r="Q843" s="11">
        <v>0</v>
      </c>
      <c r="R843" s="10" t="s">
        <v>176</v>
      </c>
    </row>
    <row r="844" spans="1:18">
      <c r="A844" s="7">
        <v>46216</v>
      </c>
      <c r="B844" s="8">
        <v>46229</v>
      </c>
      <c r="C844" s="9">
        <v>14</v>
      </c>
      <c r="D844" s="10" t="s">
        <v>1002</v>
      </c>
      <c r="E844" s="10" t="s">
        <v>2156</v>
      </c>
      <c r="F844" s="9"/>
      <c r="G844" s="9">
        <v>2</v>
      </c>
      <c r="H844" s="9">
        <v>0</v>
      </c>
      <c r="I844" s="9">
        <v>2</v>
      </c>
      <c r="J844" s="11">
        <v>0</v>
      </c>
      <c r="K844" s="24">
        <v>0</v>
      </c>
      <c r="L844" s="24">
        <v>0</v>
      </c>
      <c r="M844" s="24">
        <v>0</v>
      </c>
      <c r="N844" s="9">
        <v>0</v>
      </c>
      <c r="O844" s="9">
        <v>0</v>
      </c>
      <c r="P844" s="9">
        <v>0</v>
      </c>
      <c r="Q844" s="11">
        <v>0</v>
      </c>
      <c r="R844" s="10" t="s">
        <v>176</v>
      </c>
    </row>
    <row r="845" spans="1:18">
      <c r="A845" s="7">
        <v>46216</v>
      </c>
      <c r="B845" s="8">
        <v>46229</v>
      </c>
      <c r="C845" s="9">
        <v>14</v>
      </c>
      <c r="D845" s="10" t="s">
        <v>1002</v>
      </c>
      <c r="E845" s="10" t="s">
        <v>2157</v>
      </c>
      <c r="F845" s="9"/>
      <c r="G845" s="9">
        <v>2</v>
      </c>
      <c r="H845" s="9">
        <v>0</v>
      </c>
      <c r="I845" s="9">
        <v>2</v>
      </c>
      <c r="J845" s="11">
        <v>0</v>
      </c>
      <c r="K845" s="24">
        <v>0</v>
      </c>
      <c r="L845" s="24">
        <v>0</v>
      </c>
      <c r="M845" s="24">
        <v>0</v>
      </c>
      <c r="N845" s="9">
        <v>0</v>
      </c>
      <c r="O845" s="9">
        <v>0</v>
      </c>
      <c r="P845" s="9">
        <v>0</v>
      </c>
      <c r="Q845" s="11">
        <v>0</v>
      </c>
      <c r="R845" s="10" t="s">
        <v>176</v>
      </c>
    </row>
    <row r="846" spans="1:18">
      <c r="A846" s="7">
        <v>46216</v>
      </c>
      <c r="B846" s="8">
        <v>46229</v>
      </c>
      <c r="C846" s="9">
        <v>14</v>
      </c>
      <c r="D846" s="10" t="s">
        <v>1002</v>
      </c>
      <c r="E846" s="10" t="s">
        <v>2158</v>
      </c>
      <c r="F846" s="9"/>
      <c r="G846" s="9">
        <v>2</v>
      </c>
      <c r="H846" s="9">
        <v>0</v>
      </c>
      <c r="I846" s="9">
        <v>2</v>
      </c>
      <c r="J846" s="11">
        <v>0</v>
      </c>
      <c r="K846" s="24">
        <v>0</v>
      </c>
      <c r="L846" s="24">
        <v>0</v>
      </c>
      <c r="M846" s="24">
        <v>0</v>
      </c>
      <c r="N846" s="9">
        <v>0</v>
      </c>
      <c r="O846" s="9">
        <v>0</v>
      </c>
      <c r="P846" s="9">
        <v>0</v>
      </c>
      <c r="Q846" s="11">
        <v>0</v>
      </c>
      <c r="R846" s="10" t="s">
        <v>176</v>
      </c>
    </row>
    <row r="847" spans="1:18">
      <c r="A847" s="7">
        <v>46216</v>
      </c>
      <c r="B847" s="8">
        <v>46229</v>
      </c>
      <c r="C847" s="9">
        <v>14</v>
      </c>
      <c r="D847" s="10" t="s">
        <v>1002</v>
      </c>
      <c r="E847" s="10" t="s">
        <v>1296</v>
      </c>
      <c r="F847" s="9"/>
      <c r="G847" s="9">
        <v>4</v>
      </c>
      <c r="H847" s="9">
        <v>0</v>
      </c>
      <c r="I847" s="9">
        <v>4</v>
      </c>
      <c r="J847" s="11">
        <v>0</v>
      </c>
      <c r="K847" s="24">
        <v>0.1</v>
      </c>
      <c r="L847" s="24">
        <v>0</v>
      </c>
      <c r="M847" s="24">
        <v>0</v>
      </c>
      <c r="N847" s="9">
        <v>0</v>
      </c>
      <c r="O847" s="9">
        <v>0</v>
      </c>
      <c r="P847" s="9">
        <v>0</v>
      </c>
      <c r="Q847" s="11">
        <v>0</v>
      </c>
      <c r="R847" s="10" t="s">
        <v>176</v>
      </c>
    </row>
    <row r="848" spans="1:18">
      <c r="A848" s="7">
        <v>46216</v>
      </c>
      <c r="B848" s="8">
        <v>46229</v>
      </c>
      <c r="C848" s="9">
        <v>14</v>
      </c>
      <c r="D848" s="10" t="s">
        <v>1002</v>
      </c>
      <c r="E848" s="10" t="s">
        <v>523</v>
      </c>
      <c r="F848" s="9"/>
      <c r="G848" s="9">
        <v>2</v>
      </c>
      <c r="H848" s="9">
        <v>0</v>
      </c>
      <c r="I848" s="9">
        <v>2</v>
      </c>
      <c r="J848" s="11">
        <v>0</v>
      </c>
      <c r="K848" s="24">
        <v>0.1</v>
      </c>
      <c r="L848" s="24">
        <v>0</v>
      </c>
      <c r="M848" s="24">
        <v>0</v>
      </c>
      <c r="N848" s="9">
        <v>0</v>
      </c>
      <c r="O848" s="9">
        <v>0</v>
      </c>
      <c r="P848" s="9">
        <v>0</v>
      </c>
      <c r="Q848" s="11">
        <v>0</v>
      </c>
      <c r="R848" s="10" t="s">
        <v>176</v>
      </c>
    </row>
    <row r="849" spans="1:18">
      <c r="A849" s="7">
        <v>46216</v>
      </c>
      <c r="B849" s="8">
        <v>46229</v>
      </c>
      <c r="C849" s="9">
        <v>14</v>
      </c>
      <c r="D849" s="10" t="s">
        <v>1002</v>
      </c>
      <c r="E849" s="10" t="s">
        <v>1298</v>
      </c>
      <c r="F849" s="9"/>
      <c r="G849" s="9">
        <v>4</v>
      </c>
      <c r="H849" s="9">
        <v>0</v>
      </c>
      <c r="I849" s="9">
        <v>4</v>
      </c>
      <c r="J849" s="11">
        <v>0</v>
      </c>
      <c r="K849" s="24">
        <v>0.1</v>
      </c>
      <c r="L849" s="24">
        <v>0</v>
      </c>
      <c r="M849" s="24">
        <v>0</v>
      </c>
      <c r="N849" s="9">
        <v>0</v>
      </c>
      <c r="O849" s="9">
        <v>0</v>
      </c>
      <c r="P849" s="9">
        <v>0</v>
      </c>
      <c r="Q849" s="11">
        <v>0</v>
      </c>
      <c r="R849" s="10" t="s">
        <v>176</v>
      </c>
    </row>
    <row r="850" spans="1:18">
      <c r="A850" s="7">
        <v>46216</v>
      </c>
      <c r="B850" s="8">
        <v>46229</v>
      </c>
      <c r="C850" s="9">
        <v>14</v>
      </c>
      <c r="D850" s="10" t="s">
        <v>1002</v>
      </c>
      <c r="E850" s="10" t="s">
        <v>1629</v>
      </c>
      <c r="F850" s="9"/>
      <c r="G850" s="9">
        <v>2</v>
      </c>
      <c r="H850" s="9">
        <v>0</v>
      </c>
      <c r="I850" s="9">
        <v>2</v>
      </c>
      <c r="J850" s="11">
        <v>0</v>
      </c>
      <c r="K850" s="24">
        <v>0.1</v>
      </c>
      <c r="L850" s="24">
        <v>0</v>
      </c>
      <c r="M850" s="24">
        <v>0</v>
      </c>
      <c r="N850" s="9">
        <v>0</v>
      </c>
      <c r="O850" s="9">
        <v>0</v>
      </c>
      <c r="P850" s="9">
        <v>0</v>
      </c>
      <c r="Q850" s="11">
        <v>0</v>
      </c>
      <c r="R850" s="10" t="s">
        <v>176</v>
      </c>
    </row>
    <row r="851" spans="1:18">
      <c r="A851" s="7">
        <v>46216</v>
      </c>
      <c r="B851" s="8">
        <v>46229</v>
      </c>
      <c r="C851" s="9">
        <v>14</v>
      </c>
      <c r="D851" s="10" t="s">
        <v>1002</v>
      </c>
      <c r="E851" s="10" t="s">
        <v>2159</v>
      </c>
      <c r="F851" s="9"/>
      <c r="G851" s="9">
        <v>2</v>
      </c>
      <c r="H851" s="9">
        <v>0</v>
      </c>
      <c r="I851" s="9">
        <v>2</v>
      </c>
      <c r="J851" s="11">
        <v>0</v>
      </c>
      <c r="K851" s="24">
        <v>0</v>
      </c>
      <c r="L851" s="24">
        <v>0</v>
      </c>
      <c r="M851" s="24">
        <v>0</v>
      </c>
      <c r="N851" s="9">
        <v>0</v>
      </c>
      <c r="O851" s="9">
        <v>0</v>
      </c>
      <c r="P851" s="9">
        <v>0</v>
      </c>
      <c r="Q851" s="11">
        <v>0</v>
      </c>
      <c r="R851" s="10" t="s">
        <v>176</v>
      </c>
    </row>
    <row r="852" spans="1:18">
      <c r="A852" s="7">
        <v>46216</v>
      </c>
      <c r="B852" s="8">
        <v>46229</v>
      </c>
      <c r="C852" s="9">
        <v>14</v>
      </c>
      <c r="D852" s="10" t="s">
        <v>1002</v>
      </c>
      <c r="E852" s="10" t="s">
        <v>1809</v>
      </c>
      <c r="F852" s="9"/>
      <c r="G852" s="9">
        <v>1</v>
      </c>
      <c r="H852" s="9">
        <v>0</v>
      </c>
      <c r="I852" s="9">
        <v>1</v>
      </c>
      <c r="J852" s="11">
        <v>0</v>
      </c>
      <c r="K852" s="24">
        <v>0.1</v>
      </c>
      <c r="L852" s="24">
        <v>0</v>
      </c>
      <c r="M852" s="24">
        <v>0</v>
      </c>
      <c r="N852" s="9">
        <v>0</v>
      </c>
      <c r="O852" s="9">
        <v>0</v>
      </c>
      <c r="P852" s="9">
        <v>0</v>
      </c>
      <c r="Q852" s="11">
        <v>0</v>
      </c>
      <c r="R852" s="10" t="s">
        <v>176</v>
      </c>
    </row>
    <row r="853" spans="1:18">
      <c r="A853" s="7">
        <v>46216</v>
      </c>
      <c r="B853" s="8">
        <v>46229</v>
      </c>
      <c r="C853" s="9">
        <v>14</v>
      </c>
      <c r="D853" s="10" t="s">
        <v>1002</v>
      </c>
      <c r="E853" s="10" t="s">
        <v>1811</v>
      </c>
      <c r="F853" s="9"/>
      <c r="G853" s="9">
        <v>1</v>
      </c>
      <c r="H853" s="9">
        <v>0</v>
      </c>
      <c r="I853" s="9">
        <v>1</v>
      </c>
      <c r="J853" s="11">
        <v>0</v>
      </c>
      <c r="K853" s="24">
        <v>0.1</v>
      </c>
      <c r="L853" s="24">
        <v>0</v>
      </c>
      <c r="M853" s="24">
        <v>0</v>
      </c>
      <c r="N853" s="9">
        <v>0</v>
      </c>
      <c r="O853" s="9">
        <v>0</v>
      </c>
      <c r="P853" s="9">
        <v>0</v>
      </c>
      <c r="Q853" s="11">
        <v>0</v>
      </c>
      <c r="R853" s="10" t="s">
        <v>176</v>
      </c>
    </row>
    <row r="854" spans="1:18">
      <c r="A854" s="7">
        <v>46216</v>
      </c>
      <c r="B854" s="8">
        <v>46229</v>
      </c>
      <c r="C854" s="9">
        <v>14</v>
      </c>
      <c r="D854" s="10" t="s">
        <v>1002</v>
      </c>
      <c r="E854" s="10" t="s">
        <v>1813</v>
      </c>
      <c r="F854" s="9"/>
      <c r="G854" s="9">
        <v>1</v>
      </c>
      <c r="H854" s="9">
        <v>0</v>
      </c>
      <c r="I854" s="9">
        <v>1</v>
      </c>
      <c r="J854" s="11">
        <v>0</v>
      </c>
      <c r="K854" s="24">
        <v>0.1</v>
      </c>
      <c r="L854" s="24">
        <v>0</v>
      </c>
      <c r="M854" s="24">
        <v>0</v>
      </c>
      <c r="N854" s="9">
        <v>0</v>
      </c>
      <c r="O854" s="9">
        <v>0</v>
      </c>
      <c r="P854" s="9">
        <v>0</v>
      </c>
      <c r="Q854" s="11">
        <v>0</v>
      </c>
      <c r="R854" s="10" t="s">
        <v>176</v>
      </c>
    </row>
    <row r="855" spans="1:18">
      <c r="A855" s="7">
        <v>46216</v>
      </c>
      <c r="B855" s="8">
        <v>46229</v>
      </c>
      <c r="C855" s="9">
        <v>14</v>
      </c>
      <c r="D855" s="10" t="s">
        <v>1002</v>
      </c>
      <c r="E855" s="10" t="s">
        <v>1815</v>
      </c>
      <c r="F855" s="9"/>
      <c r="G855" s="9">
        <v>1</v>
      </c>
      <c r="H855" s="9">
        <v>0</v>
      </c>
      <c r="I855" s="9">
        <v>1</v>
      </c>
      <c r="J855" s="11">
        <v>0</v>
      </c>
      <c r="K855" s="24">
        <v>0.1</v>
      </c>
      <c r="L855" s="24">
        <v>0</v>
      </c>
      <c r="M855" s="24">
        <v>0</v>
      </c>
      <c r="N855" s="9">
        <v>0</v>
      </c>
      <c r="O855" s="9">
        <v>0</v>
      </c>
      <c r="P855" s="9">
        <v>0</v>
      </c>
      <c r="Q855" s="11">
        <v>0</v>
      </c>
      <c r="R855" s="10" t="s">
        <v>176</v>
      </c>
    </row>
    <row r="856" spans="1:18">
      <c r="A856" s="7">
        <v>46216</v>
      </c>
      <c r="B856" s="8">
        <v>46229</v>
      </c>
      <c r="C856" s="9">
        <v>14</v>
      </c>
      <c r="D856" s="10" t="s">
        <v>1002</v>
      </c>
      <c r="E856" s="10" t="s">
        <v>1418</v>
      </c>
      <c r="F856" s="9"/>
      <c r="G856" s="9">
        <v>3</v>
      </c>
      <c r="H856" s="9">
        <v>0</v>
      </c>
      <c r="I856" s="9">
        <v>3</v>
      </c>
      <c r="J856" s="11">
        <v>0</v>
      </c>
      <c r="K856" s="24">
        <v>0.1</v>
      </c>
      <c r="L856" s="24">
        <v>0</v>
      </c>
      <c r="M856" s="24">
        <v>0</v>
      </c>
      <c r="N856" s="9">
        <v>0</v>
      </c>
      <c r="O856" s="9">
        <v>0</v>
      </c>
      <c r="P856" s="9">
        <v>0</v>
      </c>
      <c r="Q856" s="11">
        <v>0</v>
      </c>
      <c r="R856" s="10" t="s">
        <v>176</v>
      </c>
    </row>
    <row r="857" spans="1:18">
      <c r="A857" s="7">
        <v>46216</v>
      </c>
      <c r="B857" s="8">
        <v>46229</v>
      </c>
      <c r="C857" s="9">
        <v>14</v>
      </c>
      <c r="D857" s="10" t="s">
        <v>1002</v>
      </c>
      <c r="E857" s="10" t="s">
        <v>524</v>
      </c>
      <c r="F857" s="9"/>
      <c r="G857" s="9">
        <v>2</v>
      </c>
      <c r="H857" s="9">
        <v>0</v>
      </c>
      <c r="I857" s="9">
        <v>2</v>
      </c>
      <c r="J857" s="11">
        <v>0</v>
      </c>
      <c r="K857" s="24">
        <v>0.1</v>
      </c>
      <c r="L857" s="24">
        <v>0</v>
      </c>
      <c r="M857" s="24">
        <v>0</v>
      </c>
      <c r="N857" s="9">
        <v>0</v>
      </c>
      <c r="O857" s="9">
        <v>0</v>
      </c>
      <c r="P857" s="9">
        <v>0</v>
      </c>
      <c r="Q857" s="11">
        <v>0</v>
      </c>
      <c r="R857" s="10" t="s">
        <v>176</v>
      </c>
    </row>
    <row r="858" spans="1:18">
      <c r="A858" s="7">
        <v>46216</v>
      </c>
      <c r="B858" s="8">
        <v>46229</v>
      </c>
      <c r="C858" s="9">
        <v>14</v>
      </c>
      <c r="D858" s="10" t="s">
        <v>1002</v>
      </c>
      <c r="E858" s="10" t="s">
        <v>525</v>
      </c>
      <c r="F858" s="9"/>
      <c r="G858" s="9">
        <v>1</v>
      </c>
      <c r="H858" s="9">
        <v>0</v>
      </c>
      <c r="I858" s="9">
        <v>1</v>
      </c>
      <c r="J858" s="11">
        <v>0</v>
      </c>
      <c r="K858" s="24">
        <v>0.1</v>
      </c>
      <c r="L858" s="24">
        <v>0</v>
      </c>
      <c r="M858" s="24">
        <v>0</v>
      </c>
      <c r="N858" s="9">
        <v>0</v>
      </c>
      <c r="O858" s="9">
        <v>0</v>
      </c>
      <c r="P858" s="9">
        <v>0</v>
      </c>
      <c r="Q858" s="11">
        <v>0</v>
      </c>
      <c r="R858" s="10" t="s">
        <v>176</v>
      </c>
    </row>
    <row r="859" spans="1:18">
      <c r="A859" s="7">
        <v>46216</v>
      </c>
      <c r="B859" s="8">
        <v>46229</v>
      </c>
      <c r="C859" s="9">
        <v>14</v>
      </c>
      <c r="D859" s="10" t="s">
        <v>1002</v>
      </c>
      <c r="E859" s="10" t="s">
        <v>1818</v>
      </c>
      <c r="F859" s="9"/>
      <c r="G859" s="9">
        <v>1</v>
      </c>
      <c r="H859" s="9">
        <v>0</v>
      </c>
      <c r="I859" s="9">
        <v>1</v>
      </c>
      <c r="J859" s="11">
        <v>0</v>
      </c>
      <c r="K859" s="24">
        <v>0.1</v>
      </c>
      <c r="L859" s="24">
        <v>0</v>
      </c>
      <c r="M859" s="24">
        <v>0</v>
      </c>
      <c r="N859" s="9">
        <v>0</v>
      </c>
      <c r="O859" s="9">
        <v>0</v>
      </c>
      <c r="P859" s="9">
        <v>0</v>
      </c>
      <c r="Q859" s="11">
        <v>0</v>
      </c>
      <c r="R859" s="10" t="s">
        <v>176</v>
      </c>
    </row>
    <row r="860" spans="1:18">
      <c r="A860" s="7">
        <v>46216</v>
      </c>
      <c r="B860" s="8">
        <v>46229</v>
      </c>
      <c r="C860" s="9">
        <v>14</v>
      </c>
      <c r="D860" s="10" t="s">
        <v>1002</v>
      </c>
      <c r="E860" s="10" t="s">
        <v>61</v>
      </c>
      <c r="F860" s="9"/>
      <c r="G860" s="9">
        <v>8</v>
      </c>
      <c r="H860" s="9">
        <v>0</v>
      </c>
      <c r="I860" s="9">
        <v>8</v>
      </c>
      <c r="J860" s="11">
        <v>0</v>
      </c>
      <c r="K860" s="24">
        <v>0.1</v>
      </c>
      <c r="L860" s="24">
        <v>0</v>
      </c>
      <c r="M860" s="24">
        <v>0</v>
      </c>
      <c r="N860" s="9">
        <v>0</v>
      </c>
      <c r="O860" s="9">
        <v>0</v>
      </c>
      <c r="P860" s="9">
        <v>0</v>
      </c>
      <c r="Q860" s="11">
        <v>0</v>
      </c>
      <c r="R860" s="10" t="s">
        <v>176</v>
      </c>
    </row>
    <row r="861" spans="1:18">
      <c r="A861" s="7">
        <v>46216</v>
      </c>
      <c r="B861" s="8">
        <v>46229</v>
      </c>
      <c r="C861" s="9">
        <v>14</v>
      </c>
      <c r="D861" s="10" t="s">
        <v>1002</v>
      </c>
      <c r="E861" s="10" t="s">
        <v>1633</v>
      </c>
      <c r="F861" s="9"/>
      <c r="G861" s="9">
        <v>2</v>
      </c>
      <c r="H861" s="9">
        <v>0</v>
      </c>
      <c r="I861" s="9">
        <v>2</v>
      </c>
      <c r="J861" s="11">
        <v>0</v>
      </c>
      <c r="K861" s="24">
        <v>0.1</v>
      </c>
      <c r="L861" s="24">
        <v>0</v>
      </c>
      <c r="M861" s="24">
        <v>0</v>
      </c>
      <c r="N861" s="9">
        <v>0</v>
      </c>
      <c r="O861" s="9">
        <v>0</v>
      </c>
      <c r="P861" s="9">
        <v>0</v>
      </c>
      <c r="Q861" s="11">
        <v>0</v>
      </c>
      <c r="R861" s="10" t="s">
        <v>176</v>
      </c>
    </row>
    <row r="862" spans="1:18">
      <c r="A862" s="7">
        <v>46216</v>
      </c>
      <c r="B862" s="8">
        <v>46229</v>
      </c>
      <c r="C862" s="9">
        <v>14</v>
      </c>
      <c r="D862" s="10" t="s">
        <v>1002</v>
      </c>
      <c r="E862" s="10" t="s">
        <v>529</v>
      </c>
      <c r="F862" s="9"/>
      <c r="G862" s="9">
        <v>1</v>
      </c>
      <c r="H862" s="9">
        <v>0</v>
      </c>
      <c r="I862" s="9">
        <v>1</v>
      </c>
      <c r="J862" s="11">
        <v>0</v>
      </c>
      <c r="K862" s="24">
        <v>0.1</v>
      </c>
      <c r="L862" s="24">
        <v>0</v>
      </c>
      <c r="M862" s="24">
        <v>0</v>
      </c>
      <c r="N862" s="9">
        <v>0</v>
      </c>
      <c r="O862" s="9">
        <v>0</v>
      </c>
      <c r="P862" s="9">
        <v>0</v>
      </c>
      <c r="Q862" s="11">
        <v>0</v>
      </c>
      <c r="R862" s="10" t="s">
        <v>176</v>
      </c>
    </row>
    <row r="863" spans="1:18">
      <c r="A863" s="7">
        <v>46216</v>
      </c>
      <c r="B863" s="8">
        <v>46229</v>
      </c>
      <c r="C863" s="9">
        <v>14</v>
      </c>
      <c r="D863" s="10" t="s">
        <v>1002</v>
      </c>
      <c r="E863" s="10" t="s">
        <v>2161</v>
      </c>
      <c r="F863" s="9"/>
      <c r="G863" s="9">
        <v>1</v>
      </c>
      <c r="H863" s="9">
        <v>0</v>
      </c>
      <c r="I863" s="9">
        <v>1</v>
      </c>
      <c r="J863" s="11">
        <v>0</v>
      </c>
      <c r="K863" s="24">
        <v>0.1</v>
      </c>
      <c r="L863" s="24">
        <v>0</v>
      </c>
      <c r="M863" s="24">
        <v>0</v>
      </c>
      <c r="N863" s="9">
        <v>0</v>
      </c>
      <c r="O863" s="9">
        <v>0</v>
      </c>
      <c r="P863" s="9">
        <v>0</v>
      </c>
      <c r="Q863" s="11">
        <v>0</v>
      </c>
      <c r="R863" s="10" t="s">
        <v>176</v>
      </c>
    </row>
    <row r="864" spans="1:18">
      <c r="A864" s="7">
        <v>46216</v>
      </c>
      <c r="B864" s="8">
        <v>46229</v>
      </c>
      <c r="C864" s="9">
        <v>14</v>
      </c>
      <c r="D864" s="10" t="s">
        <v>1002</v>
      </c>
      <c r="E864" s="10" t="s">
        <v>2162</v>
      </c>
      <c r="F864" s="9"/>
      <c r="G864" s="9">
        <v>1</v>
      </c>
      <c r="H864" s="9">
        <v>0</v>
      </c>
      <c r="I864" s="9">
        <v>1</v>
      </c>
      <c r="J864" s="11">
        <v>0</v>
      </c>
      <c r="K864" s="24">
        <v>0.1</v>
      </c>
      <c r="L864" s="24">
        <v>0</v>
      </c>
      <c r="M864" s="24">
        <v>0</v>
      </c>
      <c r="N864" s="9">
        <v>0</v>
      </c>
      <c r="O864" s="9">
        <v>0</v>
      </c>
      <c r="P864" s="9">
        <v>0</v>
      </c>
      <c r="Q864" s="11">
        <v>0</v>
      </c>
      <c r="R864" s="10" t="s">
        <v>176</v>
      </c>
    </row>
    <row r="865" spans="1:18">
      <c r="A865" s="7">
        <v>46216</v>
      </c>
      <c r="B865" s="8">
        <v>46229</v>
      </c>
      <c r="C865" s="9">
        <v>14</v>
      </c>
      <c r="D865" s="10" t="s">
        <v>1002</v>
      </c>
      <c r="E865" s="10" t="s">
        <v>2163</v>
      </c>
      <c r="F865" s="9"/>
      <c r="G865" s="9">
        <v>1</v>
      </c>
      <c r="H865" s="9">
        <v>0</v>
      </c>
      <c r="I865" s="9">
        <v>1</v>
      </c>
      <c r="J865" s="11">
        <v>0</v>
      </c>
      <c r="K865" s="24">
        <v>0.1</v>
      </c>
      <c r="L865" s="24">
        <v>0</v>
      </c>
      <c r="M865" s="24">
        <v>0</v>
      </c>
      <c r="N865" s="9">
        <v>0</v>
      </c>
      <c r="O865" s="9">
        <v>0</v>
      </c>
      <c r="P865" s="9">
        <v>0</v>
      </c>
      <c r="Q865" s="11">
        <v>0</v>
      </c>
      <c r="R865" s="10" t="s">
        <v>176</v>
      </c>
    </row>
    <row r="866" spans="1:18">
      <c r="A866" s="7">
        <v>46216</v>
      </c>
      <c r="B866" s="8">
        <v>46229</v>
      </c>
      <c r="C866" s="9">
        <v>14</v>
      </c>
      <c r="D866" s="10" t="s">
        <v>1002</v>
      </c>
      <c r="E866" s="10" t="s">
        <v>2164</v>
      </c>
      <c r="F866" s="9"/>
      <c r="G866" s="9">
        <v>1</v>
      </c>
      <c r="H866" s="9">
        <v>0</v>
      </c>
      <c r="I866" s="9">
        <v>1</v>
      </c>
      <c r="J866" s="11">
        <v>0</v>
      </c>
      <c r="K866" s="24">
        <v>0.1</v>
      </c>
      <c r="L866" s="24">
        <v>0</v>
      </c>
      <c r="M866" s="24">
        <v>0</v>
      </c>
      <c r="N866" s="9">
        <v>0</v>
      </c>
      <c r="O866" s="9">
        <v>0</v>
      </c>
      <c r="P866" s="9">
        <v>0</v>
      </c>
      <c r="Q866" s="11">
        <v>0</v>
      </c>
      <c r="R866" s="10" t="s">
        <v>176</v>
      </c>
    </row>
    <row r="867" spans="1:18">
      <c r="A867" s="7">
        <v>46216</v>
      </c>
      <c r="B867" s="8">
        <v>46229</v>
      </c>
      <c r="C867" s="9">
        <v>14</v>
      </c>
      <c r="D867" s="10" t="s">
        <v>1002</v>
      </c>
      <c r="E867" s="10" t="s">
        <v>60</v>
      </c>
      <c r="F867" s="9"/>
      <c r="G867" s="9">
        <v>3</v>
      </c>
      <c r="H867" s="9">
        <v>0</v>
      </c>
      <c r="I867" s="9">
        <v>3</v>
      </c>
      <c r="J867" s="11">
        <v>0</v>
      </c>
      <c r="K867" s="24">
        <v>0.1</v>
      </c>
      <c r="L867" s="24">
        <v>0</v>
      </c>
      <c r="M867" s="24">
        <v>0</v>
      </c>
      <c r="N867" s="9">
        <v>0</v>
      </c>
      <c r="O867" s="9">
        <v>0</v>
      </c>
      <c r="P867" s="9">
        <v>0</v>
      </c>
      <c r="Q867" s="11">
        <v>0</v>
      </c>
      <c r="R867" s="10" t="s">
        <v>176</v>
      </c>
    </row>
    <row r="868" spans="1:18">
      <c r="A868" s="7">
        <v>46216</v>
      </c>
      <c r="B868" s="8">
        <v>46229</v>
      </c>
      <c r="C868" s="9">
        <v>14</v>
      </c>
      <c r="D868" s="10" t="s">
        <v>1002</v>
      </c>
      <c r="E868" s="10" t="s">
        <v>530</v>
      </c>
      <c r="F868" s="9"/>
      <c r="G868" s="9">
        <v>2</v>
      </c>
      <c r="H868" s="9">
        <v>0</v>
      </c>
      <c r="I868" s="9">
        <v>2</v>
      </c>
      <c r="J868" s="11">
        <v>0</v>
      </c>
      <c r="K868" s="24">
        <v>0.1</v>
      </c>
      <c r="L868" s="24">
        <v>0</v>
      </c>
      <c r="M868" s="24">
        <v>0</v>
      </c>
      <c r="N868" s="9">
        <v>0</v>
      </c>
      <c r="O868" s="9">
        <v>0</v>
      </c>
      <c r="P868" s="9">
        <v>0</v>
      </c>
      <c r="Q868" s="11">
        <v>0</v>
      </c>
      <c r="R868" s="10" t="s">
        <v>176</v>
      </c>
    </row>
    <row r="869" spans="1:18">
      <c r="A869" s="7">
        <v>46216</v>
      </c>
      <c r="B869" s="8">
        <v>46229</v>
      </c>
      <c r="C869" s="9">
        <v>14</v>
      </c>
      <c r="D869" s="10" t="s">
        <v>1002</v>
      </c>
      <c r="E869" s="10" t="s">
        <v>1025</v>
      </c>
      <c r="F869" s="9"/>
      <c r="G869" s="9">
        <v>14</v>
      </c>
      <c r="H869" s="9">
        <v>0</v>
      </c>
      <c r="I869" s="9">
        <v>14</v>
      </c>
      <c r="J869" s="11">
        <v>0</v>
      </c>
      <c r="K869" s="24">
        <v>0.1</v>
      </c>
      <c r="L869" s="24">
        <v>0</v>
      </c>
      <c r="M869" s="24">
        <v>0</v>
      </c>
      <c r="N869" s="9">
        <v>0</v>
      </c>
      <c r="O869" s="9">
        <v>0</v>
      </c>
      <c r="P869" s="9">
        <v>0</v>
      </c>
      <c r="Q869" s="11">
        <v>0</v>
      </c>
      <c r="R869" s="10" t="s">
        <v>176</v>
      </c>
    </row>
    <row r="870" spans="1:18">
      <c r="A870" s="7">
        <v>46216</v>
      </c>
      <c r="B870" s="8">
        <v>46229</v>
      </c>
      <c r="C870" s="9">
        <v>14</v>
      </c>
      <c r="D870" s="10" t="s">
        <v>1002</v>
      </c>
      <c r="E870" s="10" t="s">
        <v>2165</v>
      </c>
      <c r="F870" s="9"/>
      <c r="G870" s="9">
        <v>3</v>
      </c>
      <c r="H870" s="9">
        <v>0</v>
      </c>
      <c r="I870" s="9">
        <v>3</v>
      </c>
      <c r="J870" s="11">
        <v>0</v>
      </c>
      <c r="K870" s="24">
        <v>0</v>
      </c>
      <c r="L870" s="24">
        <v>0</v>
      </c>
      <c r="M870" s="24">
        <v>0</v>
      </c>
      <c r="N870" s="9">
        <v>0</v>
      </c>
      <c r="O870" s="9">
        <v>0</v>
      </c>
      <c r="P870" s="9">
        <v>0</v>
      </c>
      <c r="Q870" s="11">
        <v>0</v>
      </c>
      <c r="R870" s="10" t="s">
        <v>176</v>
      </c>
    </row>
    <row r="871" spans="1:18">
      <c r="A871" s="7">
        <v>46216</v>
      </c>
      <c r="B871" s="8">
        <v>46229</v>
      </c>
      <c r="C871" s="9">
        <v>14</v>
      </c>
      <c r="D871" s="10" t="s">
        <v>1002</v>
      </c>
      <c r="E871" s="10" t="s">
        <v>2166</v>
      </c>
      <c r="F871" s="9"/>
      <c r="G871" s="9">
        <v>3</v>
      </c>
      <c r="H871" s="9">
        <v>0</v>
      </c>
      <c r="I871" s="9">
        <v>3</v>
      </c>
      <c r="J871" s="11">
        <v>0</v>
      </c>
      <c r="K871" s="24">
        <v>0</v>
      </c>
      <c r="L871" s="24">
        <v>0</v>
      </c>
      <c r="M871" s="24">
        <v>0</v>
      </c>
      <c r="N871" s="9">
        <v>0</v>
      </c>
      <c r="O871" s="9">
        <v>0</v>
      </c>
      <c r="P871" s="9">
        <v>0</v>
      </c>
      <c r="Q871" s="11">
        <v>0</v>
      </c>
      <c r="R871" s="10" t="s">
        <v>176</v>
      </c>
    </row>
    <row r="872" spans="1:18">
      <c r="A872" s="7">
        <v>46216</v>
      </c>
      <c r="B872" s="8">
        <v>46229</v>
      </c>
      <c r="C872" s="9">
        <v>14</v>
      </c>
      <c r="D872" s="10" t="s">
        <v>1002</v>
      </c>
      <c r="E872" s="10" t="s">
        <v>27</v>
      </c>
      <c r="F872" s="9"/>
      <c r="G872" s="9">
        <v>219</v>
      </c>
      <c r="H872" s="9">
        <v>0</v>
      </c>
      <c r="I872" s="9">
        <v>219</v>
      </c>
      <c r="J872" s="11">
        <v>0</v>
      </c>
      <c r="K872" s="24">
        <v>0.1</v>
      </c>
      <c r="L872" s="24">
        <v>0</v>
      </c>
      <c r="M872" s="24">
        <v>0</v>
      </c>
      <c r="N872" s="9">
        <v>0</v>
      </c>
      <c r="O872" s="9">
        <v>0</v>
      </c>
      <c r="P872" s="9">
        <v>0</v>
      </c>
      <c r="Q872" s="11">
        <v>0</v>
      </c>
      <c r="R872" s="10" t="s">
        <v>176</v>
      </c>
    </row>
    <row r="873" spans="1:18">
      <c r="A873" s="7">
        <v>46216</v>
      </c>
      <c r="B873" s="8">
        <v>46229</v>
      </c>
      <c r="C873" s="9">
        <v>14</v>
      </c>
      <c r="D873" s="10" t="s">
        <v>1002</v>
      </c>
      <c r="E873" s="10" t="s">
        <v>3859</v>
      </c>
      <c r="F873" s="9"/>
      <c r="G873" s="9">
        <v>1</v>
      </c>
      <c r="H873" s="9">
        <v>0</v>
      </c>
      <c r="I873" s="9">
        <v>1</v>
      </c>
      <c r="J873" s="11">
        <v>0</v>
      </c>
      <c r="K873" s="24">
        <v>0</v>
      </c>
      <c r="L873" s="24">
        <v>0</v>
      </c>
      <c r="M873" s="24">
        <v>0</v>
      </c>
      <c r="N873" s="9">
        <v>0</v>
      </c>
      <c r="O873" s="9">
        <v>0</v>
      </c>
      <c r="P873" s="9">
        <v>0</v>
      </c>
      <c r="Q873" s="11">
        <v>0</v>
      </c>
      <c r="R873" s="10" t="s">
        <v>176</v>
      </c>
    </row>
    <row r="874" spans="1:18">
      <c r="A874" s="7">
        <v>46216</v>
      </c>
      <c r="B874" s="8">
        <v>46229</v>
      </c>
      <c r="C874" s="9">
        <v>14</v>
      </c>
      <c r="D874" s="10" t="s">
        <v>1002</v>
      </c>
      <c r="E874" s="10" t="s">
        <v>534</v>
      </c>
      <c r="F874" s="9"/>
      <c r="G874" s="9">
        <v>1</v>
      </c>
      <c r="H874" s="9">
        <v>0</v>
      </c>
      <c r="I874" s="9">
        <v>1</v>
      </c>
      <c r="J874" s="11">
        <v>0</v>
      </c>
      <c r="K874" s="24">
        <v>0.1</v>
      </c>
      <c r="L874" s="24">
        <v>0</v>
      </c>
      <c r="M874" s="24">
        <v>0</v>
      </c>
      <c r="N874" s="9">
        <v>0</v>
      </c>
      <c r="O874" s="9">
        <v>0</v>
      </c>
      <c r="P874" s="9">
        <v>0</v>
      </c>
      <c r="Q874" s="11">
        <v>0</v>
      </c>
      <c r="R874" s="10" t="s">
        <v>176</v>
      </c>
    </row>
    <row r="875" spans="1:18">
      <c r="A875" s="7">
        <v>46216</v>
      </c>
      <c r="B875" s="8">
        <v>46229</v>
      </c>
      <c r="C875" s="9">
        <v>14</v>
      </c>
      <c r="D875" s="10" t="s">
        <v>1002</v>
      </c>
      <c r="E875" s="10" t="s">
        <v>535</v>
      </c>
      <c r="F875" s="9"/>
      <c r="G875" s="9">
        <v>4</v>
      </c>
      <c r="H875" s="9">
        <v>0</v>
      </c>
      <c r="I875" s="9">
        <v>4</v>
      </c>
      <c r="J875" s="11">
        <v>0</v>
      </c>
      <c r="K875" s="24">
        <v>0.1</v>
      </c>
      <c r="L875" s="24">
        <v>0</v>
      </c>
      <c r="M875" s="24">
        <v>0</v>
      </c>
      <c r="N875" s="9">
        <v>0</v>
      </c>
      <c r="O875" s="9">
        <v>0</v>
      </c>
      <c r="P875" s="9">
        <v>0</v>
      </c>
      <c r="Q875" s="11">
        <v>0</v>
      </c>
      <c r="R875" s="10" t="s">
        <v>176</v>
      </c>
    </row>
    <row r="876" spans="1:18">
      <c r="A876" s="7">
        <v>46216</v>
      </c>
      <c r="B876" s="8">
        <v>46229</v>
      </c>
      <c r="C876" s="9">
        <v>14</v>
      </c>
      <c r="D876" s="10" t="s">
        <v>1002</v>
      </c>
      <c r="E876" s="10" t="s">
        <v>2175</v>
      </c>
      <c r="F876" s="9"/>
      <c r="G876" s="9">
        <v>2</v>
      </c>
      <c r="H876" s="9">
        <v>0</v>
      </c>
      <c r="I876" s="9">
        <v>2</v>
      </c>
      <c r="J876" s="11">
        <v>0</v>
      </c>
      <c r="K876" s="24">
        <v>0</v>
      </c>
      <c r="L876" s="24">
        <v>0</v>
      </c>
      <c r="M876" s="24">
        <v>0</v>
      </c>
      <c r="N876" s="9">
        <v>0</v>
      </c>
      <c r="O876" s="9">
        <v>0</v>
      </c>
      <c r="P876" s="9">
        <v>0</v>
      </c>
      <c r="Q876" s="11">
        <v>0</v>
      </c>
      <c r="R876" s="10" t="s">
        <v>176</v>
      </c>
    </row>
    <row r="877" spans="1:18">
      <c r="A877" s="7">
        <v>46216</v>
      </c>
      <c r="B877" s="8">
        <v>46229</v>
      </c>
      <c r="C877" s="9">
        <v>14</v>
      </c>
      <c r="D877" s="10" t="s">
        <v>1002</v>
      </c>
      <c r="E877" s="10" t="s">
        <v>2176</v>
      </c>
      <c r="F877" s="9"/>
      <c r="G877" s="9">
        <v>2</v>
      </c>
      <c r="H877" s="9">
        <v>0</v>
      </c>
      <c r="I877" s="9">
        <v>2</v>
      </c>
      <c r="J877" s="11">
        <v>0</v>
      </c>
      <c r="K877" s="24">
        <v>0</v>
      </c>
      <c r="L877" s="24">
        <v>0</v>
      </c>
      <c r="M877" s="24">
        <v>0</v>
      </c>
      <c r="N877" s="9">
        <v>0</v>
      </c>
      <c r="O877" s="9">
        <v>0</v>
      </c>
      <c r="P877" s="9">
        <v>0</v>
      </c>
      <c r="Q877" s="11">
        <v>0</v>
      </c>
      <c r="R877" s="10" t="s">
        <v>176</v>
      </c>
    </row>
    <row r="878" spans="1:18">
      <c r="A878" s="7">
        <v>46216</v>
      </c>
      <c r="B878" s="8">
        <v>46229</v>
      </c>
      <c r="C878" s="9">
        <v>14</v>
      </c>
      <c r="D878" s="10" t="s">
        <v>1002</v>
      </c>
      <c r="E878" s="10" t="s">
        <v>1868</v>
      </c>
      <c r="F878" s="9"/>
      <c r="G878" s="9">
        <v>1</v>
      </c>
      <c r="H878" s="9">
        <v>0</v>
      </c>
      <c r="I878" s="9">
        <v>1</v>
      </c>
      <c r="J878" s="11">
        <v>0</v>
      </c>
      <c r="K878" s="24">
        <v>0.1</v>
      </c>
      <c r="L878" s="24">
        <v>0</v>
      </c>
      <c r="M878" s="24">
        <v>0</v>
      </c>
      <c r="N878" s="9">
        <v>0</v>
      </c>
      <c r="O878" s="9">
        <v>0</v>
      </c>
      <c r="P878" s="9">
        <v>0</v>
      </c>
      <c r="Q878" s="11">
        <v>0</v>
      </c>
      <c r="R878" s="10" t="s">
        <v>176</v>
      </c>
    </row>
    <row r="879" spans="1:18">
      <c r="A879" s="7">
        <v>46216</v>
      </c>
      <c r="B879" s="8">
        <v>46229</v>
      </c>
      <c r="C879" s="9">
        <v>14</v>
      </c>
      <c r="D879" s="10" t="s">
        <v>1002</v>
      </c>
      <c r="E879" s="10" t="s">
        <v>2179</v>
      </c>
      <c r="F879" s="9"/>
      <c r="G879" s="9">
        <v>2</v>
      </c>
      <c r="H879" s="9">
        <v>0</v>
      </c>
      <c r="I879" s="9">
        <v>2</v>
      </c>
      <c r="J879" s="11">
        <v>0</v>
      </c>
      <c r="K879" s="24">
        <v>0</v>
      </c>
      <c r="L879" s="24">
        <v>0</v>
      </c>
      <c r="M879" s="24">
        <v>0</v>
      </c>
      <c r="N879" s="9">
        <v>0</v>
      </c>
      <c r="O879" s="9">
        <v>0</v>
      </c>
      <c r="P879" s="9">
        <v>0</v>
      </c>
      <c r="Q879" s="11">
        <v>0</v>
      </c>
      <c r="R879" s="10" t="s">
        <v>176</v>
      </c>
    </row>
    <row r="880" spans="1:18">
      <c r="A880" s="7">
        <v>46216</v>
      </c>
      <c r="B880" s="8">
        <v>46229</v>
      </c>
      <c r="C880" s="9">
        <v>14</v>
      </c>
      <c r="D880" s="10" t="s">
        <v>1002</v>
      </c>
      <c r="E880" s="10" t="s">
        <v>2180</v>
      </c>
      <c r="F880" s="9"/>
      <c r="G880" s="9">
        <v>2</v>
      </c>
      <c r="H880" s="9">
        <v>0</v>
      </c>
      <c r="I880" s="9">
        <v>2</v>
      </c>
      <c r="J880" s="11">
        <v>0</v>
      </c>
      <c r="K880" s="24">
        <v>0</v>
      </c>
      <c r="L880" s="24">
        <v>0</v>
      </c>
      <c r="M880" s="24">
        <v>0</v>
      </c>
      <c r="N880" s="9">
        <v>0</v>
      </c>
      <c r="O880" s="9">
        <v>0</v>
      </c>
      <c r="P880" s="9">
        <v>0</v>
      </c>
      <c r="Q880" s="11">
        <v>0</v>
      </c>
      <c r="R880" s="10" t="s">
        <v>176</v>
      </c>
    </row>
    <row r="881" spans="1:18">
      <c r="A881" s="7">
        <v>46216</v>
      </c>
      <c r="B881" s="8">
        <v>46229</v>
      </c>
      <c r="C881" s="9">
        <v>14</v>
      </c>
      <c r="D881" s="10" t="s">
        <v>1002</v>
      </c>
      <c r="E881" s="10" t="s">
        <v>2181</v>
      </c>
      <c r="F881" s="9"/>
      <c r="G881" s="9">
        <v>2</v>
      </c>
      <c r="H881" s="9">
        <v>0</v>
      </c>
      <c r="I881" s="9">
        <v>2</v>
      </c>
      <c r="J881" s="11">
        <v>0</v>
      </c>
      <c r="K881" s="24">
        <v>0</v>
      </c>
      <c r="L881" s="24">
        <v>0</v>
      </c>
      <c r="M881" s="24">
        <v>0</v>
      </c>
      <c r="N881" s="9">
        <v>0</v>
      </c>
      <c r="O881" s="9">
        <v>0</v>
      </c>
      <c r="P881" s="9">
        <v>0</v>
      </c>
      <c r="Q881" s="11">
        <v>0</v>
      </c>
      <c r="R881" s="10" t="s">
        <v>176</v>
      </c>
    </row>
    <row r="882" spans="1:18">
      <c r="A882" s="7">
        <v>46216</v>
      </c>
      <c r="B882" s="8">
        <v>46229</v>
      </c>
      <c r="C882" s="9">
        <v>14</v>
      </c>
      <c r="D882" s="10" t="s">
        <v>1002</v>
      </c>
      <c r="E882" s="10" t="s">
        <v>1636</v>
      </c>
      <c r="F882" s="9"/>
      <c r="G882" s="9">
        <v>2</v>
      </c>
      <c r="H882" s="9">
        <v>0</v>
      </c>
      <c r="I882" s="9">
        <v>2</v>
      </c>
      <c r="J882" s="11">
        <v>0</v>
      </c>
      <c r="K882" s="24">
        <v>0.1</v>
      </c>
      <c r="L882" s="24">
        <v>0</v>
      </c>
      <c r="M882" s="24">
        <v>0</v>
      </c>
      <c r="N882" s="9">
        <v>0</v>
      </c>
      <c r="O882" s="9">
        <v>0</v>
      </c>
      <c r="P882" s="9">
        <v>0</v>
      </c>
      <c r="Q882" s="11">
        <v>0</v>
      </c>
      <c r="R882" s="10" t="s">
        <v>176</v>
      </c>
    </row>
    <row r="883" spans="1:18">
      <c r="A883" s="7">
        <v>46216</v>
      </c>
      <c r="B883" s="8">
        <v>46229</v>
      </c>
      <c r="C883" s="9">
        <v>14</v>
      </c>
      <c r="D883" s="10" t="s">
        <v>1002</v>
      </c>
      <c r="E883" s="10" t="s">
        <v>2182</v>
      </c>
      <c r="F883" s="9"/>
      <c r="G883" s="9">
        <v>1</v>
      </c>
      <c r="H883" s="9">
        <v>0</v>
      </c>
      <c r="I883" s="9">
        <v>1</v>
      </c>
      <c r="J883" s="11">
        <v>0</v>
      </c>
      <c r="K883" s="24">
        <v>0</v>
      </c>
      <c r="L883" s="24">
        <v>0</v>
      </c>
      <c r="M883" s="24">
        <v>0</v>
      </c>
      <c r="N883" s="9">
        <v>0</v>
      </c>
      <c r="O883" s="9">
        <v>0</v>
      </c>
      <c r="P883" s="9">
        <v>0</v>
      </c>
      <c r="Q883" s="11">
        <v>0</v>
      </c>
      <c r="R883" s="10" t="s">
        <v>176</v>
      </c>
    </row>
    <row r="884" spans="1:18">
      <c r="A884" s="7">
        <v>46216</v>
      </c>
      <c r="B884" s="8">
        <v>46229</v>
      </c>
      <c r="C884" s="9">
        <v>14</v>
      </c>
      <c r="D884" s="10" t="s">
        <v>1002</v>
      </c>
      <c r="E884" s="10" t="s">
        <v>2183</v>
      </c>
      <c r="F884" s="9"/>
      <c r="G884" s="9">
        <v>1</v>
      </c>
      <c r="H884" s="9">
        <v>0</v>
      </c>
      <c r="I884" s="9">
        <v>1</v>
      </c>
      <c r="J884" s="11">
        <v>0</v>
      </c>
      <c r="K884" s="24">
        <v>0</v>
      </c>
      <c r="L884" s="24">
        <v>0</v>
      </c>
      <c r="M884" s="24">
        <v>0</v>
      </c>
      <c r="N884" s="9">
        <v>0</v>
      </c>
      <c r="O884" s="9">
        <v>0</v>
      </c>
      <c r="P884" s="9">
        <v>0</v>
      </c>
      <c r="Q884" s="11">
        <v>0</v>
      </c>
      <c r="R884" s="10" t="s">
        <v>176</v>
      </c>
    </row>
    <row r="885" spans="1:18">
      <c r="A885" s="7">
        <v>46216</v>
      </c>
      <c r="B885" s="8">
        <v>46229</v>
      </c>
      <c r="C885" s="9">
        <v>14</v>
      </c>
      <c r="D885" s="10" t="s">
        <v>3450</v>
      </c>
      <c r="E885" s="10" t="s">
        <v>3793</v>
      </c>
      <c r="F885" s="9"/>
      <c r="G885" s="9">
        <v>0</v>
      </c>
      <c r="H885" s="9">
        <v>0</v>
      </c>
      <c r="I885" s="9">
        <v>0</v>
      </c>
      <c r="J885" s="11">
        <v>0</v>
      </c>
      <c r="K885" s="24">
        <v>0</v>
      </c>
      <c r="L885" s="24">
        <v>0</v>
      </c>
      <c r="M885" s="24">
        <v>0</v>
      </c>
      <c r="N885" s="9">
        <v>1</v>
      </c>
      <c r="O885" s="9">
        <v>1</v>
      </c>
      <c r="P885" s="9">
        <v>1</v>
      </c>
      <c r="Q885" s="11">
        <v>0</v>
      </c>
      <c r="R885" s="10" t="s">
        <v>3452</v>
      </c>
    </row>
    <row r="886" spans="1:18">
      <c r="A886" s="7">
        <v>46216</v>
      </c>
      <c r="B886" s="8">
        <v>46229</v>
      </c>
      <c r="C886" s="9">
        <v>14</v>
      </c>
      <c r="D886" s="10" t="s">
        <v>3450</v>
      </c>
      <c r="E886" s="10" t="s">
        <v>3794</v>
      </c>
      <c r="F886" s="9"/>
      <c r="G886" s="9">
        <v>0</v>
      </c>
      <c r="H886" s="9">
        <v>0</v>
      </c>
      <c r="I886" s="9">
        <v>0</v>
      </c>
      <c r="J886" s="11">
        <v>0</v>
      </c>
      <c r="K886" s="24">
        <v>0</v>
      </c>
      <c r="L886" s="24">
        <v>0</v>
      </c>
      <c r="M886" s="24">
        <v>0</v>
      </c>
      <c r="N886" s="9">
        <v>1</v>
      </c>
      <c r="O886" s="9">
        <v>1</v>
      </c>
      <c r="P886" s="9">
        <v>1</v>
      </c>
      <c r="Q886" s="11">
        <v>0</v>
      </c>
      <c r="R886" s="10" t="s">
        <v>3452</v>
      </c>
    </row>
    <row r="887" spans="1:18">
      <c r="A887" s="7">
        <v>46216</v>
      </c>
      <c r="B887" s="8">
        <v>46229</v>
      </c>
      <c r="C887" s="9">
        <v>14</v>
      </c>
      <c r="D887" s="10" t="s">
        <v>3450</v>
      </c>
      <c r="E887" s="10" t="s">
        <v>3699</v>
      </c>
      <c r="F887" s="9"/>
      <c r="G887" s="9">
        <v>0</v>
      </c>
      <c r="H887" s="9">
        <v>0</v>
      </c>
      <c r="I887" s="9">
        <v>0</v>
      </c>
      <c r="J887" s="11">
        <v>0</v>
      </c>
      <c r="K887" s="24">
        <v>0</v>
      </c>
      <c r="L887" s="24">
        <v>0</v>
      </c>
      <c r="M887" s="24">
        <v>0</v>
      </c>
      <c r="N887" s="9">
        <v>2</v>
      </c>
      <c r="O887" s="9">
        <v>1</v>
      </c>
      <c r="P887" s="9">
        <v>2</v>
      </c>
      <c r="Q887" s="11">
        <v>0</v>
      </c>
      <c r="R887" s="10" t="s">
        <v>3452</v>
      </c>
    </row>
    <row r="888" spans="1:18">
      <c r="A888" s="7">
        <v>46216</v>
      </c>
      <c r="B888" s="8">
        <v>46229</v>
      </c>
      <c r="C888" s="9">
        <v>14</v>
      </c>
      <c r="D888" s="10" t="s">
        <v>3450</v>
      </c>
      <c r="E888" s="10" t="s">
        <v>3860</v>
      </c>
      <c r="F888" s="9"/>
      <c r="G888" s="9">
        <v>0</v>
      </c>
      <c r="H888" s="9">
        <v>0</v>
      </c>
      <c r="I888" s="9">
        <v>0</v>
      </c>
      <c r="J888" s="11">
        <v>0</v>
      </c>
      <c r="K888" s="24">
        <v>0</v>
      </c>
      <c r="L888" s="24">
        <v>0</v>
      </c>
      <c r="M888" s="24">
        <v>0</v>
      </c>
      <c r="N888" s="9">
        <v>1</v>
      </c>
      <c r="O888" s="9">
        <v>1</v>
      </c>
      <c r="P888" s="9">
        <v>1</v>
      </c>
      <c r="Q888" s="11">
        <v>0</v>
      </c>
      <c r="R888" s="10" t="s">
        <v>3452</v>
      </c>
    </row>
    <row r="889" spans="1:18">
      <c r="A889" s="7">
        <v>46216</v>
      </c>
      <c r="B889" s="8">
        <v>46229</v>
      </c>
      <c r="C889" s="9">
        <v>14</v>
      </c>
      <c r="D889" s="10" t="s">
        <v>3450</v>
      </c>
      <c r="E889" s="10" t="s">
        <v>3915</v>
      </c>
      <c r="F889" s="9"/>
      <c r="G889" s="9">
        <v>0</v>
      </c>
      <c r="H889" s="9">
        <v>0</v>
      </c>
      <c r="I889" s="9">
        <v>0</v>
      </c>
      <c r="J889" s="11">
        <v>0</v>
      </c>
      <c r="K889" s="24">
        <v>0</v>
      </c>
      <c r="L889" s="24">
        <v>0</v>
      </c>
      <c r="M889" s="24">
        <v>0</v>
      </c>
      <c r="N889" s="9">
        <v>1</v>
      </c>
      <c r="O889" s="9">
        <v>1</v>
      </c>
      <c r="P889" s="9">
        <v>1</v>
      </c>
      <c r="Q889" s="11">
        <v>0</v>
      </c>
      <c r="R889" s="10" t="s">
        <v>3452</v>
      </c>
    </row>
    <row r="890" spans="1:18">
      <c r="A890" s="7">
        <v>46216</v>
      </c>
      <c r="B890" s="8">
        <v>46229</v>
      </c>
      <c r="C890" s="9">
        <v>14</v>
      </c>
      <c r="D890" s="10" t="s">
        <v>3450</v>
      </c>
      <c r="E890" s="10" t="s">
        <v>3795</v>
      </c>
      <c r="F890" s="9"/>
      <c r="G890" s="9">
        <v>0</v>
      </c>
      <c r="H890" s="9">
        <v>0</v>
      </c>
      <c r="I890" s="9">
        <v>0</v>
      </c>
      <c r="J890" s="11">
        <v>0</v>
      </c>
      <c r="K890" s="24">
        <v>0</v>
      </c>
      <c r="L890" s="24">
        <v>0</v>
      </c>
      <c r="M890" s="24">
        <v>0</v>
      </c>
      <c r="N890" s="9">
        <v>5</v>
      </c>
      <c r="O890" s="9">
        <v>1</v>
      </c>
      <c r="P890" s="9">
        <v>5</v>
      </c>
      <c r="Q890" s="11">
        <v>0</v>
      </c>
      <c r="R890" s="10" t="s">
        <v>3452</v>
      </c>
    </row>
    <row r="891" spans="1:18">
      <c r="A891" s="7">
        <v>46216</v>
      </c>
      <c r="B891" s="8">
        <v>46229</v>
      </c>
      <c r="C891" s="9">
        <v>14</v>
      </c>
      <c r="D891" s="10" t="s">
        <v>3450</v>
      </c>
      <c r="E891" s="10" t="s">
        <v>3796</v>
      </c>
      <c r="F891" s="9"/>
      <c r="G891" s="9">
        <v>0</v>
      </c>
      <c r="H891" s="9">
        <v>0</v>
      </c>
      <c r="I891" s="9">
        <v>0</v>
      </c>
      <c r="J891" s="11">
        <v>0</v>
      </c>
      <c r="K891" s="24">
        <v>0</v>
      </c>
      <c r="L891" s="24">
        <v>0</v>
      </c>
      <c r="M891" s="24">
        <v>0</v>
      </c>
      <c r="N891" s="9">
        <v>1</v>
      </c>
      <c r="O891" s="9">
        <v>1</v>
      </c>
      <c r="P891" s="9">
        <v>1</v>
      </c>
      <c r="Q891" s="11">
        <v>0</v>
      </c>
      <c r="R891" s="10" t="s">
        <v>3452</v>
      </c>
    </row>
    <row r="892" spans="1:18">
      <c r="A892" s="7">
        <v>46216</v>
      </c>
      <c r="B892" s="8">
        <v>46229</v>
      </c>
      <c r="C892" s="9">
        <v>14</v>
      </c>
      <c r="D892" s="10" t="s">
        <v>3450</v>
      </c>
      <c r="E892" s="10" t="s">
        <v>3861</v>
      </c>
      <c r="F892" s="9"/>
      <c r="G892" s="9">
        <v>0</v>
      </c>
      <c r="H892" s="9">
        <v>0</v>
      </c>
      <c r="I892" s="9">
        <v>0</v>
      </c>
      <c r="J892" s="11">
        <v>0</v>
      </c>
      <c r="K892" s="24">
        <v>0</v>
      </c>
      <c r="L892" s="24">
        <v>0</v>
      </c>
      <c r="M892" s="24">
        <v>0</v>
      </c>
      <c r="N892" s="9">
        <v>1</v>
      </c>
      <c r="O892" s="9">
        <v>1</v>
      </c>
      <c r="P892" s="9">
        <v>1</v>
      </c>
      <c r="Q892" s="11">
        <v>0</v>
      </c>
      <c r="R892" s="10" t="s">
        <v>3452</v>
      </c>
    </row>
    <row r="893" spans="1:18">
      <c r="A893" s="7">
        <v>46216</v>
      </c>
      <c r="B893" s="8">
        <v>46229</v>
      </c>
      <c r="C893" s="9">
        <v>14</v>
      </c>
      <c r="D893" s="10" t="s">
        <v>3450</v>
      </c>
      <c r="E893" s="10" t="s">
        <v>3916</v>
      </c>
      <c r="F893" s="9"/>
      <c r="G893" s="9">
        <v>0</v>
      </c>
      <c r="H893" s="9">
        <v>0</v>
      </c>
      <c r="I893" s="9">
        <v>0</v>
      </c>
      <c r="J893" s="11">
        <v>0</v>
      </c>
      <c r="K893" s="24">
        <v>0</v>
      </c>
      <c r="L893" s="24">
        <v>0</v>
      </c>
      <c r="M893" s="24">
        <v>0</v>
      </c>
      <c r="N893" s="9">
        <v>1</v>
      </c>
      <c r="O893" s="9">
        <v>1</v>
      </c>
      <c r="P893" s="9">
        <v>1</v>
      </c>
      <c r="Q893" s="11">
        <v>0</v>
      </c>
      <c r="R893" s="10" t="s">
        <v>3452</v>
      </c>
    </row>
    <row r="894" spans="1:18">
      <c r="A894" s="7">
        <v>46216</v>
      </c>
      <c r="B894" s="8">
        <v>46229</v>
      </c>
      <c r="C894" s="9">
        <v>14</v>
      </c>
      <c r="D894" s="10" t="s">
        <v>3450</v>
      </c>
      <c r="E894" s="10" t="s">
        <v>3917</v>
      </c>
      <c r="F894" s="9"/>
      <c r="G894" s="9">
        <v>0</v>
      </c>
      <c r="H894" s="9">
        <v>0</v>
      </c>
      <c r="I894" s="9">
        <v>0</v>
      </c>
      <c r="J894" s="11">
        <v>0</v>
      </c>
      <c r="K894" s="24">
        <v>0</v>
      </c>
      <c r="L894" s="24">
        <v>0</v>
      </c>
      <c r="M894" s="24">
        <v>0</v>
      </c>
      <c r="N894" s="9">
        <v>1</v>
      </c>
      <c r="O894" s="9">
        <v>1</v>
      </c>
      <c r="P894" s="9">
        <v>1</v>
      </c>
      <c r="Q894" s="11">
        <v>0</v>
      </c>
      <c r="R894" s="10" t="s">
        <v>3452</v>
      </c>
    </row>
    <row r="895" spans="1:18">
      <c r="A895" s="7">
        <v>46216</v>
      </c>
      <c r="B895" s="8">
        <v>46229</v>
      </c>
      <c r="C895" s="9">
        <v>14</v>
      </c>
      <c r="D895" s="10" t="s">
        <v>3450</v>
      </c>
      <c r="E895" s="10" t="s">
        <v>3797</v>
      </c>
      <c r="F895" s="9"/>
      <c r="G895" s="9">
        <v>0</v>
      </c>
      <c r="H895" s="9">
        <v>0</v>
      </c>
      <c r="I895" s="9">
        <v>0</v>
      </c>
      <c r="J895" s="11">
        <v>0</v>
      </c>
      <c r="K895" s="24">
        <v>0</v>
      </c>
      <c r="L895" s="24">
        <v>0</v>
      </c>
      <c r="M895" s="24">
        <v>0</v>
      </c>
      <c r="N895" s="9">
        <v>5</v>
      </c>
      <c r="O895" s="9">
        <v>1</v>
      </c>
      <c r="P895" s="9">
        <v>5</v>
      </c>
      <c r="Q895" s="11">
        <v>0</v>
      </c>
      <c r="R895" s="10" t="s">
        <v>3452</v>
      </c>
    </row>
    <row r="896" spans="1:18">
      <c r="A896" s="7">
        <v>46216</v>
      </c>
      <c r="B896" s="8">
        <v>46229</v>
      </c>
      <c r="C896" s="9">
        <v>14</v>
      </c>
      <c r="D896" s="10" t="s">
        <v>3450</v>
      </c>
      <c r="E896" s="10" t="s">
        <v>3700</v>
      </c>
      <c r="F896" s="9"/>
      <c r="G896" s="9">
        <v>0</v>
      </c>
      <c r="H896" s="9">
        <v>0</v>
      </c>
      <c r="I896" s="9">
        <v>0</v>
      </c>
      <c r="J896" s="11">
        <v>0</v>
      </c>
      <c r="K896" s="24">
        <v>0</v>
      </c>
      <c r="L896" s="24">
        <v>0</v>
      </c>
      <c r="M896" s="24">
        <v>0</v>
      </c>
      <c r="N896" s="9">
        <v>2</v>
      </c>
      <c r="O896" s="9">
        <v>1</v>
      </c>
      <c r="P896" s="9">
        <v>2</v>
      </c>
      <c r="Q896" s="11">
        <v>0</v>
      </c>
      <c r="R896" s="10" t="s">
        <v>3452</v>
      </c>
    </row>
    <row r="897" spans="1:18">
      <c r="A897" s="7">
        <v>46216</v>
      </c>
      <c r="B897" s="8">
        <v>46229</v>
      </c>
      <c r="C897" s="9">
        <v>14</v>
      </c>
      <c r="D897" s="10" t="s">
        <v>3450</v>
      </c>
      <c r="E897" s="10" t="s">
        <v>3918</v>
      </c>
      <c r="F897" s="9"/>
      <c r="G897" s="9">
        <v>0</v>
      </c>
      <c r="H897" s="9">
        <v>0</v>
      </c>
      <c r="I897" s="9">
        <v>0</v>
      </c>
      <c r="J897" s="11">
        <v>0</v>
      </c>
      <c r="K897" s="24">
        <v>0</v>
      </c>
      <c r="L897" s="24">
        <v>0</v>
      </c>
      <c r="M897" s="24">
        <v>0</v>
      </c>
      <c r="N897" s="9">
        <v>2</v>
      </c>
      <c r="O897" s="9">
        <v>1</v>
      </c>
      <c r="P897" s="9">
        <v>2</v>
      </c>
      <c r="Q897" s="11">
        <v>0</v>
      </c>
      <c r="R897" s="10" t="s">
        <v>3452</v>
      </c>
    </row>
    <row r="898" spans="1:18">
      <c r="A898" s="7">
        <v>46216</v>
      </c>
      <c r="B898" s="8">
        <v>46229</v>
      </c>
      <c r="C898" s="9">
        <v>14</v>
      </c>
      <c r="D898" s="10" t="s">
        <v>3450</v>
      </c>
      <c r="E898" s="10" t="s">
        <v>3451</v>
      </c>
      <c r="F898" s="9"/>
      <c r="G898" s="9">
        <v>0</v>
      </c>
      <c r="H898" s="9">
        <v>0</v>
      </c>
      <c r="I898" s="9">
        <v>0</v>
      </c>
      <c r="J898" s="11">
        <v>0</v>
      </c>
      <c r="K898" s="24">
        <v>0</v>
      </c>
      <c r="L898" s="24">
        <v>0</v>
      </c>
      <c r="M898" s="24">
        <v>0</v>
      </c>
      <c r="N898" s="9">
        <v>2</v>
      </c>
      <c r="O898" s="9">
        <v>1</v>
      </c>
      <c r="P898" s="9">
        <v>2</v>
      </c>
      <c r="Q898" s="11">
        <v>0</v>
      </c>
      <c r="R898" s="10" t="s">
        <v>3452</v>
      </c>
    </row>
    <row r="899" spans="1:18">
      <c r="A899" s="7">
        <v>46216</v>
      </c>
      <c r="B899" s="8">
        <v>46229</v>
      </c>
      <c r="C899" s="9">
        <v>14</v>
      </c>
      <c r="D899" s="10" t="s">
        <v>3450</v>
      </c>
      <c r="E899" s="10" t="s">
        <v>3798</v>
      </c>
      <c r="F899" s="9"/>
      <c r="G899" s="9">
        <v>0</v>
      </c>
      <c r="H899" s="9">
        <v>0</v>
      </c>
      <c r="I899" s="9">
        <v>0</v>
      </c>
      <c r="J899" s="11">
        <v>0</v>
      </c>
      <c r="K899" s="24">
        <v>0</v>
      </c>
      <c r="L899" s="24">
        <v>0</v>
      </c>
      <c r="M899" s="24">
        <v>0</v>
      </c>
      <c r="N899" s="9">
        <v>2</v>
      </c>
      <c r="O899" s="9">
        <v>1</v>
      </c>
      <c r="P899" s="9">
        <v>2</v>
      </c>
      <c r="Q899" s="11">
        <v>0</v>
      </c>
      <c r="R899" s="10" t="s">
        <v>3452</v>
      </c>
    </row>
    <row r="900" spans="1:18">
      <c r="A900" s="7">
        <v>46216</v>
      </c>
      <c r="B900" s="8">
        <v>46229</v>
      </c>
      <c r="C900" s="9">
        <v>14</v>
      </c>
      <c r="D900" s="10" t="s">
        <v>3450</v>
      </c>
      <c r="E900" s="10" t="s">
        <v>3919</v>
      </c>
      <c r="F900" s="9"/>
      <c r="G900" s="9">
        <v>0</v>
      </c>
      <c r="H900" s="9">
        <v>0</v>
      </c>
      <c r="I900" s="9">
        <v>0</v>
      </c>
      <c r="J900" s="11">
        <v>0</v>
      </c>
      <c r="K900" s="24">
        <v>0</v>
      </c>
      <c r="L900" s="24">
        <v>0</v>
      </c>
      <c r="M900" s="24">
        <v>0</v>
      </c>
      <c r="N900" s="9">
        <v>5</v>
      </c>
      <c r="O900" s="9">
        <v>1</v>
      </c>
      <c r="P900" s="9">
        <v>3</v>
      </c>
      <c r="Q900" s="11">
        <v>0</v>
      </c>
      <c r="R900" s="10" t="s">
        <v>3452</v>
      </c>
    </row>
    <row r="901" spans="1:18">
      <c r="A901" s="7">
        <v>46216</v>
      </c>
      <c r="B901" s="8">
        <v>46229</v>
      </c>
      <c r="C901" s="9">
        <v>14</v>
      </c>
      <c r="D901" s="10" t="s">
        <v>3450</v>
      </c>
      <c r="E901" s="10" t="s">
        <v>3920</v>
      </c>
      <c r="F901" s="9"/>
      <c r="G901" s="9">
        <v>0</v>
      </c>
      <c r="H901" s="9">
        <v>0</v>
      </c>
      <c r="I901" s="9">
        <v>0</v>
      </c>
      <c r="J901" s="11">
        <v>0</v>
      </c>
      <c r="K901" s="24">
        <v>0</v>
      </c>
      <c r="L901" s="24">
        <v>0</v>
      </c>
      <c r="M901" s="24">
        <v>0</v>
      </c>
      <c r="N901" s="9">
        <v>2</v>
      </c>
      <c r="O901" s="9">
        <v>1</v>
      </c>
      <c r="P901" s="9">
        <v>2</v>
      </c>
      <c r="Q901" s="11">
        <v>0</v>
      </c>
      <c r="R901" s="10" t="s">
        <v>3452</v>
      </c>
    </row>
    <row r="902" spans="1:18">
      <c r="A902" s="7">
        <v>46216</v>
      </c>
      <c r="B902" s="8">
        <v>46229</v>
      </c>
      <c r="C902" s="9">
        <v>14</v>
      </c>
      <c r="D902" s="10" t="s">
        <v>3450</v>
      </c>
      <c r="E902" s="10" t="s">
        <v>3799</v>
      </c>
      <c r="F902" s="9"/>
      <c r="G902" s="9">
        <v>0</v>
      </c>
      <c r="H902" s="9">
        <v>0</v>
      </c>
      <c r="I902" s="9">
        <v>0</v>
      </c>
      <c r="J902" s="11">
        <v>0</v>
      </c>
      <c r="K902" s="24">
        <v>0</v>
      </c>
      <c r="L902" s="24">
        <v>0</v>
      </c>
      <c r="M902" s="24">
        <v>0</v>
      </c>
      <c r="N902" s="9">
        <v>2</v>
      </c>
      <c r="O902" s="9">
        <v>1</v>
      </c>
      <c r="P902" s="9">
        <v>2</v>
      </c>
      <c r="Q902" s="11">
        <v>0</v>
      </c>
      <c r="R902" s="10" t="s">
        <v>3452</v>
      </c>
    </row>
    <row r="903" spans="1:18">
      <c r="A903" s="7">
        <v>46216</v>
      </c>
      <c r="B903" s="8">
        <v>46229</v>
      </c>
      <c r="C903" s="9">
        <v>14</v>
      </c>
      <c r="D903" s="10" t="s">
        <v>3450</v>
      </c>
      <c r="E903" s="10" t="s">
        <v>3921</v>
      </c>
      <c r="F903" s="9"/>
      <c r="G903" s="9">
        <v>0</v>
      </c>
      <c r="H903" s="9">
        <v>0</v>
      </c>
      <c r="I903" s="9">
        <v>0</v>
      </c>
      <c r="J903" s="11">
        <v>0</v>
      </c>
      <c r="K903" s="24">
        <v>0</v>
      </c>
      <c r="L903" s="24">
        <v>0</v>
      </c>
      <c r="M903" s="24">
        <v>0</v>
      </c>
      <c r="N903" s="9">
        <v>2</v>
      </c>
      <c r="O903" s="9">
        <v>1</v>
      </c>
      <c r="P903" s="9">
        <v>2</v>
      </c>
      <c r="Q903" s="11">
        <v>0</v>
      </c>
      <c r="R903" s="10" t="s">
        <v>3452</v>
      </c>
    </row>
    <row r="904" spans="1:18">
      <c r="A904" s="7">
        <v>46216</v>
      </c>
      <c r="B904" s="8">
        <v>46229</v>
      </c>
      <c r="C904" s="9">
        <v>14</v>
      </c>
      <c r="D904" s="10" t="s">
        <v>3450</v>
      </c>
      <c r="E904" s="10" t="s">
        <v>3922</v>
      </c>
      <c r="F904" s="9"/>
      <c r="G904" s="9">
        <v>0</v>
      </c>
      <c r="H904" s="9">
        <v>0</v>
      </c>
      <c r="I904" s="9">
        <v>0</v>
      </c>
      <c r="J904" s="11">
        <v>0</v>
      </c>
      <c r="K904" s="24">
        <v>0</v>
      </c>
      <c r="L904" s="24">
        <v>0</v>
      </c>
      <c r="M904" s="24">
        <v>0</v>
      </c>
      <c r="N904" s="9">
        <v>2</v>
      </c>
      <c r="O904" s="9">
        <v>1</v>
      </c>
      <c r="P904" s="9">
        <v>2</v>
      </c>
      <c r="Q904" s="11">
        <v>0</v>
      </c>
      <c r="R904" s="10" t="s">
        <v>3452</v>
      </c>
    </row>
    <row r="905" spans="1:18">
      <c r="A905" s="7">
        <v>46216</v>
      </c>
      <c r="B905" s="8">
        <v>46229</v>
      </c>
      <c r="C905" s="9">
        <v>14</v>
      </c>
      <c r="D905" s="10" t="s">
        <v>3450</v>
      </c>
      <c r="E905" s="10" t="s">
        <v>3923</v>
      </c>
      <c r="F905" s="9"/>
      <c r="G905" s="9">
        <v>0</v>
      </c>
      <c r="H905" s="9">
        <v>0</v>
      </c>
      <c r="I905" s="9">
        <v>0</v>
      </c>
      <c r="J905" s="11">
        <v>0</v>
      </c>
      <c r="K905" s="24">
        <v>0</v>
      </c>
      <c r="L905" s="24">
        <v>0</v>
      </c>
      <c r="M905" s="24">
        <v>0</v>
      </c>
      <c r="N905" s="9">
        <v>1</v>
      </c>
      <c r="O905" s="9">
        <v>1</v>
      </c>
      <c r="P905" s="9">
        <v>1</v>
      </c>
      <c r="Q905" s="11">
        <v>0</v>
      </c>
      <c r="R905" s="10" t="s">
        <v>3452</v>
      </c>
    </row>
    <row r="906" spans="1:18">
      <c r="A906" s="7">
        <v>46216</v>
      </c>
      <c r="B906" s="8">
        <v>46229</v>
      </c>
      <c r="C906" s="9">
        <v>14</v>
      </c>
      <c r="D906" s="10" t="s">
        <v>3450</v>
      </c>
      <c r="E906" s="10" t="s">
        <v>3924</v>
      </c>
      <c r="F906" s="9"/>
      <c r="G906" s="9">
        <v>0</v>
      </c>
      <c r="H906" s="9">
        <v>0</v>
      </c>
      <c r="I906" s="9">
        <v>0</v>
      </c>
      <c r="J906" s="11">
        <v>0</v>
      </c>
      <c r="K906" s="24">
        <v>0</v>
      </c>
      <c r="L906" s="24">
        <v>0</v>
      </c>
      <c r="M906" s="24">
        <v>0</v>
      </c>
      <c r="N906" s="9">
        <v>1</v>
      </c>
      <c r="O906" s="9">
        <v>1</v>
      </c>
      <c r="P906" s="9">
        <v>1</v>
      </c>
      <c r="Q906" s="11">
        <v>0</v>
      </c>
      <c r="R906" s="10" t="s">
        <v>3452</v>
      </c>
    </row>
    <row r="907" spans="1:18">
      <c r="A907" s="7">
        <v>46216</v>
      </c>
      <c r="B907" s="8">
        <v>46229</v>
      </c>
      <c r="C907" s="9">
        <v>14</v>
      </c>
      <c r="D907" s="10" t="s">
        <v>3450</v>
      </c>
      <c r="E907" s="10" t="s">
        <v>3800</v>
      </c>
      <c r="F907" s="9"/>
      <c r="G907" s="9">
        <v>0</v>
      </c>
      <c r="H907" s="9">
        <v>0</v>
      </c>
      <c r="I907" s="9">
        <v>0</v>
      </c>
      <c r="J907" s="11">
        <v>0</v>
      </c>
      <c r="K907" s="24">
        <v>0</v>
      </c>
      <c r="L907" s="24">
        <v>0</v>
      </c>
      <c r="M907" s="24">
        <v>0</v>
      </c>
      <c r="N907" s="9">
        <v>8</v>
      </c>
      <c r="O907" s="9">
        <v>1</v>
      </c>
      <c r="P907" s="9">
        <v>7</v>
      </c>
      <c r="Q907" s="11">
        <v>0</v>
      </c>
      <c r="R907" s="10" t="s">
        <v>3452</v>
      </c>
    </row>
    <row r="908" spans="1:18">
      <c r="A908" s="7">
        <v>46216</v>
      </c>
      <c r="B908" s="8">
        <v>46229</v>
      </c>
      <c r="C908" s="9">
        <v>14</v>
      </c>
      <c r="D908" s="10" t="s">
        <v>3450</v>
      </c>
      <c r="E908" s="10" t="s">
        <v>3862</v>
      </c>
      <c r="F908" s="9"/>
      <c r="G908" s="9">
        <v>0</v>
      </c>
      <c r="H908" s="9">
        <v>0</v>
      </c>
      <c r="I908" s="9">
        <v>0</v>
      </c>
      <c r="J908" s="11">
        <v>0</v>
      </c>
      <c r="K908" s="24">
        <v>0</v>
      </c>
      <c r="L908" s="24">
        <v>0</v>
      </c>
      <c r="M908" s="24">
        <v>0</v>
      </c>
      <c r="N908" s="9">
        <v>6</v>
      </c>
      <c r="O908" s="9">
        <v>1</v>
      </c>
      <c r="P908" s="9">
        <v>6</v>
      </c>
      <c r="Q908" s="11">
        <v>0</v>
      </c>
      <c r="R908" s="10" t="s">
        <v>3452</v>
      </c>
    </row>
    <row r="909" spans="1:18">
      <c r="A909" s="7">
        <v>46216</v>
      </c>
      <c r="B909" s="8">
        <v>46229</v>
      </c>
      <c r="C909" s="9">
        <v>14</v>
      </c>
      <c r="D909" s="10" t="s">
        <v>3450</v>
      </c>
      <c r="E909" s="10" t="s">
        <v>3863</v>
      </c>
      <c r="F909" s="9"/>
      <c r="G909" s="9">
        <v>0</v>
      </c>
      <c r="H909" s="9">
        <v>0</v>
      </c>
      <c r="I909" s="9">
        <v>0</v>
      </c>
      <c r="J909" s="11">
        <v>0</v>
      </c>
      <c r="K909" s="24">
        <v>0</v>
      </c>
      <c r="L909" s="24">
        <v>0</v>
      </c>
      <c r="M909" s="24">
        <v>0</v>
      </c>
      <c r="N909" s="9">
        <v>2</v>
      </c>
      <c r="O909" s="9">
        <v>1</v>
      </c>
      <c r="P909" s="9">
        <v>2</v>
      </c>
      <c r="Q909" s="11">
        <v>0</v>
      </c>
      <c r="R909" s="10" t="s">
        <v>3452</v>
      </c>
    </row>
    <row r="910" spans="1:18">
      <c r="A910" s="7">
        <v>46216</v>
      </c>
      <c r="B910" s="8">
        <v>46229</v>
      </c>
      <c r="C910" s="9">
        <v>14</v>
      </c>
      <c r="D910" s="10" t="s">
        <v>638</v>
      </c>
      <c r="E910" s="10" t="s">
        <v>539</v>
      </c>
      <c r="F910" s="9"/>
      <c r="G910" s="9">
        <v>15</v>
      </c>
      <c r="H910" s="9">
        <v>3</v>
      </c>
      <c r="I910" s="9">
        <v>12</v>
      </c>
      <c r="J910" s="11">
        <v>0.2</v>
      </c>
      <c r="K910" s="24">
        <v>18</v>
      </c>
      <c r="L910" s="24">
        <v>54</v>
      </c>
      <c r="M910" s="24">
        <v>756</v>
      </c>
      <c r="N910" s="9">
        <v>2</v>
      </c>
      <c r="O910" s="9">
        <v>3</v>
      </c>
      <c r="P910" s="9">
        <v>3</v>
      </c>
      <c r="Q910" s="11">
        <v>0.2</v>
      </c>
      <c r="R910" s="10" t="s">
        <v>3698</v>
      </c>
    </row>
    <row r="911" spans="1:18">
      <c r="A911" s="7">
        <v>46216</v>
      </c>
      <c r="B911" s="8">
        <v>46229</v>
      </c>
      <c r="C911" s="9">
        <v>14</v>
      </c>
      <c r="D911" s="10" t="s">
        <v>638</v>
      </c>
      <c r="E911" s="10" t="s">
        <v>80</v>
      </c>
      <c r="F911" s="9"/>
      <c r="G911" s="9">
        <v>18</v>
      </c>
      <c r="H911" s="9">
        <v>3</v>
      </c>
      <c r="I911" s="9">
        <v>15</v>
      </c>
      <c r="J911" s="11">
        <v>0.16666666666666699</v>
      </c>
      <c r="K911" s="24">
        <v>15.96</v>
      </c>
      <c r="L911" s="24">
        <v>47.88</v>
      </c>
      <c r="M911" s="24">
        <v>670.32</v>
      </c>
      <c r="N911" s="9">
        <v>4</v>
      </c>
      <c r="O911" s="9">
        <v>4</v>
      </c>
      <c r="P911" s="9">
        <v>4</v>
      </c>
      <c r="Q911" s="11">
        <v>0.22222222222222199</v>
      </c>
      <c r="R911" s="10" t="s">
        <v>3698</v>
      </c>
    </row>
    <row r="912" spans="1:18">
      <c r="A912" s="7">
        <v>46216</v>
      </c>
      <c r="B912" s="8">
        <v>46229</v>
      </c>
      <c r="C912" s="9">
        <v>14</v>
      </c>
      <c r="D912" s="10" t="s">
        <v>638</v>
      </c>
      <c r="E912" s="10" t="s">
        <v>90</v>
      </c>
      <c r="F912" s="9"/>
      <c r="G912" s="9">
        <v>85</v>
      </c>
      <c r="H912" s="9">
        <v>7</v>
      </c>
      <c r="I912" s="9">
        <v>78</v>
      </c>
      <c r="J912" s="11">
        <v>8.2352941176470601E-2</v>
      </c>
      <c r="K912" s="24">
        <v>2.5</v>
      </c>
      <c r="L912" s="24">
        <v>17.5</v>
      </c>
      <c r="M912" s="24">
        <v>245</v>
      </c>
      <c r="N912" s="9">
        <v>7</v>
      </c>
      <c r="O912" s="9">
        <v>7</v>
      </c>
      <c r="P912" s="9">
        <v>2</v>
      </c>
      <c r="Q912" s="11">
        <v>8.2352941176470601E-2</v>
      </c>
      <c r="R912" s="10" t="s">
        <v>3075</v>
      </c>
    </row>
    <row r="913" spans="1:18">
      <c r="A913" s="7">
        <v>46216</v>
      </c>
      <c r="B913" s="8">
        <v>46229</v>
      </c>
      <c r="C913" s="9">
        <v>14</v>
      </c>
      <c r="D913" s="10" t="s">
        <v>638</v>
      </c>
      <c r="E913" s="10" t="s">
        <v>88</v>
      </c>
      <c r="F913" s="9"/>
      <c r="G913" s="9">
        <v>9</v>
      </c>
      <c r="H913" s="9">
        <v>2</v>
      </c>
      <c r="I913" s="9">
        <v>6</v>
      </c>
      <c r="J913" s="11">
        <v>0.22222222222222199</v>
      </c>
      <c r="K913" s="24">
        <v>8.5</v>
      </c>
      <c r="L913" s="24">
        <v>17</v>
      </c>
      <c r="M913" s="24">
        <v>238</v>
      </c>
      <c r="N913" s="9">
        <v>2</v>
      </c>
      <c r="O913" s="9">
        <v>2</v>
      </c>
      <c r="P913" s="9">
        <v>2</v>
      </c>
      <c r="Q913" s="11">
        <v>0.22222222222222199</v>
      </c>
      <c r="R913" s="10" t="s">
        <v>3698</v>
      </c>
    </row>
    <row r="914" spans="1:18">
      <c r="A914" s="7">
        <v>46216</v>
      </c>
      <c r="B914" s="8">
        <v>46229</v>
      </c>
      <c r="C914" s="9">
        <v>14</v>
      </c>
      <c r="D914" s="10" t="s">
        <v>638</v>
      </c>
      <c r="E914" s="10" t="s">
        <v>114</v>
      </c>
      <c r="F914" s="9"/>
      <c r="G914" s="9">
        <v>27</v>
      </c>
      <c r="H914" s="9">
        <v>3</v>
      </c>
      <c r="I914" s="9">
        <v>24</v>
      </c>
      <c r="J914" s="11">
        <v>0.11111111111111099</v>
      </c>
      <c r="K914" s="24">
        <v>5</v>
      </c>
      <c r="L914" s="24">
        <v>15</v>
      </c>
      <c r="M914" s="24">
        <v>210</v>
      </c>
      <c r="N914" s="9">
        <v>2</v>
      </c>
      <c r="O914" s="9">
        <v>3</v>
      </c>
      <c r="P914" s="9">
        <v>3</v>
      </c>
      <c r="Q914" s="11">
        <v>0.11111111111111099</v>
      </c>
      <c r="R914" s="10" t="s">
        <v>3075</v>
      </c>
    </row>
    <row r="915" spans="1:18">
      <c r="A915" s="7">
        <v>46216</v>
      </c>
      <c r="B915" s="8">
        <v>46229</v>
      </c>
      <c r="C915" s="9">
        <v>14</v>
      </c>
      <c r="D915" s="10" t="s">
        <v>638</v>
      </c>
      <c r="E915" s="10" t="s">
        <v>65</v>
      </c>
      <c r="F915" s="9"/>
      <c r="G915" s="9">
        <v>17</v>
      </c>
      <c r="H915" s="9">
        <v>3</v>
      </c>
      <c r="I915" s="9">
        <v>14</v>
      </c>
      <c r="J915" s="11">
        <v>0.17647058823529399</v>
      </c>
      <c r="K915" s="24">
        <v>5</v>
      </c>
      <c r="L915" s="24">
        <v>15</v>
      </c>
      <c r="M915" s="24">
        <v>210</v>
      </c>
      <c r="N915" s="9">
        <v>2</v>
      </c>
      <c r="O915" s="9">
        <v>3</v>
      </c>
      <c r="P915" s="9">
        <v>3</v>
      </c>
      <c r="Q915" s="11">
        <v>0.17647058823529399</v>
      </c>
      <c r="R915" s="10" t="s">
        <v>3075</v>
      </c>
    </row>
    <row r="916" spans="1:18">
      <c r="A916" s="7">
        <v>46216</v>
      </c>
      <c r="B916" s="8">
        <v>46229</v>
      </c>
      <c r="C916" s="9">
        <v>14</v>
      </c>
      <c r="D916" s="10" t="s">
        <v>638</v>
      </c>
      <c r="E916" s="10" t="s">
        <v>25</v>
      </c>
      <c r="F916" s="9"/>
      <c r="G916" s="9">
        <v>35</v>
      </c>
      <c r="H916" s="9">
        <v>2</v>
      </c>
      <c r="I916" s="9">
        <v>33</v>
      </c>
      <c r="J916" s="11">
        <v>5.7142857142857099E-2</v>
      </c>
      <c r="K916" s="24">
        <v>2.5</v>
      </c>
      <c r="L916" s="24">
        <v>5</v>
      </c>
      <c r="M916" s="24">
        <v>70</v>
      </c>
      <c r="N916" s="9">
        <v>2</v>
      </c>
      <c r="O916" s="9">
        <v>2</v>
      </c>
      <c r="P916" s="9">
        <v>2</v>
      </c>
      <c r="Q916" s="11">
        <v>5.7142857142857099E-2</v>
      </c>
      <c r="R916" s="10" t="s">
        <v>3075</v>
      </c>
    </row>
    <row r="917" spans="1:18">
      <c r="A917" s="7">
        <v>46216</v>
      </c>
      <c r="B917" s="8">
        <v>46229</v>
      </c>
      <c r="C917" s="9">
        <v>14</v>
      </c>
      <c r="D917" s="10" t="s">
        <v>638</v>
      </c>
      <c r="E917" s="10" t="s">
        <v>81</v>
      </c>
      <c r="F917" s="9"/>
      <c r="G917" s="9">
        <v>18</v>
      </c>
      <c r="H917" s="9">
        <v>2</v>
      </c>
      <c r="I917" s="9">
        <v>16</v>
      </c>
      <c r="J917" s="11">
        <v>0.11111111111111099</v>
      </c>
      <c r="K917" s="24">
        <v>2.5</v>
      </c>
      <c r="L917" s="24">
        <v>5</v>
      </c>
      <c r="M917" s="24">
        <v>70</v>
      </c>
      <c r="N917" s="9">
        <v>2</v>
      </c>
      <c r="O917" s="9">
        <v>2</v>
      </c>
      <c r="P917" s="9">
        <v>2</v>
      </c>
      <c r="Q917" s="11">
        <v>0.11111111111111099</v>
      </c>
      <c r="R917" s="10" t="s">
        <v>3075</v>
      </c>
    </row>
    <row r="918" spans="1:18">
      <c r="A918" s="7">
        <v>46216</v>
      </c>
      <c r="B918" s="8">
        <v>46229</v>
      </c>
      <c r="C918" s="9">
        <v>14</v>
      </c>
      <c r="D918" s="10" t="s">
        <v>638</v>
      </c>
      <c r="E918" s="10" t="s">
        <v>82</v>
      </c>
      <c r="F918" s="9"/>
      <c r="G918" s="9">
        <v>41</v>
      </c>
      <c r="H918" s="9">
        <v>3</v>
      </c>
      <c r="I918" s="9">
        <v>38</v>
      </c>
      <c r="J918" s="11">
        <v>7.3170731707317097E-2</v>
      </c>
      <c r="K918" s="24">
        <v>1.5</v>
      </c>
      <c r="L918" s="24">
        <v>4.5</v>
      </c>
      <c r="M918" s="24">
        <v>63</v>
      </c>
      <c r="N918" s="9">
        <v>3</v>
      </c>
      <c r="O918" s="9">
        <v>3</v>
      </c>
      <c r="P918" s="9">
        <v>4</v>
      </c>
      <c r="Q918" s="11">
        <v>7.3170731707317097E-2</v>
      </c>
      <c r="R918" s="10" t="s">
        <v>3075</v>
      </c>
    </row>
    <row r="919" spans="1:18">
      <c r="A919" s="7">
        <v>46216</v>
      </c>
      <c r="B919" s="8">
        <v>46229</v>
      </c>
      <c r="C919" s="9">
        <v>14</v>
      </c>
      <c r="D919" s="10" t="s">
        <v>638</v>
      </c>
      <c r="E919" s="10" t="s">
        <v>537</v>
      </c>
      <c r="F919" s="9"/>
      <c r="G919" s="9">
        <v>24</v>
      </c>
      <c r="H919" s="9">
        <v>3</v>
      </c>
      <c r="I919" s="9">
        <v>21</v>
      </c>
      <c r="J919" s="11">
        <v>0.125</v>
      </c>
      <c r="K919" s="24">
        <v>1</v>
      </c>
      <c r="L919" s="24">
        <v>3</v>
      </c>
      <c r="M919" s="24">
        <v>42</v>
      </c>
      <c r="N919" s="9">
        <v>2</v>
      </c>
      <c r="O919" s="9">
        <v>3</v>
      </c>
      <c r="P919" s="9">
        <v>3</v>
      </c>
      <c r="Q919" s="11">
        <v>0.125</v>
      </c>
      <c r="R919" s="10" t="s">
        <v>3075</v>
      </c>
    </row>
    <row r="920" spans="1:18">
      <c r="A920" s="7">
        <v>46216</v>
      </c>
      <c r="B920" s="8">
        <v>46229</v>
      </c>
      <c r="C920" s="9">
        <v>14</v>
      </c>
      <c r="D920" s="10" t="s">
        <v>638</v>
      </c>
      <c r="E920" s="10" t="s">
        <v>2177</v>
      </c>
      <c r="F920" s="9"/>
      <c r="G920" s="9">
        <v>9</v>
      </c>
      <c r="H920" s="9">
        <v>1</v>
      </c>
      <c r="I920" s="9">
        <v>8</v>
      </c>
      <c r="J920" s="11">
        <v>0.11111111111111099</v>
      </c>
      <c r="K920" s="24">
        <v>2.5</v>
      </c>
      <c r="L920" s="24">
        <v>2.5</v>
      </c>
      <c r="M920" s="24">
        <v>35</v>
      </c>
      <c r="N920" s="9">
        <v>1</v>
      </c>
      <c r="O920" s="9">
        <v>1</v>
      </c>
      <c r="P920" s="9">
        <v>2</v>
      </c>
      <c r="Q920" s="11">
        <v>0.11111111111111099</v>
      </c>
      <c r="R920" s="10" t="s">
        <v>3075</v>
      </c>
    </row>
    <row r="921" spans="1:18">
      <c r="A921" s="7">
        <v>46216</v>
      </c>
      <c r="B921" s="8">
        <v>46229</v>
      </c>
      <c r="C921" s="9">
        <v>14</v>
      </c>
      <c r="D921" s="10" t="s">
        <v>638</v>
      </c>
      <c r="E921" s="10" t="s">
        <v>536</v>
      </c>
      <c r="F921" s="9"/>
      <c r="G921" s="9">
        <v>27</v>
      </c>
      <c r="H921" s="9">
        <v>1</v>
      </c>
      <c r="I921" s="9">
        <v>26</v>
      </c>
      <c r="J921" s="11">
        <v>3.7037037037037E-2</v>
      </c>
      <c r="K921" s="24">
        <v>1.5</v>
      </c>
      <c r="L921" s="24">
        <v>1.5</v>
      </c>
      <c r="M921" s="24">
        <v>21</v>
      </c>
      <c r="N921" s="9">
        <v>1</v>
      </c>
      <c r="O921" s="9">
        <v>1</v>
      </c>
      <c r="P921" s="9">
        <v>2</v>
      </c>
      <c r="Q921" s="11">
        <v>3.7037037037037E-2</v>
      </c>
      <c r="R921" s="10" t="s">
        <v>3075</v>
      </c>
    </row>
    <row r="922" spans="1:18">
      <c r="A922" s="7">
        <v>46216</v>
      </c>
      <c r="B922" s="8">
        <v>46229</v>
      </c>
      <c r="C922" s="9">
        <v>14</v>
      </c>
      <c r="D922" s="10" t="s">
        <v>638</v>
      </c>
      <c r="E922" s="10" t="s">
        <v>3671</v>
      </c>
      <c r="F922" s="9"/>
      <c r="G922" s="9">
        <v>8</v>
      </c>
      <c r="H922" s="9">
        <v>0</v>
      </c>
      <c r="I922" s="9">
        <v>8</v>
      </c>
      <c r="J922" s="11">
        <v>0</v>
      </c>
      <c r="K922" s="24">
        <v>0.1</v>
      </c>
      <c r="L922" s="24">
        <v>0</v>
      </c>
      <c r="M922" s="24">
        <v>0</v>
      </c>
      <c r="N922" s="9">
        <v>0</v>
      </c>
      <c r="O922" s="9">
        <v>0</v>
      </c>
      <c r="P922" s="9">
        <v>0</v>
      </c>
      <c r="Q922" s="11">
        <v>0</v>
      </c>
      <c r="R922" s="10" t="s">
        <v>176</v>
      </c>
    </row>
    <row r="923" spans="1:18">
      <c r="A923" s="7">
        <v>46216</v>
      </c>
      <c r="B923" s="8">
        <v>46229</v>
      </c>
      <c r="C923" s="9">
        <v>14</v>
      </c>
      <c r="D923" s="10" t="s">
        <v>638</v>
      </c>
      <c r="E923" s="10" t="s">
        <v>182</v>
      </c>
      <c r="F923" s="9"/>
      <c r="G923" s="9">
        <v>1</v>
      </c>
      <c r="H923" s="9">
        <v>0</v>
      </c>
      <c r="I923" s="9">
        <v>1</v>
      </c>
      <c r="J923" s="11">
        <v>0</v>
      </c>
      <c r="K923" s="24">
        <v>1</v>
      </c>
      <c r="L923" s="24">
        <v>0</v>
      </c>
      <c r="M923" s="24">
        <v>0</v>
      </c>
      <c r="N923" s="9">
        <v>0</v>
      </c>
      <c r="O923" s="9">
        <v>0</v>
      </c>
      <c r="P923" s="9">
        <v>0</v>
      </c>
      <c r="Q923" s="11">
        <v>0</v>
      </c>
      <c r="R923" s="10" t="s">
        <v>176</v>
      </c>
    </row>
    <row r="924" spans="1:18">
      <c r="A924" s="7">
        <v>46216</v>
      </c>
      <c r="B924" s="8">
        <v>46229</v>
      </c>
      <c r="C924" s="9">
        <v>14</v>
      </c>
      <c r="D924" s="10" t="s">
        <v>638</v>
      </c>
      <c r="E924" s="10" t="s">
        <v>259</v>
      </c>
      <c r="F924" s="9"/>
      <c r="G924" s="9">
        <v>10</v>
      </c>
      <c r="H924" s="9">
        <v>0</v>
      </c>
      <c r="I924" s="9">
        <v>10</v>
      </c>
      <c r="J924" s="11">
        <v>0</v>
      </c>
      <c r="K924" s="24">
        <v>1</v>
      </c>
      <c r="L924" s="24">
        <v>0</v>
      </c>
      <c r="M924" s="24">
        <v>0</v>
      </c>
      <c r="N924" s="9">
        <v>0</v>
      </c>
      <c r="O924" s="9">
        <v>0</v>
      </c>
      <c r="P924" s="9">
        <v>0</v>
      </c>
      <c r="Q924" s="11">
        <v>0</v>
      </c>
      <c r="R924" s="10" t="s">
        <v>176</v>
      </c>
    </row>
    <row r="925" spans="1:18">
      <c r="A925" s="7">
        <v>46216</v>
      </c>
      <c r="B925" s="8">
        <v>46229</v>
      </c>
      <c r="C925" s="9">
        <v>14</v>
      </c>
      <c r="D925" s="10" t="s">
        <v>638</v>
      </c>
      <c r="E925" s="10" t="s">
        <v>3801</v>
      </c>
      <c r="F925" s="9"/>
      <c r="G925" s="9">
        <v>1</v>
      </c>
      <c r="H925" s="9">
        <v>0</v>
      </c>
      <c r="I925" s="9">
        <v>1</v>
      </c>
      <c r="J925" s="11">
        <v>0</v>
      </c>
      <c r="K925" s="24">
        <v>0</v>
      </c>
      <c r="L925" s="24">
        <v>0</v>
      </c>
      <c r="M925" s="24">
        <v>0</v>
      </c>
      <c r="N925" s="9">
        <v>0</v>
      </c>
      <c r="O925" s="9">
        <v>0</v>
      </c>
      <c r="P925" s="9">
        <v>0</v>
      </c>
      <c r="Q925" s="11">
        <v>0</v>
      </c>
      <c r="R925" s="10" t="s">
        <v>176</v>
      </c>
    </row>
    <row r="926" spans="1:18">
      <c r="A926" s="7">
        <v>46216</v>
      </c>
      <c r="B926" s="8">
        <v>46229</v>
      </c>
      <c r="C926" s="9">
        <v>14</v>
      </c>
      <c r="D926" s="10" t="s">
        <v>638</v>
      </c>
      <c r="E926" s="10" t="s">
        <v>294</v>
      </c>
      <c r="F926" s="9"/>
      <c r="G926" s="9">
        <v>11</v>
      </c>
      <c r="H926" s="9">
        <v>0</v>
      </c>
      <c r="I926" s="9">
        <v>11</v>
      </c>
      <c r="J926" s="11">
        <v>0</v>
      </c>
      <c r="K926" s="24">
        <v>1</v>
      </c>
      <c r="L926" s="24">
        <v>0</v>
      </c>
      <c r="M926" s="24">
        <v>0</v>
      </c>
      <c r="N926" s="9">
        <v>0</v>
      </c>
      <c r="O926" s="9">
        <v>0</v>
      </c>
      <c r="P926" s="9">
        <v>0</v>
      </c>
      <c r="Q926" s="11">
        <v>0</v>
      </c>
      <c r="R926" s="10" t="s">
        <v>176</v>
      </c>
    </row>
    <row r="927" spans="1:18">
      <c r="A927" s="7">
        <v>46216</v>
      </c>
      <c r="B927" s="8">
        <v>46229</v>
      </c>
      <c r="C927" s="9">
        <v>14</v>
      </c>
      <c r="D927" s="10" t="s">
        <v>638</v>
      </c>
      <c r="E927" s="10" t="s">
        <v>2006</v>
      </c>
      <c r="F927" s="9"/>
      <c r="G927" s="9">
        <v>1</v>
      </c>
      <c r="H927" s="9">
        <v>0</v>
      </c>
      <c r="I927" s="9">
        <v>1</v>
      </c>
      <c r="J927" s="11">
        <v>0</v>
      </c>
      <c r="K927" s="24">
        <v>1</v>
      </c>
      <c r="L927" s="24">
        <v>0</v>
      </c>
      <c r="M927" s="24">
        <v>0</v>
      </c>
      <c r="N927" s="9">
        <v>0</v>
      </c>
      <c r="O927" s="9">
        <v>0</v>
      </c>
      <c r="P927" s="9">
        <v>0</v>
      </c>
      <c r="Q927" s="11">
        <v>0</v>
      </c>
      <c r="R927" s="10" t="s">
        <v>176</v>
      </c>
    </row>
    <row r="928" spans="1:18">
      <c r="A928" s="7">
        <v>46216</v>
      </c>
      <c r="B928" s="8">
        <v>46229</v>
      </c>
      <c r="C928" s="9">
        <v>14</v>
      </c>
      <c r="D928" s="10" t="s">
        <v>638</v>
      </c>
      <c r="E928" s="10" t="s">
        <v>70</v>
      </c>
      <c r="F928" s="9"/>
      <c r="G928" s="9">
        <v>10</v>
      </c>
      <c r="H928" s="9">
        <v>0</v>
      </c>
      <c r="I928" s="9">
        <v>10</v>
      </c>
      <c r="J928" s="11">
        <v>0</v>
      </c>
      <c r="K928" s="24">
        <v>1</v>
      </c>
      <c r="L928" s="24">
        <v>0</v>
      </c>
      <c r="M928" s="24">
        <v>0</v>
      </c>
      <c r="N928" s="9">
        <v>0</v>
      </c>
      <c r="O928" s="9">
        <v>0</v>
      </c>
      <c r="P928" s="9">
        <v>0</v>
      </c>
      <c r="Q928" s="11">
        <v>0</v>
      </c>
      <c r="R928" s="10" t="s">
        <v>176</v>
      </c>
    </row>
    <row r="929" spans="1:18">
      <c r="A929" s="7">
        <v>46216</v>
      </c>
      <c r="B929" s="8">
        <v>46229</v>
      </c>
      <c r="C929" s="9">
        <v>14</v>
      </c>
      <c r="D929" s="10" t="s">
        <v>638</v>
      </c>
      <c r="E929" s="10" t="s">
        <v>62</v>
      </c>
      <c r="F929" s="9"/>
      <c r="G929" s="9">
        <v>4</v>
      </c>
      <c r="H929" s="9">
        <v>0</v>
      </c>
      <c r="I929" s="9">
        <v>4</v>
      </c>
      <c r="J929" s="11">
        <v>0</v>
      </c>
      <c r="K929" s="24">
        <v>21.39</v>
      </c>
      <c r="L929" s="24">
        <v>0</v>
      </c>
      <c r="M929" s="24">
        <v>0</v>
      </c>
      <c r="N929" s="9">
        <v>0</v>
      </c>
      <c r="O929" s="9">
        <v>0</v>
      </c>
      <c r="P929" s="9">
        <v>0</v>
      </c>
      <c r="Q929" s="11">
        <v>0</v>
      </c>
      <c r="R929" s="10" t="s">
        <v>176</v>
      </c>
    </row>
    <row r="930" spans="1:18">
      <c r="A930" s="7">
        <v>46216</v>
      </c>
      <c r="B930" s="8">
        <v>46229</v>
      </c>
      <c r="C930" s="9">
        <v>14</v>
      </c>
      <c r="D930" s="10" t="s">
        <v>638</v>
      </c>
      <c r="E930" s="10" t="s">
        <v>1839</v>
      </c>
      <c r="F930" s="9"/>
      <c r="G930" s="9">
        <v>1</v>
      </c>
      <c r="H930" s="9">
        <v>0</v>
      </c>
      <c r="I930" s="9">
        <v>1</v>
      </c>
      <c r="J930" s="11">
        <v>0</v>
      </c>
      <c r="K930" s="24">
        <v>81</v>
      </c>
      <c r="L930" s="24">
        <v>0</v>
      </c>
      <c r="M930" s="24">
        <v>0</v>
      </c>
      <c r="N930" s="9">
        <v>0</v>
      </c>
      <c r="O930" s="9">
        <v>0</v>
      </c>
      <c r="P930" s="9">
        <v>0</v>
      </c>
      <c r="Q930" s="11">
        <v>0</v>
      </c>
      <c r="R930" s="10" t="s">
        <v>176</v>
      </c>
    </row>
    <row r="931" spans="1:18">
      <c r="A931" s="7">
        <v>46216</v>
      </c>
      <c r="B931" s="8">
        <v>46229</v>
      </c>
      <c r="C931" s="9">
        <v>14</v>
      </c>
      <c r="D931" s="10" t="s">
        <v>638</v>
      </c>
      <c r="E931" s="10" t="s">
        <v>302</v>
      </c>
      <c r="F931" s="9"/>
      <c r="G931" s="9">
        <v>1</v>
      </c>
      <c r="H931" s="9">
        <v>0</v>
      </c>
      <c r="I931" s="9">
        <v>1</v>
      </c>
      <c r="J931" s="11">
        <v>0</v>
      </c>
      <c r="K931" s="24">
        <v>93</v>
      </c>
      <c r="L931" s="24">
        <v>0</v>
      </c>
      <c r="M931" s="24">
        <v>0</v>
      </c>
      <c r="N931" s="9">
        <v>0</v>
      </c>
      <c r="O931" s="9">
        <v>0</v>
      </c>
      <c r="P931" s="9">
        <v>0</v>
      </c>
      <c r="Q931" s="11">
        <v>0</v>
      </c>
      <c r="R931" s="10" t="s">
        <v>176</v>
      </c>
    </row>
    <row r="932" spans="1:18">
      <c r="A932" s="7">
        <v>46216</v>
      </c>
      <c r="B932" s="8">
        <v>46229</v>
      </c>
      <c r="C932" s="9">
        <v>14</v>
      </c>
      <c r="D932" s="10" t="s">
        <v>638</v>
      </c>
      <c r="E932" s="10" t="s">
        <v>303</v>
      </c>
      <c r="F932" s="9"/>
      <c r="G932" s="9">
        <v>1</v>
      </c>
      <c r="H932" s="9">
        <v>0</v>
      </c>
      <c r="I932" s="9">
        <v>1</v>
      </c>
      <c r="J932" s="11">
        <v>0</v>
      </c>
      <c r="K932" s="24">
        <v>0</v>
      </c>
      <c r="L932" s="24">
        <v>0</v>
      </c>
      <c r="M932" s="24">
        <v>0</v>
      </c>
      <c r="N932" s="9">
        <v>0</v>
      </c>
      <c r="O932" s="9">
        <v>0</v>
      </c>
      <c r="P932" s="9">
        <v>0</v>
      </c>
      <c r="Q932" s="11">
        <v>0</v>
      </c>
      <c r="R932" s="10" t="s">
        <v>176</v>
      </c>
    </row>
    <row r="933" spans="1:18">
      <c r="A933" s="7">
        <v>46216</v>
      </c>
      <c r="B933" s="8">
        <v>46229</v>
      </c>
      <c r="C933" s="9">
        <v>14</v>
      </c>
      <c r="D933" s="10" t="s">
        <v>638</v>
      </c>
      <c r="E933" s="10" t="s">
        <v>309</v>
      </c>
      <c r="F933" s="9"/>
      <c r="G933" s="9">
        <v>13</v>
      </c>
      <c r="H933" s="9">
        <v>0</v>
      </c>
      <c r="I933" s="9">
        <v>13</v>
      </c>
      <c r="J933" s="11">
        <v>0</v>
      </c>
      <c r="K933" s="24">
        <v>10</v>
      </c>
      <c r="L933" s="24">
        <v>0</v>
      </c>
      <c r="M933" s="24">
        <v>0</v>
      </c>
      <c r="N933" s="9">
        <v>0</v>
      </c>
      <c r="O933" s="9">
        <v>0</v>
      </c>
      <c r="P933" s="9">
        <v>0</v>
      </c>
      <c r="Q933" s="11">
        <v>0</v>
      </c>
      <c r="R933" s="10" t="s">
        <v>176</v>
      </c>
    </row>
    <row r="934" spans="1:18">
      <c r="A934" s="7">
        <v>46216</v>
      </c>
      <c r="B934" s="8">
        <v>46229</v>
      </c>
      <c r="C934" s="9">
        <v>14</v>
      </c>
      <c r="D934" s="10" t="s">
        <v>638</v>
      </c>
      <c r="E934" s="10" t="s">
        <v>311</v>
      </c>
      <c r="F934" s="9"/>
      <c r="G934" s="9">
        <v>2</v>
      </c>
      <c r="H934" s="9">
        <v>0</v>
      </c>
      <c r="I934" s="9">
        <v>2</v>
      </c>
      <c r="J934" s="11">
        <v>0</v>
      </c>
      <c r="K934" s="24">
        <v>1</v>
      </c>
      <c r="L934" s="24">
        <v>0</v>
      </c>
      <c r="M934" s="24">
        <v>0</v>
      </c>
      <c r="N934" s="9">
        <v>0</v>
      </c>
      <c r="O934" s="9">
        <v>0</v>
      </c>
      <c r="P934" s="9">
        <v>0</v>
      </c>
      <c r="Q934" s="11">
        <v>0</v>
      </c>
      <c r="R934" s="10" t="s">
        <v>176</v>
      </c>
    </row>
    <row r="935" spans="1:18">
      <c r="A935" s="7">
        <v>46216</v>
      </c>
      <c r="B935" s="8">
        <v>46229</v>
      </c>
      <c r="C935" s="9">
        <v>14</v>
      </c>
      <c r="D935" s="10" t="s">
        <v>638</v>
      </c>
      <c r="E935" s="10" t="s">
        <v>1832</v>
      </c>
      <c r="F935" s="9"/>
      <c r="G935" s="9">
        <v>10</v>
      </c>
      <c r="H935" s="9">
        <v>0</v>
      </c>
      <c r="I935" s="9">
        <v>10</v>
      </c>
      <c r="J935" s="11">
        <v>0</v>
      </c>
      <c r="K935" s="24">
        <v>15.96</v>
      </c>
      <c r="L935" s="24">
        <v>0</v>
      </c>
      <c r="M935" s="24">
        <v>0</v>
      </c>
      <c r="N935" s="9">
        <v>0</v>
      </c>
      <c r="O935" s="9">
        <v>0</v>
      </c>
      <c r="P935" s="9">
        <v>0</v>
      </c>
      <c r="Q935" s="11">
        <v>0</v>
      </c>
      <c r="R935" s="10" t="s">
        <v>176</v>
      </c>
    </row>
    <row r="936" spans="1:18">
      <c r="A936" s="7">
        <v>46216</v>
      </c>
      <c r="B936" s="8">
        <v>46229</v>
      </c>
      <c r="C936" s="9">
        <v>14</v>
      </c>
      <c r="D936" s="10" t="s">
        <v>638</v>
      </c>
      <c r="E936" s="10" t="s">
        <v>26</v>
      </c>
      <c r="F936" s="9"/>
      <c r="G936" s="9">
        <v>23</v>
      </c>
      <c r="H936" s="9">
        <v>0</v>
      </c>
      <c r="I936" s="9">
        <v>23</v>
      </c>
      <c r="J936" s="11">
        <v>0</v>
      </c>
      <c r="K936" s="24">
        <v>1.5</v>
      </c>
      <c r="L936" s="24">
        <v>0</v>
      </c>
      <c r="M936" s="24">
        <v>0</v>
      </c>
      <c r="N936" s="9">
        <v>0</v>
      </c>
      <c r="O936" s="9">
        <v>0</v>
      </c>
      <c r="P936" s="9">
        <v>0</v>
      </c>
      <c r="Q936" s="11">
        <v>0</v>
      </c>
      <c r="R936" s="10" t="s">
        <v>176</v>
      </c>
    </row>
    <row r="937" spans="1:18">
      <c r="A937" s="7">
        <v>46216</v>
      </c>
      <c r="B937" s="8">
        <v>46229</v>
      </c>
      <c r="C937" s="9">
        <v>14</v>
      </c>
      <c r="D937" s="10" t="s">
        <v>638</v>
      </c>
      <c r="E937" s="10" t="s">
        <v>1861</v>
      </c>
      <c r="F937" s="9"/>
      <c r="G937" s="9">
        <v>1</v>
      </c>
      <c r="H937" s="9">
        <v>0</v>
      </c>
      <c r="I937" s="9">
        <v>1</v>
      </c>
      <c r="J937" s="11">
        <v>0</v>
      </c>
      <c r="K937" s="24">
        <v>1.5</v>
      </c>
      <c r="L937" s="24">
        <v>0</v>
      </c>
      <c r="M937" s="24">
        <v>0</v>
      </c>
      <c r="N937" s="9">
        <v>0</v>
      </c>
      <c r="O937" s="9">
        <v>0</v>
      </c>
      <c r="P937" s="9">
        <v>0</v>
      </c>
      <c r="Q937" s="11">
        <v>0</v>
      </c>
      <c r="R937" s="10" t="s">
        <v>176</v>
      </c>
    </row>
    <row r="938" spans="1:18">
      <c r="A938" s="7">
        <v>46216</v>
      </c>
      <c r="B938" s="8">
        <v>46229</v>
      </c>
      <c r="C938" s="9">
        <v>14</v>
      </c>
      <c r="D938" s="10" t="s">
        <v>638</v>
      </c>
      <c r="E938" s="10" t="s">
        <v>1859</v>
      </c>
      <c r="F938" s="9"/>
      <c r="G938" s="9">
        <v>2</v>
      </c>
      <c r="H938" s="9">
        <v>0</v>
      </c>
      <c r="I938" s="9">
        <v>2</v>
      </c>
      <c r="J938" s="11">
        <v>0</v>
      </c>
      <c r="K938" s="24">
        <v>1</v>
      </c>
      <c r="L938" s="24">
        <v>0</v>
      </c>
      <c r="M938" s="24">
        <v>0</v>
      </c>
      <c r="N938" s="9">
        <v>0</v>
      </c>
      <c r="O938" s="9">
        <v>0</v>
      </c>
      <c r="P938" s="9">
        <v>0</v>
      </c>
      <c r="Q938" s="11">
        <v>0</v>
      </c>
      <c r="R938" s="10" t="s">
        <v>176</v>
      </c>
    </row>
    <row r="939" spans="1:18">
      <c r="A939" s="7">
        <v>46216</v>
      </c>
      <c r="B939" s="8">
        <v>46229</v>
      </c>
      <c r="C939" s="9">
        <v>14</v>
      </c>
      <c r="D939" s="10" t="s">
        <v>638</v>
      </c>
      <c r="E939" s="10" t="s">
        <v>2178</v>
      </c>
      <c r="F939" s="9"/>
      <c r="G939" s="9">
        <v>1</v>
      </c>
      <c r="H939" s="9">
        <v>0</v>
      </c>
      <c r="I939" s="9">
        <v>1</v>
      </c>
      <c r="J939" s="11">
        <v>0</v>
      </c>
      <c r="K939" s="24">
        <v>1</v>
      </c>
      <c r="L939" s="24">
        <v>0</v>
      </c>
      <c r="M939" s="24">
        <v>0</v>
      </c>
      <c r="N939" s="9">
        <v>0</v>
      </c>
      <c r="O939" s="9">
        <v>0</v>
      </c>
      <c r="P939" s="9">
        <v>0</v>
      </c>
      <c r="Q939" s="11">
        <v>0</v>
      </c>
      <c r="R939" s="10" t="s">
        <v>176</v>
      </c>
    </row>
    <row r="940" spans="1:18">
      <c r="A940" s="394">
        <v>46216</v>
      </c>
      <c r="B940" s="13">
        <v>46229</v>
      </c>
      <c r="C940" s="14">
        <v>14</v>
      </c>
      <c r="D940" s="373" t="s">
        <v>638</v>
      </c>
      <c r="E940" s="373" t="s">
        <v>538</v>
      </c>
      <c r="F940" s="14"/>
      <c r="G940" s="14">
        <v>9</v>
      </c>
      <c r="H940" s="14">
        <v>0</v>
      </c>
      <c r="I940" s="14">
        <v>9</v>
      </c>
      <c r="J940" s="395">
        <v>0</v>
      </c>
      <c r="K940" s="29">
        <v>1</v>
      </c>
      <c r="L940" s="29">
        <v>0</v>
      </c>
      <c r="M940" s="29">
        <v>0</v>
      </c>
      <c r="N940" s="14">
        <v>0</v>
      </c>
      <c r="O940" s="14">
        <v>0</v>
      </c>
      <c r="P940" s="14">
        <v>0</v>
      </c>
      <c r="Q940" s="395">
        <v>0</v>
      </c>
      <c r="R940" s="373" t="s">
        <v>176</v>
      </c>
    </row>
  </sheetData>
  <phoneticPr fontId="3" type="noConversion"/>
  <pageMargins left="0.7" right="0.7" top="0.75" bottom="0.75" header="0.3" footer="0.3"/>
  <pageSetup paperSize="176" orientation="portrait" horizontalDpi="300"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79EF6-8F4E-4FE9-B555-7FF5CB545271}">
  <sheetPr>
    <tabColor rgb="FFFA4600"/>
  </sheetPr>
  <dimension ref="A1:P199"/>
  <sheetViews>
    <sheetView showGridLines="0" zoomScaleNormal="100" workbookViewId="0">
      <pane ySplit="15" topLeftCell="A16" activePane="bottomLeft" state="frozen"/>
      <selection pane="bottomLeft" activeCell="K212" sqref="K212"/>
    </sheetView>
  </sheetViews>
  <sheetFormatPr defaultColWidth="8.69921875" defaultRowHeight="11.4"/>
  <cols>
    <col min="1" max="1" width="25.19921875" style="3" customWidth="1"/>
    <col min="2" max="2" width="14" style="1" customWidth="1"/>
    <col min="3" max="3" width="14.59765625" style="1" customWidth="1"/>
    <col min="4" max="4" width="22.69921875" style="1" customWidth="1"/>
    <col min="5" max="5" width="15.19921875" style="1" customWidth="1"/>
    <col min="6" max="6" width="13.8984375" style="3" customWidth="1"/>
    <col min="7" max="7" width="13.09765625" style="1" customWidth="1"/>
    <col min="8" max="8" width="18" style="1" customWidth="1"/>
    <col min="9" max="11" width="12" style="1" customWidth="1"/>
    <col min="12" max="12" width="13" style="1" customWidth="1"/>
    <col min="13" max="13" width="12" style="1" customWidth="1"/>
    <col min="14" max="14" width="11" style="1" customWidth="1"/>
    <col min="15" max="16" width="13" style="1" customWidth="1"/>
    <col min="17" max="16384" width="8.69921875" style="1"/>
  </cols>
  <sheetData>
    <row r="1" spans="1:16" ht="22.35" customHeight="1" thickBot="1">
      <c r="A1" s="426" t="s">
        <v>540</v>
      </c>
      <c r="B1" s="427"/>
      <c r="C1" s="427"/>
      <c r="D1" s="428"/>
      <c r="E1" s="427"/>
      <c r="F1" s="427"/>
      <c r="G1" s="427"/>
      <c r="H1" s="428"/>
      <c r="I1" s="427"/>
      <c r="J1" s="427"/>
      <c r="K1" s="427"/>
      <c r="L1" s="427"/>
      <c r="M1" s="427"/>
      <c r="N1" s="427"/>
      <c r="O1" s="427"/>
      <c r="P1" s="429"/>
    </row>
    <row r="2" spans="1:16" ht="12" thickBot="1"/>
    <row r="3" spans="1:16" ht="12">
      <c r="A3" s="91" t="s">
        <v>541</v>
      </c>
      <c r="B3" s="92" t="s">
        <v>542</v>
      </c>
      <c r="C3" s="92" t="s">
        <v>543</v>
      </c>
      <c r="D3" s="92" t="s">
        <v>544</v>
      </c>
      <c r="E3" s="92" t="s">
        <v>545</v>
      </c>
      <c r="F3" s="92" t="s">
        <v>546</v>
      </c>
      <c r="G3" s="92" t="s">
        <v>547</v>
      </c>
      <c r="H3" s="93" t="s">
        <v>548</v>
      </c>
    </row>
    <row r="4" spans="1:16" ht="12.6" thickBot="1">
      <c r="A4" s="83">
        <f>SUM(L16:L190)</f>
        <v>119680</v>
      </c>
      <c r="B4" s="82">
        <f>SUM(O16:O190)</f>
        <v>27912.5</v>
      </c>
      <c r="C4" s="82">
        <f>SUM(P16:P190)</f>
        <v>147592.5</v>
      </c>
      <c r="D4" s="81">
        <f>SUM(I16:I190)</f>
        <v>1824</v>
      </c>
      <c r="E4" s="81">
        <f>SUM(J16:J190)</f>
        <v>1548</v>
      </c>
      <c r="F4" s="81">
        <f>SUMIFS(J16:J190,C16:C190,"Day")</f>
        <v>1124</v>
      </c>
      <c r="G4" s="81">
        <f>SUMIFS(J16:J190,C16:C190,"Night")</f>
        <v>424</v>
      </c>
      <c r="H4" s="80">
        <f>SUM(N16:N190)</f>
        <v>175</v>
      </c>
    </row>
    <row r="5" spans="1:16" ht="12" thickBot="1"/>
    <row r="6" spans="1:16" ht="13.95" customHeight="1">
      <c r="A6" s="79" t="s">
        <v>549</v>
      </c>
      <c r="B6" s="78" t="s">
        <v>550</v>
      </c>
      <c r="C6" s="78" t="s">
        <v>551</v>
      </c>
      <c r="D6" s="78" t="s">
        <v>552</v>
      </c>
      <c r="E6" s="78" t="s">
        <v>545</v>
      </c>
      <c r="F6" s="77" t="s">
        <v>553</v>
      </c>
      <c r="H6" s="76" t="s">
        <v>554</v>
      </c>
      <c r="I6" s="424" t="s">
        <v>555</v>
      </c>
      <c r="J6" s="424"/>
      <c r="K6" s="424"/>
      <c r="L6" s="424"/>
      <c r="M6" s="424"/>
      <c r="N6" s="424"/>
      <c r="O6" s="424"/>
      <c r="P6" s="425"/>
    </row>
    <row r="7" spans="1:16" s="69" customFormat="1" ht="12">
      <c r="A7" s="74" t="s">
        <v>556</v>
      </c>
      <c r="B7" s="73">
        <f>SUMIFS($L$16:$L$190,$B$16:$B$190,A7)</f>
        <v>1880</v>
      </c>
      <c r="C7" s="73">
        <f>SUMIFS($O$16:$O$190,$B$16:$B$190,A7)</f>
        <v>478.5</v>
      </c>
      <c r="D7" s="73">
        <f>B7+C7</f>
        <v>2358.5</v>
      </c>
      <c r="E7" s="72">
        <f>SUMIFS($J$16:$J$190,$B$16:$B$190,A7)</f>
        <v>24</v>
      </c>
      <c r="F7" s="71">
        <f>COUNTIFS($B$16:$B$190,A7)</f>
        <v>3</v>
      </c>
      <c r="H7" s="70" t="s">
        <v>557</v>
      </c>
      <c r="I7" s="430" t="s">
        <v>558</v>
      </c>
      <c r="J7" s="431"/>
      <c r="K7" s="431"/>
      <c r="L7" s="431"/>
      <c r="M7" s="431"/>
      <c r="N7" s="431"/>
      <c r="O7" s="431"/>
      <c r="P7" s="432"/>
    </row>
    <row r="8" spans="1:16" s="69" customFormat="1" ht="24">
      <c r="A8" s="74" t="s">
        <v>559</v>
      </c>
      <c r="B8" s="73">
        <f>SUMIFS($L$16:$L$190,$B$16:$B$190,A8)</f>
        <v>12350</v>
      </c>
      <c r="C8" s="73">
        <f>SUMIFS($O$16:$O$190,$B$16:$B$190,A8)</f>
        <v>3509</v>
      </c>
      <c r="D8" s="73">
        <f>B8+C8</f>
        <v>15859</v>
      </c>
      <c r="E8" s="72">
        <f>SUMIFS($J$16:$J$190,$B$16:$B$190,A8)</f>
        <v>158</v>
      </c>
      <c r="F8" s="71">
        <f>COUNTIFS($B$16:$B$190,A8)</f>
        <v>22</v>
      </c>
      <c r="H8" s="70" t="s">
        <v>560</v>
      </c>
      <c r="I8" s="421" t="s">
        <v>561</v>
      </c>
      <c r="J8" s="422"/>
      <c r="K8" s="422"/>
      <c r="L8" s="422"/>
      <c r="M8" s="422"/>
      <c r="N8" s="422"/>
      <c r="O8" s="422"/>
      <c r="P8" s="423"/>
    </row>
    <row r="9" spans="1:16" s="69" customFormat="1" ht="24">
      <c r="A9" s="74" t="s">
        <v>562</v>
      </c>
      <c r="B9" s="73">
        <f>SUMIFS($L$16:$L$190,$B$16:$B$190,"Shutdown",$C$16:$C$190,"Day")</f>
        <v>65530</v>
      </c>
      <c r="C9" s="75">
        <f>SUMIFS($O$16:$O$190,$B$16:$B$190,"Shutdown",$C$16:$C$190,"Day")</f>
        <v>15950</v>
      </c>
      <c r="D9" s="73">
        <f>B9+C9</f>
        <v>81480</v>
      </c>
      <c r="E9" s="72">
        <f>SUMIFS($J$16:$J$190,$B$16:$B$190,"Shutdown",$C$16:$C$190,"Day")</f>
        <v>838</v>
      </c>
      <c r="F9" s="71">
        <f>COUNTIFS($B$16:$B$190,"Shutdown",$C$16:$C$190,"Day")</f>
        <v>100</v>
      </c>
      <c r="H9" s="70" t="s">
        <v>563</v>
      </c>
      <c r="I9" s="421" t="s">
        <v>564</v>
      </c>
      <c r="J9" s="422"/>
      <c r="K9" s="422"/>
      <c r="L9" s="422"/>
      <c r="M9" s="422"/>
      <c r="N9" s="422"/>
      <c r="O9" s="422"/>
      <c r="P9" s="423"/>
    </row>
    <row r="10" spans="1:16" s="69" customFormat="1" ht="24">
      <c r="A10" s="74" t="s">
        <v>565</v>
      </c>
      <c r="B10" s="73">
        <f>SUMIFS($L$16:$L$190,$B$16:$B$190,"Shutdown",$C$16:$C$190,"Night")</f>
        <v>31800</v>
      </c>
      <c r="C10" s="73">
        <f>SUMIFS($O$16:$O$190,$B$16:$B$190,"Shutdown",$C$16:$C$190,"Night")</f>
        <v>6061</v>
      </c>
      <c r="D10" s="73">
        <f>B10+C10</f>
        <v>37861</v>
      </c>
      <c r="E10" s="72">
        <f>SUMIFS($J$16:$J$190,$B$16:$B$190,"Shutdown",$C$16:$C$190,"Night")</f>
        <v>424</v>
      </c>
      <c r="F10" s="71">
        <f>COUNTIFS($B$16:$B$190,"Shutdown",$C$16:$C$190,"Night")</f>
        <v>38</v>
      </c>
      <c r="H10" s="70" t="s">
        <v>566</v>
      </c>
      <c r="I10" s="421" t="s">
        <v>567</v>
      </c>
      <c r="J10" s="422"/>
      <c r="K10" s="422"/>
      <c r="L10" s="422"/>
      <c r="M10" s="422"/>
      <c r="N10" s="422"/>
      <c r="O10" s="422"/>
      <c r="P10" s="423"/>
    </row>
    <row r="11" spans="1:16" s="69" customFormat="1" ht="24">
      <c r="A11" s="74" t="s">
        <v>568</v>
      </c>
      <c r="B11" s="73">
        <f>SUMIFS($L$16:$L$190,$B$16:$B$190,A11)</f>
        <v>8120</v>
      </c>
      <c r="C11" s="73">
        <f>SUMIFS($O$16:$O$190,$B$16:$B$190,A11)</f>
        <v>1914</v>
      </c>
      <c r="D11" s="73">
        <f>B11+C11</f>
        <v>10034</v>
      </c>
      <c r="E11" s="72">
        <f>SUMIFS($J$16:$J$190,$B$16:$B$190,A11)</f>
        <v>104</v>
      </c>
      <c r="F11" s="71">
        <f>COUNTIFS($B$16:$B$190,A11)</f>
        <v>12</v>
      </c>
      <c r="H11" s="70" t="s">
        <v>569</v>
      </c>
      <c r="I11" s="421" t="s">
        <v>570</v>
      </c>
      <c r="J11" s="422"/>
      <c r="K11" s="422"/>
      <c r="L11" s="422"/>
      <c r="M11" s="422"/>
      <c r="N11" s="422"/>
      <c r="O11" s="422"/>
      <c r="P11" s="423"/>
    </row>
    <row r="12" spans="1:16" ht="12.6" thickBot="1">
      <c r="A12" s="85" t="s">
        <v>571</v>
      </c>
      <c r="B12" s="86">
        <f>SUM(B7:B11)</f>
        <v>119680</v>
      </c>
      <c r="C12" s="86">
        <f>SUM(C7:C11)</f>
        <v>27912.5</v>
      </c>
      <c r="D12" s="86">
        <f>SUM(D7:D11)</f>
        <v>147592.5</v>
      </c>
      <c r="E12" s="87">
        <f>SUM(E7:E11)</f>
        <v>1548</v>
      </c>
      <c r="F12" s="88">
        <f>SUM(F7:F11)</f>
        <v>175</v>
      </c>
    </row>
    <row r="15" spans="1:16" ht="12">
      <c r="A15" s="68" t="s">
        <v>572</v>
      </c>
      <c r="B15" s="67" t="s">
        <v>573</v>
      </c>
      <c r="C15" s="67" t="s">
        <v>574</v>
      </c>
      <c r="D15" s="67" t="s">
        <v>554</v>
      </c>
      <c r="E15" s="67" t="s">
        <v>575</v>
      </c>
      <c r="F15" s="67" t="s">
        <v>576</v>
      </c>
      <c r="G15" s="67" t="s">
        <v>577</v>
      </c>
      <c r="H15" s="67" t="s">
        <v>578</v>
      </c>
      <c r="I15" s="67" t="s">
        <v>544</v>
      </c>
      <c r="J15" s="67" t="s">
        <v>545</v>
      </c>
      <c r="K15" s="67" t="s">
        <v>579</v>
      </c>
      <c r="L15" s="67" t="s">
        <v>550</v>
      </c>
      <c r="M15" s="67" t="s">
        <v>580</v>
      </c>
      <c r="N15" s="67" t="s">
        <v>581</v>
      </c>
      <c r="O15" s="67" t="s">
        <v>582</v>
      </c>
      <c r="P15" s="66" t="s">
        <v>552</v>
      </c>
    </row>
    <row r="16" spans="1:16" ht="12">
      <c r="A16" s="65">
        <v>46215</v>
      </c>
      <c r="B16" s="64" t="s">
        <v>556</v>
      </c>
      <c r="C16" s="64" t="s">
        <v>583</v>
      </c>
      <c r="D16" s="64" t="s">
        <v>557</v>
      </c>
      <c r="E16" s="64" t="s">
        <v>584</v>
      </c>
      <c r="F16" s="63">
        <v>0.25</v>
      </c>
      <c r="G16" s="63">
        <v>0.58333333333333337</v>
      </c>
      <c r="H16" s="62">
        <v>8</v>
      </c>
      <c r="I16" s="61">
        <f t="shared" ref="I16:I40" si="0">IF(OR(H16="Fatigue Day",H16=""),IF(AND(ISNUMBER(F16),ISNUMBER(G16)),MOD(G16-F16,1)*24,0),IF(ISNUMBER(H16),H16,IF(H16="No Charge",IF(AND(ISNUMBER(F16),ISNUMBER(G16)),MOD(G16-F16,1)*24,0),0)))</f>
        <v>8</v>
      </c>
      <c r="J16" s="61">
        <f t="shared" ref="J16:J47" si="1">IF(OR(H16="No Charge",H16="Fatigue Day"),0,I16)</f>
        <v>8</v>
      </c>
      <c r="K16" s="59">
        <v>85</v>
      </c>
      <c r="L16" s="59">
        <f t="shared" ref="L16:L47" si="2">J16*K16</f>
        <v>680</v>
      </c>
      <c r="M16" s="59">
        <v>159.5</v>
      </c>
      <c r="N16" s="60">
        <f t="shared" ref="N16:N47" si="3">IF(M16&gt;0,1,0)</f>
        <v>1</v>
      </c>
      <c r="O16" s="59">
        <f t="shared" ref="O16:O47" si="4">M16*N16</f>
        <v>159.5</v>
      </c>
      <c r="P16" s="58">
        <f t="shared" ref="P16:P47" si="5">L16+O16</f>
        <v>839.5</v>
      </c>
    </row>
    <row r="17" spans="1:16" ht="12">
      <c r="A17" s="65">
        <v>46215</v>
      </c>
      <c r="B17" s="64" t="s">
        <v>556</v>
      </c>
      <c r="C17" s="64" t="s">
        <v>583</v>
      </c>
      <c r="D17" s="64" t="s">
        <v>560</v>
      </c>
      <c r="E17" s="64" t="s">
        <v>585</v>
      </c>
      <c r="F17" s="63">
        <v>0.25</v>
      </c>
      <c r="G17" s="63">
        <v>0.58333333333333337</v>
      </c>
      <c r="H17" s="62">
        <v>8</v>
      </c>
      <c r="I17" s="61">
        <f t="shared" si="0"/>
        <v>8</v>
      </c>
      <c r="J17" s="61">
        <f t="shared" si="1"/>
        <v>8</v>
      </c>
      <c r="K17" s="59">
        <v>75</v>
      </c>
      <c r="L17" s="59">
        <f t="shared" si="2"/>
        <v>600</v>
      </c>
      <c r="M17" s="59">
        <v>159.5</v>
      </c>
      <c r="N17" s="60">
        <f t="shared" si="3"/>
        <v>1</v>
      </c>
      <c r="O17" s="59">
        <f t="shared" si="4"/>
        <v>159.5</v>
      </c>
      <c r="P17" s="58">
        <f t="shared" si="5"/>
        <v>759.5</v>
      </c>
    </row>
    <row r="18" spans="1:16" ht="12">
      <c r="A18" s="65">
        <v>46215</v>
      </c>
      <c r="B18" s="64" t="s">
        <v>556</v>
      </c>
      <c r="C18" s="64" t="s">
        <v>583</v>
      </c>
      <c r="D18" s="64" t="s">
        <v>563</v>
      </c>
      <c r="E18" s="64" t="s">
        <v>586</v>
      </c>
      <c r="F18" s="63">
        <v>0.25</v>
      </c>
      <c r="G18" s="63">
        <v>0.58333333333333337</v>
      </c>
      <c r="H18" s="62">
        <v>8</v>
      </c>
      <c r="I18" s="61">
        <f t="shared" si="0"/>
        <v>8</v>
      </c>
      <c r="J18" s="61">
        <f t="shared" si="1"/>
        <v>8</v>
      </c>
      <c r="K18" s="59">
        <v>75</v>
      </c>
      <c r="L18" s="59">
        <f t="shared" si="2"/>
        <v>600</v>
      </c>
      <c r="M18" s="59">
        <v>159.5</v>
      </c>
      <c r="N18" s="60">
        <f t="shared" si="3"/>
        <v>1</v>
      </c>
      <c r="O18" s="59">
        <f t="shared" si="4"/>
        <v>159.5</v>
      </c>
      <c r="P18" s="58">
        <f t="shared" si="5"/>
        <v>759.5</v>
      </c>
    </row>
    <row r="19" spans="1:16" ht="12">
      <c r="A19" s="65">
        <v>46216</v>
      </c>
      <c r="B19" s="64" t="s">
        <v>559</v>
      </c>
      <c r="C19" s="64" t="s">
        <v>583</v>
      </c>
      <c r="D19" s="64" t="s">
        <v>557</v>
      </c>
      <c r="E19" s="64" t="s">
        <v>584</v>
      </c>
      <c r="F19" s="63">
        <v>0.25</v>
      </c>
      <c r="G19" s="63">
        <v>0.66666666666666663</v>
      </c>
      <c r="H19" s="62">
        <v>10</v>
      </c>
      <c r="I19" s="61">
        <f t="shared" si="0"/>
        <v>10</v>
      </c>
      <c r="J19" s="61">
        <f t="shared" si="1"/>
        <v>10</v>
      </c>
      <c r="K19" s="59">
        <v>85</v>
      </c>
      <c r="L19" s="59">
        <f t="shared" si="2"/>
        <v>850</v>
      </c>
      <c r="M19" s="59">
        <v>159.5</v>
      </c>
      <c r="N19" s="60">
        <f t="shared" si="3"/>
        <v>1</v>
      </c>
      <c r="O19" s="59">
        <f t="shared" si="4"/>
        <v>159.5</v>
      </c>
      <c r="P19" s="58">
        <f t="shared" si="5"/>
        <v>1009.5</v>
      </c>
    </row>
    <row r="20" spans="1:16" ht="12">
      <c r="A20" s="65">
        <v>46216</v>
      </c>
      <c r="B20" s="64" t="s">
        <v>559</v>
      </c>
      <c r="C20" s="64" t="s">
        <v>583</v>
      </c>
      <c r="D20" s="64" t="s">
        <v>560</v>
      </c>
      <c r="E20" s="64" t="s">
        <v>585</v>
      </c>
      <c r="F20" s="63">
        <v>0.25</v>
      </c>
      <c r="G20" s="63">
        <v>0.66666666666666663</v>
      </c>
      <c r="H20" s="62">
        <v>10</v>
      </c>
      <c r="I20" s="61">
        <f t="shared" si="0"/>
        <v>10</v>
      </c>
      <c r="J20" s="61">
        <f t="shared" si="1"/>
        <v>10</v>
      </c>
      <c r="K20" s="59">
        <v>75</v>
      </c>
      <c r="L20" s="59">
        <f t="shared" si="2"/>
        <v>750</v>
      </c>
      <c r="M20" s="59">
        <v>159.5</v>
      </c>
      <c r="N20" s="60">
        <f t="shared" si="3"/>
        <v>1</v>
      </c>
      <c r="O20" s="59">
        <f t="shared" si="4"/>
        <v>159.5</v>
      </c>
      <c r="P20" s="58">
        <f t="shared" si="5"/>
        <v>909.5</v>
      </c>
    </row>
    <row r="21" spans="1:16" ht="12">
      <c r="A21" s="65">
        <v>46216</v>
      </c>
      <c r="B21" s="64" t="s">
        <v>559</v>
      </c>
      <c r="C21" s="64" t="s">
        <v>583</v>
      </c>
      <c r="D21" s="64" t="s">
        <v>563</v>
      </c>
      <c r="E21" s="64" t="s">
        <v>586</v>
      </c>
      <c r="F21" s="63">
        <v>0.25</v>
      </c>
      <c r="G21" s="63">
        <v>0.66666666666666663</v>
      </c>
      <c r="H21" s="62">
        <v>10</v>
      </c>
      <c r="I21" s="61">
        <f t="shared" si="0"/>
        <v>10</v>
      </c>
      <c r="J21" s="61">
        <f t="shared" si="1"/>
        <v>10</v>
      </c>
      <c r="K21" s="59">
        <v>75</v>
      </c>
      <c r="L21" s="59">
        <f t="shared" si="2"/>
        <v>750</v>
      </c>
      <c r="M21" s="59">
        <v>159.5</v>
      </c>
      <c r="N21" s="60">
        <f t="shared" si="3"/>
        <v>1</v>
      </c>
      <c r="O21" s="59">
        <f t="shared" si="4"/>
        <v>159.5</v>
      </c>
      <c r="P21" s="58">
        <f t="shared" si="5"/>
        <v>909.5</v>
      </c>
    </row>
    <row r="22" spans="1:16" ht="12">
      <c r="A22" s="65">
        <v>46217</v>
      </c>
      <c r="B22" s="64" t="s">
        <v>559</v>
      </c>
      <c r="C22" s="64" t="s">
        <v>583</v>
      </c>
      <c r="D22" s="64" t="s">
        <v>557</v>
      </c>
      <c r="E22" s="64" t="s">
        <v>584</v>
      </c>
      <c r="F22" s="63">
        <v>0.25</v>
      </c>
      <c r="G22" s="63">
        <v>0.66666666666666663</v>
      </c>
      <c r="H22" s="62">
        <v>10</v>
      </c>
      <c r="I22" s="61">
        <f t="shared" si="0"/>
        <v>10</v>
      </c>
      <c r="J22" s="61">
        <f t="shared" si="1"/>
        <v>10</v>
      </c>
      <c r="K22" s="59">
        <v>85</v>
      </c>
      <c r="L22" s="59">
        <f t="shared" si="2"/>
        <v>850</v>
      </c>
      <c r="M22" s="59">
        <v>159.5</v>
      </c>
      <c r="N22" s="60">
        <f t="shared" si="3"/>
        <v>1</v>
      </c>
      <c r="O22" s="59">
        <f t="shared" si="4"/>
        <v>159.5</v>
      </c>
      <c r="P22" s="58">
        <f t="shared" si="5"/>
        <v>1009.5</v>
      </c>
    </row>
    <row r="23" spans="1:16" ht="12">
      <c r="A23" s="65">
        <v>46217</v>
      </c>
      <c r="B23" s="64" t="s">
        <v>559</v>
      </c>
      <c r="C23" s="64" t="s">
        <v>583</v>
      </c>
      <c r="D23" s="64" t="s">
        <v>560</v>
      </c>
      <c r="E23" s="64" t="s">
        <v>585</v>
      </c>
      <c r="F23" s="63">
        <v>0.25</v>
      </c>
      <c r="G23" s="63">
        <v>0.66666666666666663</v>
      </c>
      <c r="H23" s="62">
        <v>10</v>
      </c>
      <c r="I23" s="61">
        <f t="shared" si="0"/>
        <v>10</v>
      </c>
      <c r="J23" s="61">
        <f t="shared" si="1"/>
        <v>10</v>
      </c>
      <c r="K23" s="59">
        <v>75</v>
      </c>
      <c r="L23" s="59">
        <f t="shared" si="2"/>
        <v>750</v>
      </c>
      <c r="M23" s="59">
        <v>159.5</v>
      </c>
      <c r="N23" s="60">
        <f t="shared" si="3"/>
        <v>1</v>
      </c>
      <c r="O23" s="59">
        <f t="shared" si="4"/>
        <v>159.5</v>
      </c>
      <c r="P23" s="58">
        <f t="shared" si="5"/>
        <v>909.5</v>
      </c>
    </row>
    <row r="24" spans="1:16" ht="12">
      <c r="A24" s="65">
        <v>46217</v>
      </c>
      <c r="B24" s="64" t="s">
        <v>559</v>
      </c>
      <c r="C24" s="64" t="s">
        <v>583</v>
      </c>
      <c r="D24" s="64" t="s">
        <v>563</v>
      </c>
      <c r="E24" s="64" t="s">
        <v>586</v>
      </c>
      <c r="F24" s="63">
        <v>0.25</v>
      </c>
      <c r="G24" s="63">
        <v>0.66666666666666663</v>
      </c>
      <c r="H24" s="62">
        <v>10</v>
      </c>
      <c r="I24" s="61">
        <f t="shared" si="0"/>
        <v>10</v>
      </c>
      <c r="J24" s="61">
        <f t="shared" si="1"/>
        <v>10</v>
      </c>
      <c r="K24" s="59">
        <v>75</v>
      </c>
      <c r="L24" s="59">
        <f t="shared" si="2"/>
        <v>750</v>
      </c>
      <c r="M24" s="59">
        <v>159.5</v>
      </c>
      <c r="N24" s="60">
        <f t="shared" si="3"/>
        <v>1</v>
      </c>
      <c r="O24" s="59">
        <f t="shared" si="4"/>
        <v>159.5</v>
      </c>
      <c r="P24" s="58">
        <f t="shared" si="5"/>
        <v>909.5</v>
      </c>
    </row>
    <row r="25" spans="1:16" ht="12">
      <c r="A25" s="65">
        <v>46218</v>
      </c>
      <c r="B25" s="64" t="s">
        <v>559</v>
      </c>
      <c r="C25" s="64" t="s">
        <v>583</v>
      </c>
      <c r="D25" s="64" t="s">
        <v>557</v>
      </c>
      <c r="E25" s="64" t="s">
        <v>584</v>
      </c>
      <c r="F25" s="63">
        <v>0.25</v>
      </c>
      <c r="G25" s="63">
        <v>0.66666666666666663</v>
      </c>
      <c r="H25" s="62">
        <v>10</v>
      </c>
      <c r="I25" s="61">
        <f t="shared" si="0"/>
        <v>10</v>
      </c>
      <c r="J25" s="61">
        <f t="shared" si="1"/>
        <v>10</v>
      </c>
      <c r="K25" s="59">
        <v>85</v>
      </c>
      <c r="L25" s="59">
        <f t="shared" si="2"/>
        <v>850</v>
      </c>
      <c r="M25" s="59">
        <v>159.5</v>
      </c>
      <c r="N25" s="60">
        <f t="shared" si="3"/>
        <v>1</v>
      </c>
      <c r="O25" s="59">
        <f t="shared" si="4"/>
        <v>159.5</v>
      </c>
      <c r="P25" s="58">
        <f t="shared" si="5"/>
        <v>1009.5</v>
      </c>
    </row>
    <row r="26" spans="1:16" ht="12">
      <c r="A26" s="65">
        <v>46218</v>
      </c>
      <c r="B26" s="64" t="s">
        <v>559</v>
      </c>
      <c r="C26" s="64" t="s">
        <v>583</v>
      </c>
      <c r="D26" s="64" t="s">
        <v>560</v>
      </c>
      <c r="E26" s="64" t="s">
        <v>585</v>
      </c>
      <c r="F26" s="63">
        <v>0.25</v>
      </c>
      <c r="G26" s="63">
        <v>0.66666666666666663</v>
      </c>
      <c r="H26" s="62">
        <v>10</v>
      </c>
      <c r="I26" s="61">
        <f t="shared" si="0"/>
        <v>10</v>
      </c>
      <c r="J26" s="61">
        <f t="shared" si="1"/>
        <v>10</v>
      </c>
      <c r="K26" s="59">
        <v>75</v>
      </c>
      <c r="L26" s="59">
        <f t="shared" si="2"/>
        <v>750</v>
      </c>
      <c r="M26" s="59">
        <v>159.5</v>
      </c>
      <c r="N26" s="60">
        <f t="shared" si="3"/>
        <v>1</v>
      </c>
      <c r="O26" s="59">
        <f t="shared" si="4"/>
        <v>159.5</v>
      </c>
      <c r="P26" s="58">
        <f t="shared" si="5"/>
        <v>909.5</v>
      </c>
    </row>
    <row r="27" spans="1:16" ht="12">
      <c r="A27" s="65">
        <v>46218</v>
      </c>
      <c r="B27" s="64" t="s">
        <v>559</v>
      </c>
      <c r="C27" s="64" t="s">
        <v>583</v>
      </c>
      <c r="D27" s="64" t="s">
        <v>563</v>
      </c>
      <c r="E27" s="64" t="s">
        <v>586</v>
      </c>
      <c r="F27" s="63">
        <v>0.25</v>
      </c>
      <c r="G27" s="63">
        <v>0.66666666666666663</v>
      </c>
      <c r="H27" s="62">
        <v>10</v>
      </c>
      <c r="I27" s="61">
        <f t="shared" si="0"/>
        <v>10</v>
      </c>
      <c r="J27" s="61">
        <f t="shared" si="1"/>
        <v>10</v>
      </c>
      <c r="K27" s="59">
        <v>75</v>
      </c>
      <c r="L27" s="59">
        <f t="shared" si="2"/>
        <v>750</v>
      </c>
      <c r="M27" s="59">
        <v>159.5</v>
      </c>
      <c r="N27" s="60">
        <f t="shared" si="3"/>
        <v>1</v>
      </c>
      <c r="O27" s="59">
        <f t="shared" si="4"/>
        <v>159.5</v>
      </c>
      <c r="P27" s="58">
        <f t="shared" si="5"/>
        <v>909.5</v>
      </c>
    </row>
    <row r="28" spans="1:16" ht="12">
      <c r="A28" s="65">
        <v>46219</v>
      </c>
      <c r="B28" s="64" t="s">
        <v>559</v>
      </c>
      <c r="C28" s="64" t="s">
        <v>583</v>
      </c>
      <c r="D28" s="64" t="s">
        <v>557</v>
      </c>
      <c r="E28" s="64" t="s">
        <v>584</v>
      </c>
      <c r="F28" s="63">
        <v>0.25</v>
      </c>
      <c r="G28" s="63">
        <v>0.66666666666666663</v>
      </c>
      <c r="H28" s="62">
        <v>10</v>
      </c>
      <c r="I28" s="61">
        <f t="shared" si="0"/>
        <v>10</v>
      </c>
      <c r="J28" s="61">
        <f t="shared" si="1"/>
        <v>10</v>
      </c>
      <c r="K28" s="59">
        <v>85</v>
      </c>
      <c r="L28" s="59">
        <f t="shared" si="2"/>
        <v>850</v>
      </c>
      <c r="M28" s="59">
        <v>159.5</v>
      </c>
      <c r="N28" s="60">
        <f t="shared" si="3"/>
        <v>1</v>
      </c>
      <c r="O28" s="59">
        <f t="shared" si="4"/>
        <v>159.5</v>
      </c>
      <c r="P28" s="58">
        <f t="shared" si="5"/>
        <v>1009.5</v>
      </c>
    </row>
    <row r="29" spans="1:16" ht="12">
      <c r="A29" s="65">
        <v>46219</v>
      </c>
      <c r="B29" s="64" t="s">
        <v>559</v>
      </c>
      <c r="C29" s="64" t="s">
        <v>583</v>
      </c>
      <c r="D29" s="64" t="s">
        <v>560</v>
      </c>
      <c r="E29" s="64" t="s">
        <v>585</v>
      </c>
      <c r="F29" s="63">
        <v>0.25</v>
      </c>
      <c r="G29" s="63">
        <v>0.66666666666666663</v>
      </c>
      <c r="H29" s="62">
        <v>10</v>
      </c>
      <c r="I29" s="61">
        <f t="shared" si="0"/>
        <v>10</v>
      </c>
      <c r="J29" s="61">
        <f t="shared" si="1"/>
        <v>10</v>
      </c>
      <c r="K29" s="59">
        <v>75</v>
      </c>
      <c r="L29" s="59">
        <f t="shared" si="2"/>
        <v>750</v>
      </c>
      <c r="M29" s="59">
        <v>159.5</v>
      </c>
      <c r="N29" s="60">
        <f t="shared" si="3"/>
        <v>1</v>
      </c>
      <c r="O29" s="59">
        <f t="shared" si="4"/>
        <v>159.5</v>
      </c>
      <c r="P29" s="58">
        <f t="shared" si="5"/>
        <v>909.5</v>
      </c>
    </row>
    <row r="30" spans="1:16" ht="12">
      <c r="A30" s="65">
        <v>46219</v>
      </c>
      <c r="B30" s="64" t="s">
        <v>559</v>
      </c>
      <c r="C30" s="64" t="s">
        <v>583</v>
      </c>
      <c r="D30" s="64" t="s">
        <v>563</v>
      </c>
      <c r="E30" s="64" t="s">
        <v>586</v>
      </c>
      <c r="F30" s="63">
        <v>0.25</v>
      </c>
      <c r="G30" s="63">
        <v>0.66666666666666663</v>
      </c>
      <c r="H30" s="62">
        <v>10</v>
      </c>
      <c r="I30" s="61">
        <f t="shared" si="0"/>
        <v>10</v>
      </c>
      <c r="J30" s="61">
        <f t="shared" si="1"/>
        <v>10</v>
      </c>
      <c r="K30" s="59">
        <v>75</v>
      </c>
      <c r="L30" s="59">
        <f t="shared" si="2"/>
        <v>750</v>
      </c>
      <c r="M30" s="59">
        <v>159.5</v>
      </c>
      <c r="N30" s="60">
        <f t="shared" si="3"/>
        <v>1</v>
      </c>
      <c r="O30" s="59">
        <f t="shared" si="4"/>
        <v>159.5</v>
      </c>
      <c r="P30" s="58">
        <f t="shared" si="5"/>
        <v>909.5</v>
      </c>
    </row>
    <row r="31" spans="1:16" ht="12">
      <c r="A31" s="65">
        <v>46220</v>
      </c>
      <c r="B31" s="64" t="s">
        <v>559</v>
      </c>
      <c r="C31" s="64" t="s">
        <v>583</v>
      </c>
      <c r="D31" s="64" t="s">
        <v>557</v>
      </c>
      <c r="E31" s="64" t="s">
        <v>584</v>
      </c>
      <c r="F31" s="63">
        <v>0.25</v>
      </c>
      <c r="G31" s="63">
        <v>0.66666666666666663</v>
      </c>
      <c r="H31" s="62">
        <v>10</v>
      </c>
      <c r="I31" s="61">
        <f t="shared" si="0"/>
        <v>10</v>
      </c>
      <c r="J31" s="61">
        <f t="shared" si="1"/>
        <v>10</v>
      </c>
      <c r="K31" s="59">
        <v>85</v>
      </c>
      <c r="L31" s="59">
        <f t="shared" si="2"/>
        <v>850</v>
      </c>
      <c r="M31" s="59">
        <v>159.5</v>
      </c>
      <c r="N31" s="60">
        <f t="shared" si="3"/>
        <v>1</v>
      </c>
      <c r="O31" s="59">
        <f t="shared" si="4"/>
        <v>159.5</v>
      </c>
      <c r="P31" s="58">
        <f t="shared" si="5"/>
        <v>1009.5</v>
      </c>
    </row>
    <row r="32" spans="1:16" ht="12">
      <c r="A32" s="65">
        <v>46220</v>
      </c>
      <c r="B32" s="64" t="s">
        <v>559</v>
      </c>
      <c r="C32" s="64" t="s">
        <v>583</v>
      </c>
      <c r="D32" s="64" t="s">
        <v>560</v>
      </c>
      <c r="E32" s="64" t="s">
        <v>585</v>
      </c>
      <c r="F32" s="63">
        <v>0.25</v>
      </c>
      <c r="G32" s="63">
        <v>0.66666666666666663</v>
      </c>
      <c r="H32" s="62">
        <v>10</v>
      </c>
      <c r="I32" s="61">
        <f t="shared" si="0"/>
        <v>10</v>
      </c>
      <c r="J32" s="61">
        <f t="shared" si="1"/>
        <v>10</v>
      </c>
      <c r="K32" s="59">
        <v>75</v>
      </c>
      <c r="L32" s="59">
        <f t="shared" si="2"/>
        <v>750</v>
      </c>
      <c r="M32" s="59">
        <v>159.5</v>
      </c>
      <c r="N32" s="60">
        <f t="shared" si="3"/>
        <v>1</v>
      </c>
      <c r="O32" s="59">
        <f t="shared" si="4"/>
        <v>159.5</v>
      </c>
      <c r="P32" s="58">
        <f t="shared" si="5"/>
        <v>909.5</v>
      </c>
    </row>
    <row r="33" spans="1:16" ht="12">
      <c r="A33" s="65">
        <v>46220</v>
      </c>
      <c r="B33" s="64" t="s">
        <v>559</v>
      </c>
      <c r="C33" s="64" t="s">
        <v>583</v>
      </c>
      <c r="D33" s="64" t="s">
        <v>563</v>
      </c>
      <c r="E33" s="64" t="s">
        <v>586</v>
      </c>
      <c r="F33" s="63">
        <v>0.25</v>
      </c>
      <c r="G33" s="63">
        <v>0.66666666666666663</v>
      </c>
      <c r="H33" s="62">
        <v>10</v>
      </c>
      <c r="I33" s="61">
        <f t="shared" si="0"/>
        <v>10</v>
      </c>
      <c r="J33" s="61">
        <f t="shared" si="1"/>
        <v>10</v>
      </c>
      <c r="K33" s="59">
        <v>75</v>
      </c>
      <c r="L33" s="59">
        <f t="shared" si="2"/>
        <v>750</v>
      </c>
      <c r="M33" s="59">
        <v>159.5</v>
      </c>
      <c r="N33" s="60">
        <f t="shared" si="3"/>
        <v>1</v>
      </c>
      <c r="O33" s="59">
        <f t="shared" si="4"/>
        <v>159.5</v>
      </c>
      <c r="P33" s="58">
        <f t="shared" si="5"/>
        <v>909.5</v>
      </c>
    </row>
    <row r="34" spans="1:16" ht="12">
      <c r="A34" s="65">
        <v>46221</v>
      </c>
      <c r="B34" s="64" t="s">
        <v>559</v>
      </c>
      <c r="C34" s="64" t="s">
        <v>583</v>
      </c>
      <c r="D34" s="64" t="s">
        <v>557</v>
      </c>
      <c r="E34" s="64" t="s">
        <v>584</v>
      </c>
      <c r="F34" s="63"/>
      <c r="G34" s="63"/>
      <c r="H34" s="62"/>
      <c r="I34" s="61">
        <f t="shared" ref="I34:I39" si="6">IF(OR(H34="Fatigue Day",H34=""),IF(AND(ISNUMBER(F34),ISNUMBER(G34)),MOD(G34-F34,1)*24,0),IF(ISNUMBER(H34),H34,IF(H34="No Charge",IF(AND(ISNUMBER(F34),ISNUMBER(G34)),MOD(G34-F34,1)*24,0),0)))</f>
        <v>0</v>
      </c>
      <c r="J34" s="61">
        <f t="shared" ref="J34:J39" si="7">IF(OR(H34="No Charge",H34="Fatigue Day"),0,I34)</f>
        <v>0</v>
      </c>
      <c r="K34" s="59">
        <v>85</v>
      </c>
      <c r="L34" s="59">
        <f t="shared" ref="L34:L39" si="8">J34*K34</f>
        <v>0</v>
      </c>
      <c r="M34" s="59">
        <v>159.5</v>
      </c>
      <c r="N34" s="60">
        <f t="shared" si="3"/>
        <v>1</v>
      </c>
      <c r="O34" s="59">
        <f t="shared" si="4"/>
        <v>159.5</v>
      </c>
      <c r="P34" s="58">
        <f t="shared" si="5"/>
        <v>159.5</v>
      </c>
    </row>
    <row r="35" spans="1:16" ht="12">
      <c r="A35" s="65">
        <v>46221</v>
      </c>
      <c r="B35" s="64" t="s">
        <v>559</v>
      </c>
      <c r="C35" s="64" t="s">
        <v>583</v>
      </c>
      <c r="D35" s="64" t="s">
        <v>560</v>
      </c>
      <c r="E35" s="64" t="s">
        <v>585</v>
      </c>
      <c r="F35" s="63"/>
      <c r="G35" s="63"/>
      <c r="H35" s="62"/>
      <c r="I35" s="61">
        <f t="shared" si="6"/>
        <v>0</v>
      </c>
      <c r="J35" s="61">
        <f t="shared" si="7"/>
        <v>0</v>
      </c>
      <c r="K35" s="59">
        <v>75</v>
      </c>
      <c r="L35" s="59">
        <f t="shared" si="8"/>
        <v>0</v>
      </c>
      <c r="M35" s="59">
        <v>159.5</v>
      </c>
      <c r="N35" s="60">
        <f t="shared" si="3"/>
        <v>1</v>
      </c>
      <c r="O35" s="59">
        <f t="shared" si="4"/>
        <v>159.5</v>
      </c>
      <c r="P35" s="58">
        <f t="shared" si="5"/>
        <v>159.5</v>
      </c>
    </row>
    <row r="36" spans="1:16" ht="12">
      <c r="A36" s="65">
        <v>46221</v>
      </c>
      <c r="B36" s="64" t="s">
        <v>559</v>
      </c>
      <c r="C36" s="64" t="s">
        <v>583</v>
      </c>
      <c r="D36" s="64" t="s">
        <v>563</v>
      </c>
      <c r="E36" s="64" t="s">
        <v>586</v>
      </c>
      <c r="F36" s="63"/>
      <c r="G36" s="63"/>
      <c r="H36" s="62"/>
      <c r="I36" s="61">
        <f t="shared" si="6"/>
        <v>0</v>
      </c>
      <c r="J36" s="61">
        <f t="shared" si="7"/>
        <v>0</v>
      </c>
      <c r="K36" s="59">
        <v>75</v>
      </c>
      <c r="L36" s="59">
        <f t="shared" si="8"/>
        <v>0</v>
      </c>
      <c r="M36" s="59">
        <v>159.5</v>
      </c>
      <c r="N36" s="60">
        <f t="shared" si="3"/>
        <v>1</v>
      </c>
      <c r="O36" s="59">
        <f t="shared" si="4"/>
        <v>159.5</v>
      </c>
      <c r="P36" s="58">
        <f t="shared" si="5"/>
        <v>159.5</v>
      </c>
    </row>
    <row r="37" spans="1:16" ht="12">
      <c r="A37" s="65">
        <v>46222</v>
      </c>
      <c r="B37" s="64" t="s">
        <v>559</v>
      </c>
      <c r="C37" s="64" t="s">
        <v>583</v>
      </c>
      <c r="D37" s="64" t="s">
        <v>557</v>
      </c>
      <c r="E37" s="64" t="s">
        <v>584</v>
      </c>
      <c r="F37" s="63"/>
      <c r="G37" s="63"/>
      <c r="H37" s="62"/>
      <c r="I37" s="61">
        <f t="shared" si="6"/>
        <v>0</v>
      </c>
      <c r="J37" s="61">
        <f t="shared" si="7"/>
        <v>0</v>
      </c>
      <c r="K37" s="59">
        <v>85</v>
      </c>
      <c r="L37" s="59">
        <f t="shared" si="8"/>
        <v>0</v>
      </c>
      <c r="M37" s="59">
        <v>159.5</v>
      </c>
      <c r="N37" s="60">
        <f t="shared" si="3"/>
        <v>1</v>
      </c>
      <c r="O37" s="59">
        <f t="shared" si="4"/>
        <v>159.5</v>
      </c>
      <c r="P37" s="58">
        <f t="shared" si="5"/>
        <v>159.5</v>
      </c>
    </row>
    <row r="38" spans="1:16" ht="12">
      <c r="A38" s="65">
        <v>46222</v>
      </c>
      <c r="B38" s="64" t="s">
        <v>559</v>
      </c>
      <c r="C38" s="64" t="s">
        <v>583</v>
      </c>
      <c r="D38" s="64" t="s">
        <v>560</v>
      </c>
      <c r="E38" s="64" t="s">
        <v>585</v>
      </c>
      <c r="F38" s="63"/>
      <c r="G38" s="63"/>
      <c r="H38" s="62"/>
      <c r="I38" s="61">
        <f t="shared" si="6"/>
        <v>0</v>
      </c>
      <c r="J38" s="61">
        <f t="shared" si="7"/>
        <v>0</v>
      </c>
      <c r="K38" s="59">
        <v>75</v>
      </c>
      <c r="L38" s="59">
        <f t="shared" si="8"/>
        <v>0</v>
      </c>
      <c r="M38" s="59">
        <v>159.5</v>
      </c>
      <c r="N38" s="60">
        <f t="shared" si="3"/>
        <v>1</v>
      </c>
      <c r="O38" s="59">
        <f t="shared" si="4"/>
        <v>159.5</v>
      </c>
      <c r="P38" s="58">
        <f t="shared" si="5"/>
        <v>159.5</v>
      </c>
    </row>
    <row r="39" spans="1:16" ht="12">
      <c r="A39" s="65">
        <v>46222</v>
      </c>
      <c r="B39" s="64" t="s">
        <v>559</v>
      </c>
      <c r="C39" s="64" t="s">
        <v>583</v>
      </c>
      <c r="D39" s="64" t="s">
        <v>563</v>
      </c>
      <c r="E39" s="64" t="s">
        <v>586</v>
      </c>
      <c r="F39" s="63"/>
      <c r="G39" s="63"/>
      <c r="H39" s="62"/>
      <c r="I39" s="61">
        <f t="shared" si="6"/>
        <v>0</v>
      </c>
      <c r="J39" s="61">
        <f t="shared" si="7"/>
        <v>0</v>
      </c>
      <c r="K39" s="59">
        <v>75</v>
      </c>
      <c r="L39" s="59">
        <f t="shared" si="8"/>
        <v>0</v>
      </c>
      <c r="M39" s="59">
        <v>159.5</v>
      </c>
      <c r="N39" s="60">
        <f t="shared" si="3"/>
        <v>1</v>
      </c>
      <c r="O39" s="59">
        <f t="shared" si="4"/>
        <v>159.5</v>
      </c>
      <c r="P39" s="58">
        <f t="shared" si="5"/>
        <v>159.5</v>
      </c>
    </row>
    <row r="40" spans="1:16" ht="12">
      <c r="A40" s="65">
        <v>46222</v>
      </c>
      <c r="B40" s="64" t="s">
        <v>559</v>
      </c>
      <c r="C40" s="64" t="s">
        <v>583</v>
      </c>
      <c r="D40" s="64" t="s">
        <v>566</v>
      </c>
      <c r="E40" s="64" t="s">
        <v>709</v>
      </c>
      <c r="F40" s="63">
        <v>0.25</v>
      </c>
      <c r="G40" s="63">
        <v>0.58333333333333337</v>
      </c>
      <c r="H40" s="62">
        <v>8</v>
      </c>
      <c r="I40" s="61">
        <f t="shared" si="0"/>
        <v>8</v>
      </c>
      <c r="J40" s="61">
        <f t="shared" si="1"/>
        <v>8</v>
      </c>
      <c r="K40" s="59">
        <v>75</v>
      </c>
      <c r="L40" s="59">
        <f t="shared" si="2"/>
        <v>600</v>
      </c>
      <c r="M40" s="59">
        <v>159.5</v>
      </c>
      <c r="N40" s="60">
        <f t="shared" si="3"/>
        <v>1</v>
      </c>
      <c r="O40" s="59">
        <f t="shared" si="4"/>
        <v>159.5</v>
      </c>
      <c r="P40" s="58">
        <f t="shared" si="5"/>
        <v>759.5</v>
      </c>
    </row>
    <row r="41" spans="1:16" ht="12">
      <c r="A41" s="65">
        <v>46223</v>
      </c>
      <c r="B41" s="64" t="s">
        <v>587</v>
      </c>
      <c r="C41" s="64" t="s">
        <v>583</v>
      </c>
      <c r="D41" s="64" t="s">
        <v>557</v>
      </c>
      <c r="E41" s="64" t="s">
        <v>584</v>
      </c>
      <c r="F41" s="63">
        <v>0.25</v>
      </c>
      <c r="G41" s="63">
        <v>0.66666666666666663</v>
      </c>
      <c r="H41" s="62" t="s">
        <v>588</v>
      </c>
      <c r="I41" s="61">
        <v>10</v>
      </c>
      <c r="J41" s="61">
        <f t="shared" si="1"/>
        <v>0</v>
      </c>
      <c r="K41" s="59">
        <v>85</v>
      </c>
      <c r="L41" s="59">
        <f t="shared" si="2"/>
        <v>0</v>
      </c>
      <c r="M41" s="59">
        <v>159.5</v>
      </c>
      <c r="N41" s="60">
        <f t="shared" si="3"/>
        <v>1</v>
      </c>
      <c r="O41" s="59">
        <f t="shared" si="4"/>
        <v>159.5</v>
      </c>
      <c r="P41" s="58">
        <f t="shared" si="5"/>
        <v>159.5</v>
      </c>
    </row>
    <row r="42" spans="1:16" ht="12">
      <c r="A42" s="65">
        <v>46223</v>
      </c>
      <c r="B42" s="64" t="s">
        <v>587</v>
      </c>
      <c r="C42" s="64" t="s">
        <v>583</v>
      </c>
      <c r="D42" s="64" t="s">
        <v>560</v>
      </c>
      <c r="E42" s="64" t="s">
        <v>585</v>
      </c>
      <c r="F42" s="63">
        <v>0.25</v>
      </c>
      <c r="G42" s="63">
        <v>0.66666666666666663</v>
      </c>
      <c r="H42" s="62">
        <v>10</v>
      </c>
      <c r="I42" s="61">
        <v>10</v>
      </c>
      <c r="J42" s="61">
        <f t="shared" si="1"/>
        <v>10</v>
      </c>
      <c r="K42" s="59">
        <v>85</v>
      </c>
      <c r="L42" s="59">
        <f t="shared" si="2"/>
        <v>850</v>
      </c>
      <c r="M42" s="59">
        <v>159.5</v>
      </c>
      <c r="N42" s="60">
        <f t="shared" si="3"/>
        <v>1</v>
      </c>
      <c r="O42" s="59">
        <f t="shared" si="4"/>
        <v>159.5</v>
      </c>
      <c r="P42" s="58">
        <f t="shared" si="5"/>
        <v>1009.5</v>
      </c>
    </row>
    <row r="43" spans="1:16" ht="12">
      <c r="A43" s="65">
        <v>46223</v>
      </c>
      <c r="B43" s="64" t="s">
        <v>587</v>
      </c>
      <c r="C43" s="64" t="s">
        <v>583</v>
      </c>
      <c r="D43" s="64" t="s">
        <v>563</v>
      </c>
      <c r="E43" s="64" t="s">
        <v>586</v>
      </c>
      <c r="F43" s="63">
        <v>0.25</v>
      </c>
      <c r="G43" s="63">
        <v>0.66666666666666663</v>
      </c>
      <c r="H43" s="62">
        <v>10</v>
      </c>
      <c r="I43" s="61">
        <v>10</v>
      </c>
      <c r="J43" s="61">
        <f t="shared" si="1"/>
        <v>10</v>
      </c>
      <c r="K43" s="59">
        <v>75</v>
      </c>
      <c r="L43" s="59">
        <f t="shared" si="2"/>
        <v>750</v>
      </c>
      <c r="M43" s="59">
        <v>159.5</v>
      </c>
      <c r="N43" s="60">
        <f t="shared" si="3"/>
        <v>1</v>
      </c>
      <c r="O43" s="59">
        <f t="shared" si="4"/>
        <v>159.5</v>
      </c>
      <c r="P43" s="58">
        <f t="shared" si="5"/>
        <v>909.5</v>
      </c>
    </row>
    <row r="44" spans="1:16" ht="12">
      <c r="A44" s="65">
        <v>46223</v>
      </c>
      <c r="B44" s="64" t="s">
        <v>587</v>
      </c>
      <c r="C44" s="64" t="s">
        <v>583</v>
      </c>
      <c r="D44" s="64" t="s">
        <v>566</v>
      </c>
      <c r="E44" s="64" t="s">
        <v>709</v>
      </c>
      <c r="F44" s="63">
        <v>0.25</v>
      </c>
      <c r="G44" s="63">
        <v>0.66666666666666663</v>
      </c>
      <c r="H44" s="62">
        <v>10</v>
      </c>
      <c r="I44" s="61">
        <v>10</v>
      </c>
      <c r="J44" s="61">
        <f t="shared" si="1"/>
        <v>10</v>
      </c>
      <c r="K44" s="59">
        <v>75</v>
      </c>
      <c r="L44" s="59">
        <f t="shared" si="2"/>
        <v>750</v>
      </c>
      <c r="M44" s="59">
        <v>159.5</v>
      </c>
      <c r="N44" s="60">
        <f t="shared" si="3"/>
        <v>1</v>
      </c>
      <c r="O44" s="59">
        <f t="shared" si="4"/>
        <v>159.5</v>
      </c>
      <c r="P44" s="58">
        <f t="shared" si="5"/>
        <v>909.5</v>
      </c>
    </row>
    <row r="45" spans="1:16" ht="12">
      <c r="A45" s="65">
        <v>46224</v>
      </c>
      <c r="B45" s="64" t="s">
        <v>587</v>
      </c>
      <c r="C45" s="64" t="s">
        <v>583</v>
      </c>
      <c r="D45" s="64" t="s">
        <v>557</v>
      </c>
      <c r="E45" s="64" t="s">
        <v>584</v>
      </c>
      <c r="F45" s="63">
        <v>0.25</v>
      </c>
      <c r="G45" s="63">
        <v>0.66666666666666663</v>
      </c>
      <c r="H45" s="62" t="s">
        <v>588</v>
      </c>
      <c r="I45" s="61">
        <v>10</v>
      </c>
      <c r="J45" s="61">
        <f t="shared" si="1"/>
        <v>0</v>
      </c>
      <c r="K45" s="59">
        <v>85</v>
      </c>
      <c r="L45" s="59">
        <f t="shared" si="2"/>
        <v>0</v>
      </c>
      <c r="M45" s="59">
        <v>159.5</v>
      </c>
      <c r="N45" s="60">
        <f t="shared" si="3"/>
        <v>1</v>
      </c>
      <c r="O45" s="59">
        <f t="shared" si="4"/>
        <v>159.5</v>
      </c>
      <c r="P45" s="58">
        <f t="shared" si="5"/>
        <v>159.5</v>
      </c>
    </row>
    <row r="46" spans="1:16" ht="12">
      <c r="A46" s="65">
        <v>46224</v>
      </c>
      <c r="B46" s="64" t="s">
        <v>587</v>
      </c>
      <c r="C46" s="64" t="s">
        <v>583</v>
      </c>
      <c r="D46" s="64" t="s">
        <v>560</v>
      </c>
      <c r="E46" s="64" t="s">
        <v>585</v>
      </c>
      <c r="F46" s="63">
        <v>0.25</v>
      </c>
      <c r="G46" s="63">
        <v>0.66666666666666663</v>
      </c>
      <c r="H46" s="62">
        <v>10</v>
      </c>
      <c r="I46" s="61">
        <v>10</v>
      </c>
      <c r="J46" s="61">
        <f t="shared" si="1"/>
        <v>10</v>
      </c>
      <c r="K46" s="59">
        <v>85</v>
      </c>
      <c r="L46" s="59">
        <f t="shared" si="2"/>
        <v>850</v>
      </c>
      <c r="M46" s="59">
        <v>159.5</v>
      </c>
      <c r="N46" s="60">
        <f t="shared" si="3"/>
        <v>1</v>
      </c>
      <c r="O46" s="59">
        <f t="shared" si="4"/>
        <v>159.5</v>
      </c>
      <c r="P46" s="58">
        <f t="shared" si="5"/>
        <v>1009.5</v>
      </c>
    </row>
    <row r="47" spans="1:16" ht="12">
      <c r="A47" s="65">
        <v>46224</v>
      </c>
      <c r="B47" s="64" t="s">
        <v>587</v>
      </c>
      <c r="C47" s="64" t="s">
        <v>583</v>
      </c>
      <c r="D47" s="64" t="s">
        <v>563</v>
      </c>
      <c r="E47" s="64" t="s">
        <v>586</v>
      </c>
      <c r="F47" s="63">
        <v>0.25</v>
      </c>
      <c r="G47" s="63">
        <v>0.66666666666666663</v>
      </c>
      <c r="H47" s="62">
        <v>10</v>
      </c>
      <c r="I47" s="61">
        <v>10</v>
      </c>
      <c r="J47" s="61">
        <f t="shared" si="1"/>
        <v>10</v>
      </c>
      <c r="K47" s="59">
        <v>75</v>
      </c>
      <c r="L47" s="59">
        <f t="shared" si="2"/>
        <v>750</v>
      </c>
      <c r="M47" s="59">
        <v>159.5</v>
      </c>
      <c r="N47" s="60">
        <f t="shared" si="3"/>
        <v>1</v>
      </c>
      <c r="O47" s="59">
        <f t="shared" si="4"/>
        <v>159.5</v>
      </c>
      <c r="P47" s="58">
        <f t="shared" si="5"/>
        <v>909.5</v>
      </c>
    </row>
    <row r="48" spans="1:16" ht="12">
      <c r="A48" s="65">
        <v>46224</v>
      </c>
      <c r="B48" s="64" t="s">
        <v>587</v>
      </c>
      <c r="C48" s="64" t="s">
        <v>583</v>
      </c>
      <c r="D48" s="64" t="s">
        <v>566</v>
      </c>
      <c r="E48" s="64" t="s">
        <v>709</v>
      </c>
      <c r="F48" s="63">
        <v>0.25</v>
      </c>
      <c r="G48" s="63">
        <v>0.66666666666666663</v>
      </c>
      <c r="H48" s="62">
        <v>10</v>
      </c>
      <c r="I48" s="61">
        <v>10</v>
      </c>
      <c r="J48" s="61">
        <f t="shared" ref="J48:J83" si="9">IF(OR(H48="No Charge",H48="Fatigue Day"),0,I48)</f>
        <v>10</v>
      </c>
      <c r="K48" s="59">
        <v>75</v>
      </c>
      <c r="L48" s="59">
        <f t="shared" ref="L48:L83" si="10">J48*K48</f>
        <v>750</v>
      </c>
      <c r="M48" s="59">
        <v>159.5</v>
      </c>
      <c r="N48" s="60">
        <f t="shared" ref="N48:N83" si="11">IF(M48&gt;0,1,0)</f>
        <v>1</v>
      </c>
      <c r="O48" s="59">
        <f t="shared" ref="O48:O83" si="12">M48*N48</f>
        <v>159.5</v>
      </c>
      <c r="P48" s="58">
        <f t="shared" ref="P48:P83" si="13">L48+O48</f>
        <v>909.5</v>
      </c>
    </row>
    <row r="49" spans="1:16" ht="12">
      <c r="A49" s="65">
        <v>46225</v>
      </c>
      <c r="B49" s="64" t="s">
        <v>587</v>
      </c>
      <c r="C49" s="64" t="s">
        <v>583</v>
      </c>
      <c r="D49" s="64" t="s">
        <v>557</v>
      </c>
      <c r="E49" s="64" t="s">
        <v>584</v>
      </c>
      <c r="F49" s="63">
        <v>0.25</v>
      </c>
      <c r="G49" s="63">
        <v>0.66666666666666663</v>
      </c>
      <c r="H49" s="62" t="s">
        <v>588</v>
      </c>
      <c r="I49" s="61">
        <v>10</v>
      </c>
      <c r="J49" s="61">
        <f t="shared" si="9"/>
        <v>0</v>
      </c>
      <c r="K49" s="59">
        <v>85</v>
      </c>
      <c r="L49" s="59">
        <f t="shared" si="10"/>
        <v>0</v>
      </c>
      <c r="M49" s="59">
        <v>159.5</v>
      </c>
      <c r="N49" s="60">
        <f t="shared" si="11"/>
        <v>1</v>
      </c>
      <c r="O49" s="59">
        <f t="shared" si="12"/>
        <v>159.5</v>
      </c>
      <c r="P49" s="58">
        <f t="shared" si="13"/>
        <v>159.5</v>
      </c>
    </row>
    <row r="50" spans="1:16" ht="12">
      <c r="A50" s="65">
        <v>46225</v>
      </c>
      <c r="B50" s="64" t="s">
        <v>587</v>
      </c>
      <c r="C50" s="64" t="s">
        <v>583</v>
      </c>
      <c r="D50" s="64" t="s">
        <v>560</v>
      </c>
      <c r="E50" s="64" t="s">
        <v>585</v>
      </c>
      <c r="F50" s="63">
        <v>0.25</v>
      </c>
      <c r="G50" s="63">
        <v>0.66666666666666663</v>
      </c>
      <c r="H50" s="62">
        <v>10</v>
      </c>
      <c r="I50" s="61">
        <v>10</v>
      </c>
      <c r="J50" s="61">
        <f t="shared" si="9"/>
        <v>10</v>
      </c>
      <c r="K50" s="59">
        <v>85</v>
      </c>
      <c r="L50" s="59">
        <f t="shared" si="10"/>
        <v>850</v>
      </c>
      <c r="M50" s="59">
        <v>159.5</v>
      </c>
      <c r="N50" s="60">
        <f t="shared" si="11"/>
        <v>1</v>
      </c>
      <c r="O50" s="59">
        <f t="shared" si="12"/>
        <v>159.5</v>
      </c>
      <c r="P50" s="58">
        <f t="shared" si="13"/>
        <v>1009.5</v>
      </c>
    </row>
    <row r="51" spans="1:16" ht="12">
      <c r="A51" s="65">
        <v>46225</v>
      </c>
      <c r="B51" s="64" t="s">
        <v>587</v>
      </c>
      <c r="C51" s="64" t="s">
        <v>583</v>
      </c>
      <c r="D51" s="64" t="s">
        <v>563</v>
      </c>
      <c r="E51" s="64" t="s">
        <v>586</v>
      </c>
      <c r="F51" s="63">
        <v>0.25</v>
      </c>
      <c r="G51" s="63">
        <v>0.66666666666666663</v>
      </c>
      <c r="H51" s="62">
        <v>10</v>
      </c>
      <c r="I51" s="61">
        <v>10</v>
      </c>
      <c r="J51" s="61">
        <f t="shared" si="9"/>
        <v>10</v>
      </c>
      <c r="K51" s="59">
        <v>75</v>
      </c>
      <c r="L51" s="59">
        <f t="shared" si="10"/>
        <v>750</v>
      </c>
      <c r="M51" s="59">
        <v>159.5</v>
      </c>
      <c r="N51" s="60">
        <f t="shared" si="11"/>
        <v>1</v>
      </c>
      <c r="O51" s="59">
        <f t="shared" si="12"/>
        <v>159.5</v>
      </c>
      <c r="P51" s="58">
        <f t="shared" si="13"/>
        <v>909.5</v>
      </c>
    </row>
    <row r="52" spans="1:16" ht="12">
      <c r="A52" s="65">
        <v>46225</v>
      </c>
      <c r="B52" s="64" t="s">
        <v>587</v>
      </c>
      <c r="C52" s="64" t="s">
        <v>583</v>
      </c>
      <c r="D52" s="64" t="s">
        <v>563</v>
      </c>
      <c r="E52" s="64" t="s">
        <v>590</v>
      </c>
      <c r="F52" s="63">
        <v>0.25</v>
      </c>
      <c r="G52" s="63">
        <v>0.66666666666666663</v>
      </c>
      <c r="H52" s="62">
        <v>8</v>
      </c>
      <c r="I52" s="61">
        <v>8</v>
      </c>
      <c r="J52" s="61">
        <f t="shared" ref="J52" si="14">IF(OR(H52="No Charge",H52="Fatigue Day"),0,I52)</f>
        <v>8</v>
      </c>
      <c r="K52" s="59">
        <v>75</v>
      </c>
      <c r="L52" s="59">
        <f t="shared" ref="L52" si="15">J52*K52</f>
        <v>600</v>
      </c>
      <c r="M52" s="59">
        <v>159.5</v>
      </c>
      <c r="N52" s="60">
        <f t="shared" ref="N52" si="16">IF(M52&gt;0,1,0)</f>
        <v>1</v>
      </c>
      <c r="O52" s="59">
        <f t="shared" ref="O52" si="17">M52*N52</f>
        <v>159.5</v>
      </c>
      <c r="P52" s="58">
        <f t="shared" ref="P52" si="18">L52+O52</f>
        <v>759.5</v>
      </c>
    </row>
    <row r="53" spans="1:16" ht="12">
      <c r="A53" s="65">
        <v>46225</v>
      </c>
      <c r="B53" s="64" t="s">
        <v>587</v>
      </c>
      <c r="C53" s="64" t="s">
        <v>583</v>
      </c>
      <c r="D53" s="64" t="s">
        <v>566</v>
      </c>
      <c r="E53" s="64" t="s">
        <v>709</v>
      </c>
      <c r="F53" s="63">
        <v>0.25</v>
      </c>
      <c r="G53" s="63">
        <v>0.66666666666666663</v>
      </c>
      <c r="H53" s="62">
        <v>10</v>
      </c>
      <c r="I53" s="61">
        <v>10</v>
      </c>
      <c r="J53" s="61">
        <f t="shared" si="9"/>
        <v>10</v>
      </c>
      <c r="K53" s="59">
        <v>75</v>
      </c>
      <c r="L53" s="59">
        <f t="shared" si="10"/>
        <v>750</v>
      </c>
      <c r="M53" s="59">
        <v>159.5</v>
      </c>
      <c r="N53" s="60">
        <f t="shared" si="11"/>
        <v>1</v>
      </c>
      <c r="O53" s="59">
        <f t="shared" si="12"/>
        <v>159.5</v>
      </c>
      <c r="P53" s="58">
        <f t="shared" si="13"/>
        <v>909.5</v>
      </c>
    </row>
    <row r="54" spans="1:16" ht="12">
      <c r="A54" s="65">
        <v>46226</v>
      </c>
      <c r="B54" s="64" t="s">
        <v>587</v>
      </c>
      <c r="C54" s="64" t="s">
        <v>583</v>
      </c>
      <c r="D54" s="64" t="s">
        <v>557</v>
      </c>
      <c r="E54" s="64" t="s">
        <v>584</v>
      </c>
      <c r="F54" s="63">
        <v>0.25</v>
      </c>
      <c r="G54" s="63">
        <v>0.66666666666666663</v>
      </c>
      <c r="H54" s="62" t="s">
        <v>588</v>
      </c>
      <c r="I54" s="61">
        <v>10</v>
      </c>
      <c r="J54" s="61">
        <f t="shared" si="9"/>
        <v>0</v>
      </c>
      <c r="K54" s="59">
        <v>85</v>
      </c>
      <c r="L54" s="59">
        <f t="shared" si="10"/>
        <v>0</v>
      </c>
      <c r="M54" s="59">
        <v>159.5</v>
      </c>
      <c r="N54" s="60">
        <f t="shared" si="11"/>
        <v>1</v>
      </c>
      <c r="O54" s="59">
        <f t="shared" si="12"/>
        <v>159.5</v>
      </c>
      <c r="P54" s="58">
        <f t="shared" si="13"/>
        <v>159.5</v>
      </c>
    </row>
    <row r="55" spans="1:16" ht="12">
      <c r="A55" s="65">
        <v>46226</v>
      </c>
      <c r="B55" s="64" t="s">
        <v>587</v>
      </c>
      <c r="C55" s="64" t="s">
        <v>583</v>
      </c>
      <c r="D55" s="64" t="s">
        <v>560</v>
      </c>
      <c r="E55" s="64" t="s">
        <v>585</v>
      </c>
      <c r="F55" s="63"/>
      <c r="G55" s="63"/>
      <c r="H55" s="62" t="s">
        <v>589</v>
      </c>
      <c r="I55" s="61">
        <v>10</v>
      </c>
      <c r="J55" s="61">
        <f t="shared" si="9"/>
        <v>0</v>
      </c>
      <c r="K55" s="59">
        <v>75</v>
      </c>
      <c r="L55" s="59">
        <f t="shared" si="10"/>
        <v>0</v>
      </c>
      <c r="M55" s="59">
        <v>159.5</v>
      </c>
      <c r="N55" s="60">
        <f t="shared" si="11"/>
        <v>1</v>
      </c>
      <c r="O55" s="59">
        <f t="shared" si="12"/>
        <v>159.5</v>
      </c>
      <c r="P55" s="58">
        <f t="shared" si="13"/>
        <v>159.5</v>
      </c>
    </row>
    <row r="56" spans="1:16" ht="12">
      <c r="A56" s="65">
        <v>46226</v>
      </c>
      <c r="B56" s="64" t="s">
        <v>587</v>
      </c>
      <c r="C56" s="64" t="s">
        <v>583</v>
      </c>
      <c r="D56" s="64" t="s">
        <v>563</v>
      </c>
      <c r="E56" s="64" t="s">
        <v>590</v>
      </c>
      <c r="F56" s="63">
        <v>0.25</v>
      </c>
      <c r="G56" s="63">
        <v>0.66666666666666663</v>
      </c>
      <c r="H56" s="62">
        <v>10</v>
      </c>
      <c r="I56" s="61">
        <v>10</v>
      </c>
      <c r="J56" s="61">
        <f t="shared" si="9"/>
        <v>10</v>
      </c>
      <c r="K56" s="59">
        <v>75</v>
      </c>
      <c r="L56" s="59">
        <f t="shared" si="10"/>
        <v>750</v>
      </c>
      <c r="M56" s="59">
        <v>159.5</v>
      </c>
      <c r="N56" s="60">
        <f t="shared" si="11"/>
        <v>1</v>
      </c>
      <c r="O56" s="59">
        <f t="shared" si="12"/>
        <v>159.5</v>
      </c>
      <c r="P56" s="58">
        <f t="shared" si="13"/>
        <v>909.5</v>
      </c>
    </row>
    <row r="57" spans="1:16" ht="12">
      <c r="A57" s="65">
        <v>46226</v>
      </c>
      <c r="B57" s="64" t="s">
        <v>587</v>
      </c>
      <c r="C57" s="64" t="s">
        <v>583</v>
      </c>
      <c r="D57" s="64" t="s">
        <v>563</v>
      </c>
      <c r="E57" s="64" t="s">
        <v>586</v>
      </c>
      <c r="F57" s="63">
        <v>0.25</v>
      </c>
      <c r="G57" s="63">
        <v>0.66666666666666663</v>
      </c>
      <c r="H57" s="62">
        <v>10</v>
      </c>
      <c r="I57" s="61">
        <v>10</v>
      </c>
      <c r="J57" s="61">
        <f t="shared" si="9"/>
        <v>10</v>
      </c>
      <c r="K57" s="59">
        <v>75</v>
      </c>
      <c r="L57" s="59">
        <f t="shared" si="10"/>
        <v>750</v>
      </c>
      <c r="M57" s="59">
        <v>159.5</v>
      </c>
      <c r="N57" s="60">
        <f t="shared" si="11"/>
        <v>1</v>
      </c>
      <c r="O57" s="59">
        <f t="shared" si="12"/>
        <v>159.5</v>
      </c>
      <c r="P57" s="58">
        <f t="shared" si="13"/>
        <v>909.5</v>
      </c>
    </row>
    <row r="58" spans="1:16" ht="12">
      <c r="A58" s="65">
        <v>46226</v>
      </c>
      <c r="B58" s="64" t="s">
        <v>587</v>
      </c>
      <c r="C58" s="64" t="s">
        <v>583</v>
      </c>
      <c r="D58" s="64" t="s">
        <v>566</v>
      </c>
      <c r="E58" s="64" t="s">
        <v>709</v>
      </c>
      <c r="F58" s="63">
        <v>0.25</v>
      </c>
      <c r="G58" s="63">
        <v>0.66666666666666663</v>
      </c>
      <c r="H58" s="62">
        <v>10</v>
      </c>
      <c r="I58" s="61">
        <v>10</v>
      </c>
      <c r="J58" s="61">
        <f t="shared" si="9"/>
        <v>10</v>
      </c>
      <c r="K58" s="59">
        <v>75</v>
      </c>
      <c r="L58" s="59">
        <f t="shared" si="10"/>
        <v>750</v>
      </c>
      <c r="M58" s="59">
        <v>159.5</v>
      </c>
      <c r="N58" s="60">
        <f t="shared" si="11"/>
        <v>1</v>
      </c>
      <c r="O58" s="59">
        <f t="shared" si="12"/>
        <v>159.5</v>
      </c>
      <c r="P58" s="58">
        <f t="shared" si="13"/>
        <v>909.5</v>
      </c>
    </row>
    <row r="59" spans="1:16" ht="12">
      <c r="A59" s="65">
        <v>46227</v>
      </c>
      <c r="B59" s="64" t="s">
        <v>587</v>
      </c>
      <c r="C59" s="64" t="s">
        <v>583</v>
      </c>
      <c r="D59" s="64" t="s">
        <v>557</v>
      </c>
      <c r="E59" s="64" t="s">
        <v>584</v>
      </c>
      <c r="F59" s="63">
        <v>0.25</v>
      </c>
      <c r="G59" s="63">
        <v>0.66666666666666663</v>
      </c>
      <c r="H59" s="62" t="s">
        <v>588</v>
      </c>
      <c r="I59" s="61">
        <v>10</v>
      </c>
      <c r="J59" s="61">
        <f t="shared" si="9"/>
        <v>0</v>
      </c>
      <c r="K59" s="59">
        <v>85</v>
      </c>
      <c r="L59" s="59">
        <f t="shared" si="10"/>
        <v>0</v>
      </c>
      <c r="M59" s="59">
        <v>159.5</v>
      </c>
      <c r="N59" s="60">
        <f t="shared" si="11"/>
        <v>1</v>
      </c>
      <c r="O59" s="59">
        <f t="shared" si="12"/>
        <v>159.5</v>
      </c>
      <c r="P59" s="58">
        <f t="shared" si="13"/>
        <v>159.5</v>
      </c>
    </row>
    <row r="60" spans="1:16" ht="12">
      <c r="A60" s="65">
        <v>46227</v>
      </c>
      <c r="B60" s="64" t="s">
        <v>587</v>
      </c>
      <c r="C60" s="64" t="s">
        <v>583</v>
      </c>
      <c r="D60" s="64" t="s">
        <v>560</v>
      </c>
      <c r="E60" s="64" t="s">
        <v>585</v>
      </c>
      <c r="F60" s="63">
        <v>0.25</v>
      </c>
      <c r="G60" s="63">
        <v>0.66666666666666663</v>
      </c>
      <c r="H60" s="62">
        <v>10</v>
      </c>
      <c r="I60" s="61">
        <v>10</v>
      </c>
      <c r="J60" s="61">
        <f t="shared" si="9"/>
        <v>10</v>
      </c>
      <c r="K60" s="59">
        <v>85</v>
      </c>
      <c r="L60" s="59">
        <f t="shared" si="10"/>
        <v>850</v>
      </c>
      <c r="M60" s="59">
        <v>159.5</v>
      </c>
      <c r="N60" s="60">
        <f t="shared" si="11"/>
        <v>1</v>
      </c>
      <c r="O60" s="59">
        <f t="shared" si="12"/>
        <v>159.5</v>
      </c>
      <c r="P60" s="58">
        <f t="shared" si="13"/>
        <v>1009.5</v>
      </c>
    </row>
    <row r="61" spans="1:16" ht="12">
      <c r="A61" s="65">
        <v>46227</v>
      </c>
      <c r="B61" s="64" t="s">
        <v>587</v>
      </c>
      <c r="C61" s="64" t="s">
        <v>583</v>
      </c>
      <c r="D61" s="64" t="s">
        <v>563</v>
      </c>
      <c r="E61" s="64" t="s">
        <v>590</v>
      </c>
      <c r="F61" s="63">
        <v>0.25</v>
      </c>
      <c r="G61" s="63">
        <v>0.66666666666666663</v>
      </c>
      <c r="H61" s="62">
        <v>10</v>
      </c>
      <c r="I61" s="61">
        <v>10</v>
      </c>
      <c r="J61" s="61">
        <f t="shared" si="9"/>
        <v>10</v>
      </c>
      <c r="K61" s="59">
        <v>75</v>
      </c>
      <c r="L61" s="59">
        <f t="shared" si="10"/>
        <v>750</v>
      </c>
      <c r="M61" s="59">
        <v>159.5</v>
      </c>
      <c r="N61" s="60">
        <f t="shared" si="11"/>
        <v>1</v>
      </c>
      <c r="O61" s="59">
        <f t="shared" si="12"/>
        <v>159.5</v>
      </c>
      <c r="P61" s="58">
        <f t="shared" si="13"/>
        <v>909.5</v>
      </c>
    </row>
    <row r="62" spans="1:16" ht="12">
      <c r="A62" s="65">
        <v>46227</v>
      </c>
      <c r="B62" s="64" t="s">
        <v>587</v>
      </c>
      <c r="C62" s="64" t="s">
        <v>583</v>
      </c>
      <c r="D62" s="64" t="s">
        <v>563</v>
      </c>
      <c r="E62" s="64" t="s">
        <v>586</v>
      </c>
      <c r="F62" s="63"/>
      <c r="G62" s="63"/>
      <c r="H62" s="62" t="s">
        <v>589</v>
      </c>
      <c r="I62" s="61">
        <f t="shared" ref="I62:I83" si="19">IF(OR(H62="Fatigue Day",H62=""),IF(AND(ISNUMBER(F62),ISNUMBER(G62)),MOD(G62-F62,1)*24,0),IF(ISNUMBER(H62),H62,IF(H62="No Charge",IF(AND(ISNUMBER(F62),ISNUMBER(G62)),MOD(G62-F62,1)*24,0),0)))</f>
        <v>0</v>
      </c>
      <c r="J62" s="61">
        <f t="shared" si="9"/>
        <v>0</v>
      </c>
      <c r="K62" s="59">
        <v>75</v>
      </c>
      <c r="L62" s="59">
        <f t="shared" si="10"/>
        <v>0</v>
      </c>
      <c r="M62" s="59">
        <v>159.5</v>
      </c>
      <c r="N62" s="60">
        <f t="shared" si="11"/>
        <v>1</v>
      </c>
      <c r="O62" s="59">
        <f t="shared" si="12"/>
        <v>159.5</v>
      </c>
      <c r="P62" s="58">
        <f t="shared" si="13"/>
        <v>159.5</v>
      </c>
    </row>
    <row r="63" spans="1:16" ht="12">
      <c r="A63" s="65">
        <v>46227</v>
      </c>
      <c r="B63" s="64" t="s">
        <v>587</v>
      </c>
      <c r="C63" s="64" t="s">
        <v>583</v>
      </c>
      <c r="D63" s="64" t="s">
        <v>566</v>
      </c>
      <c r="E63" s="64" t="s">
        <v>709</v>
      </c>
      <c r="F63" s="63">
        <v>0.25</v>
      </c>
      <c r="G63" s="63">
        <v>0.66666666666666663</v>
      </c>
      <c r="H63" s="62">
        <v>10</v>
      </c>
      <c r="I63" s="61">
        <v>10</v>
      </c>
      <c r="J63" s="61">
        <f t="shared" si="9"/>
        <v>10</v>
      </c>
      <c r="K63" s="59">
        <v>75</v>
      </c>
      <c r="L63" s="59">
        <f t="shared" si="10"/>
        <v>750</v>
      </c>
      <c r="M63" s="59">
        <v>159.5</v>
      </c>
      <c r="N63" s="60">
        <f t="shared" si="11"/>
        <v>1</v>
      </c>
      <c r="O63" s="59">
        <f t="shared" si="12"/>
        <v>159.5</v>
      </c>
      <c r="P63" s="58">
        <f t="shared" si="13"/>
        <v>909.5</v>
      </c>
    </row>
    <row r="64" spans="1:16" ht="12">
      <c r="A64" s="65">
        <v>46227</v>
      </c>
      <c r="B64" s="64" t="s">
        <v>587</v>
      </c>
      <c r="C64" s="64" t="s">
        <v>583</v>
      </c>
      <c r="D64" s="64" t="s">
        <v>569</v>
      </c>
      <c r="E64" s="64" t="s">
        <v>620</v>
      </c>
      <c r="F64" s="63">
        <v>0.25</v>
      </c>
      <c r="G64" s="63">
        <v>0.58333333333333337</v>
      </c>
      <c r="H64" s="62">
        <v>8</v>
      </c>
      <c r="I64" s="61">
        <f t="shared" ref="I64" si="20">IF(OR(H64="Fatigue Day",H64=""),IF(AND(ISNUMBER(F64),ISNUMBER(G64)),MOD(G64-F64,1)*24,0),IF(ISNUMBER(H64),H64,IF(H64="No Charge",IF(AND(ISNUMBER(F64),ISNUMBER(G64)),MOD(G64-F64,1)*24,0),0)))</f>
        <v>8</v>
      </c>
      <c r="J64" s="61">
        <f t="shared" si="9"/>
        <v>8</v>
      </c>
      <c r="K64" s="59">
        <v>75</v>
      </c>
      <c r="L64" s="59">
        <f t="shared" si="10"/>
        <v>600</v>
      </c>
      <c r="M64" s="59">
        <v>159.5</v>
      </c>
      <c r="N64" s="60">
        <f t="shared" si="11"/>
        <v>1</v>
      </c>
      <c r="O64" s="59">
        <f t="shared" si="12"/>
        <v>159.5</v>
      </c>
      <c r="P64" s="58">
        <f t="shared" si="13"/>
        <v>759.5</v>
      </c>
    </row>
    <row r="65" spans="1:16" ht="12">
      <c r="A65" s="65">
        <v>46228</v>
      </c>
      <c r="B65" s="64" t="s">
        <v>587</v>
      </c>
      <c r="C65" s="64" t="s">
        <v>583</v>
      </c>
      <c r="D65" s="64" t="s">
        <v>557</v>
      </c>
      <c r="E65" s="64" t="s">
        <v>584</v>
      </c>
      <c r="F65" s="63">
        <v>0.25</v>
      </c>
      <c r="G65" s="63">
        <v>0.75</v>
      </c>
      <c r="H65" s="62" t="s">
        <v>588</v>
      </c>
      <c r="I65" s="61">
        <v>12</v>
      </c>
      <c r="J65" s="61">
        <f t="shared" si="9"/>
        <v>0</v>
      </c>
      <c r="K65" s="59">
        <v>85</v>
      </c>
      <c r="L65" s="59">
        <f t="shared" si="10"/>
        <v>0</v>
      </c>
      <c r="M65" s="59">
        <v>159.5</v>
      </c>
      <c r="N65" s="60">
        <f t="shared" si="11"/>
        <v>1</v>
      </c>
      <c r="O65" s="59">
        <f t="shared" si="12"/>
        <v>159.5</v>
      </c>
      <c r="P65" s="58">
        <f t="shared" si="13"/>
        <v>159.5</v>
      </c>
    </row>
    <row r="66" spans="1:16" ht="12">
      <c r="A66" s="65">
        <v>46228</v>
      </c>
      <c r="B66" s="64" t="s">
        <v>587</v>
      </c>
      <c r="C66" s="64" t="s">
        <v>583</v>
      </c>
      <c r="D66" s="64" t="s">
        <v>560</v>
      </c>
      <c r="E66" s="64" t="s">
        <v>585</v>
      </c>
      <c r="F66" s="63">
        <v>0.25</v>
      </c>
      <c r="G66" s="63">
        <v>0.75</v>
      </c>
      <c r="H66" s="62">
        <v>12</v>
      </c>
      <c r="I66" s="61">
        <f t="shared" si="19"/>
        <v>12</v>
      </c>
      <c r="J66" s="61">
        <f t="shared" si="9"/>
        <v>12</v>
      </c>
      <c r="K66" s="59">
        <v>85</v>
      </c>
      <c r="L66" s="59">
        <f t="shared" si="10"/>
        <v>1020</v>
      </c>
      <c r="M66" s="59">
        <v>159.5</v>
      </c>
      <c r="N66" s="60">
        <f t="shared" si="11"/>
        <v>1</v>
      </c>
      <c r="O66" s="59">
        <f t="shared" si="12"/>
        <v>159.5</v>
      </c>
      <c r="P66" s="58">
        <f t="shared" si="13"/>
        <v>1179.5</v>
      </c>
    </row>
    <row r="67" spans="1:16" ht="12">
      <c r="A67" s="65">
        <v>46228</v>
      </c>
      <c r="B67" s="64" t="s">
        <v>587</v>
      </c>
      <c r="C67" s="64" t="s">
        <v>583</v>
      </c>
      <c r="D67" s="64" t="s">
        <v>563</v>
      </c>
      <c r="E67" s="64" t="s">
        <v>586</v>
      </c>
      <c r="F67" s="63">
        <v>0.25</v>
      </c>
      <c r="G67" s="63">
        <v>0.75</v>
      </c>
      <c r="H67" s="62">
        <v>12</v>
      </c>
      <c r="I67" s="61">
        <f t="shared" si="19"/>
        <v>12</v>
      </c>
      <c r="J67" s="61">
        <f t="shared" si="9"/>
        <v>12</v>
      </c>
      <c r="K67" s="59">
        <v>75</v>
      </c>
      <c r="L67" s="59">
        <f t="shared" si="10"/>
        <v>900</v>
      </c>
      <c r="M67" s="59">
        <v>159.5</v>
      </c>
      <c r="N67" s="60">
        <f t="shared" si="11"/>
        <v>1</v>
      </c>
      <c r="O67" s="59">
        <f t="shared" si="12"/>
        <v>159.5</v>
      </c>
      <c r="P67" s="58">
        <f t="shared" si="13"/>
        <v>1059.5</v>
      </c>
    </row>
    <row r="68" spans="1:16" ht="12">
      <c r="A68" s="65">
        <v>46228</v>
      </c>
      <c r="B68" s="64" t="s">
        <v>587</v>
      </c>
      <c r="C68" s="64" t="s">
        <v>583</v>
      </c>
      <c r="D68" s="64" t="s">
        <v>566</v>
      </c>
      <c r="E68" s="64" t="s">
        <v>709</v>
      </c>
      <c r="F68" s="63"/>
      <c r="G68" s="63"/>
      <c r="H68" s="62" t="s">
        <v>589</v>
      </c>
      <c r="I68" s="61">
        <f t="shared" si="19"/>
        <v>0</v>
      </c>
      <c r="J68" s="61">
        <f t="shared" si="9"/>
        <v>0</v>
      </c>
      <c r="K68" s="59">
        <v>75</v>
      </c>
      <c r="L68" s="59">
        <f t="shared" si="10"/>
        <v>0</v>
      </c>
      <c r="M68" s="59">
        <v>159.5</v>
      </c>
      <c r="N68" s="60">
        <f t="shared" si="11"/>
        <v>1</v>
      </c>
      <c r="O68" s="59">
        <f t="shared" si="12"/>
        <v>159.5</v>
      </c>
      <c r="P68" s="58">
        <f t="shared" si="13"/>
        <v>159.5</v>
      </c>
    </row>
    <row r="69" spans="1:16" ht="12">
      <c r="A69" s="65">
        <v>46228</v>
      </c>
      <c r="B69" s="64" t="s">
        <v>587</v>
      </c>
      <c r="C69" s="64" t="s">
        <v>591</v>
      </c>
      <c r="D69" s="64" t="s">
        <v>569</v>
      </c>
      <c r="E69" s="64" t="s">
        <v>590</v>
      </c>
      <c r="F69" s="63">
        <v>0.25</v>
      </c>
      <c r="G69" s="63">
        <v>0.58333333333333337</v>
      </c>
      <c r="H69" s="62">
        <v>12</v>
      </c>
      <c r="I69" s="61">
        <f t="shared" si="19"/>
        <v>12</v>
      </c>
      <c r="J69" s="61">
        <f t="shared" si="9"/>
        <v>12</v>
      </c>
      <c r="K69" s="59">
        <v>75</v>
      </c>
      <c r="L69" s="59">
        <f t="shared" si="10"/>
        <v>900</v>
      </c>
      <c r="M69" s="59">
        <v>159.5</v>
      </c>
      <c r="N69" s="60">
        <f t="shared" si="11"/>
        <v>1</v>
      </c>
      <c r="O69" s="59">
        <f t="shared" si="12"/>
        <v>159.5</v>
      </c>
      <c r="P69" s="58">
        <f t="shared" si="13"/>
        <v>1059.5</v>
      </c>
    </row>
    <row r="70" spans="1:16" ht="12">
      <c r="A70" s="65">
        <v>46228</v>
      </c>
      <c r="B70" s="64" t="s">
        <v>587</v>
      </c>
      <c r="C70" s="64" t="s">
        <v>591</v>
      </c>
      <c r="D70" s="64" t="s">
        <v>569</v>
      </c>
      <c r="E70" s="64" t="s">
        <v>708</v>
      </c>
      <c r="F70" s="63">
        <v>0.25</v>
      </c>
      <c r="G70" s="63">
        <v>0.58333333333333337</v>
      </c>
      <c r="H70" s="62">
        <v>12</v>
      </c>
      <c r="I70" s="61">
        <f t="shared" ref="I70" si="21">IF(OR(H70="Fatigue Day",H70=""),IF(AND(ISNUMBER(F70),ISNUMBER(G70)),MOD(G70-F70,1)*24,0),IF(ISNUMBER(H70),H70,IF(H70="No Charge",IF(AND(ISNUMBER(F70),ISNUMBER(G70)),MOD(G70-F70,1)*24,0),0)))</f>
        <v>12</v>
      </c>
      <c r="J70" s="61">
        <f t="shared" ref="J70" si="22">IF(OR(H70="No Charge",H70="Fatigue Day"),0,I70)</f>
        <v>12</v>
      </c>
      <c r="K70" s="59">
        <v>75</v>
      </c>
      <c r="L70" s="59">
        <f t="shared" ref="L70" si="23">J70*K70</f>
        <v>900</v>
      </c>
      <c r="M70" s="59">
        <v>159.5</v>
      </c>
      <c r="N70" s="60">
        <f t="shared" ref="N70" si="24">IF(M70&gt;0,1,0)</f>
        <v>1</v>
      </c>
      <c r="O70" s="59">
        <f t="shared" ref="O70" si="25">M70*N70</f>
        <v>159.5</v>
      </c>
      <c r="P70" s="58">
        <f t="shared" ref="P70" si="26">L70+O70</f>
        <v>1059.5</v>
      </c>
    </row>
    <row r="71" spans="1:16" ht="12">
      <c r="A71" s="65">
        <v>46229</v>
      </c>
      <c r="B71" s="64" t="s">
        <v>587</v>
      </c>
      <c r="C71" s="64" t="s">
        <v>583</v>
      </c>
      <c r="D71" s="64" t="s">
        <v>557</v>
      </c>
      <c r="E71" s="64" t="s">
        <v>584</v>
      </c>
      <c r="F71" s="63">
        <v>0.25</v>
      </c>
      <c r="G71" s="63">
        <v>0.75</v>
      </c>
      <c r="H71" s="62" t="s">
        <v>588</v>
      </c>
      <c r="I71" s="61">
        <f t="shared" si="19"/>
        <v>12</v>
      </c>
      <c r="J71" s="61">
        <f t="shared" si="9"/>
        <v>0</v>
      </c>
      <c r="K71" s="59">
        <v>85</v>
      </c>
      <c r="L71" s="59">
        <f t="shared" si="10"/>
        <v>0</v>
      </c>
      <c r="M71" s="59">
        <v>159.5</v>
      </c>
      <c r="N71" s="60">
        <f t="shared" si="11"/>
        <v>1</v>
      </c>
      <c r="O71" s="59">
        <f t="shared" si="12"/>
        <v>159.5</v>
      </c>
      <c r="P71" s="58">
        <f t="shared" si="13"/>
        <v>159.5</v>
      </c>
    </row>
    <row r="72" spans="1:16" ht="12">
      <c r="A72" s="65">
        <v>46229</v>
      </c>
      <c r="B72" s="64" t="s">
        <v>587</v>
      </c>
      <c r="C72" s="64" t="s">
        <v>583</v>
      </c>
      <c r="D72" s="64" t="s">
        <v>560</v>
      </c>
      <c r="E72" s="64" t="s">
        <v>585</v>
      </c>
      <c r="F72" s="63">
        <v>0.25</v>
      </c>
      <c r="G72" s="63">
        <v>0.75</v>
      </c>
      <c r="H72" s="62">
        <v>12</v>
      </c>
      <c r="I72" s="61">
        <f t="shared" si="19"/>
        <v>12</v>
      </c>
      <c r="J72" s="61">
        <f t="shared" si="9"/>
        <v>12</v>
      </c>
      <c r="K72" s="59">
        <v>85</v>
      </c>
      <c r="L72" s="59">
        <f t="shared" si="10"/>
        <v>1020</v>
      </c>
      <c r="M72" s="59">
        <v>159.5</v>
      </c>
      <c r="N72" s="60">
        <f t="shared" si="11"/>
        <v>1</v>
      </c>
      <c r="O72" s="59">
        <f t="shared" si="12"/>
        <v>159.5</v>
      </c>
      <c r="P72" s="58">
        <f t="shared" si="13"/>
        <v>1179.5</v>
      </c>
    </row>
    <row r="73" spans="1:16" ht="12">
      <c r="A73" s="65">
        <v>46229</v>
      </c>
      <c r="B73" s="64" t="s">
        <v>587</v>
      </c>
      <c r="C73" s="64" t="s">
        <v>583</v>
      </c>
      <c r="D73" s="64" t="s">
        <v>563</v>
      </c>
      <c r="E73" s="64" t="s">
        <v>586</v>
      </c>
      <c r="F73" s="63">
        <v>0.25</v>
      </c>
      <c r="G73" s="63">
        <v>0.75</v>
      </c>
      <c r="H73" s="62">
        <v>12</v>
      </c>
      <c r="I73" s="61">
        <f t="shared" si="19"/>
        <v>12</v>
      </c>
      <c r="J73" s="61">
        <f t="shared" si="9"/>
        <v>12</v>
      </c>
      <c r="K73" s="59">
        <v>75</v>
      </c>
      <c r="L73" s="59">
        <f t="shared" si="10"/>
        <v>900</v>
      </c>
      <c r="M73" s="59">
        <v>159.5</v>
      </c>
      <c r="N73" s="60">
        <f t="shared" si="11"/>
        <v>1</v>
      </c>
      <c r="O73" s="59">
        <f t="shared" si="12"/>
        <v>159.5</v>
      </c>
      <c r="P73" s="58">
        <f t="shared" si="13"/>
        <v>1059.5</v>
      </c>
    </row>
    <row r="74" spans="1:16" ht="12">
      <c r="A74" s="65">
        <v>46229</v>
      </c>
      <c r="B74" s="64" t="s">
        <v>587</v>
      </c>
      <c r="C74" s="64" t="s">
        <v>583</v>
      </c>
      <c r="D74" s="64" t="s">
        <v>566</v>
      </c>
      <c r="E74" s="64" t="s">
        <v>709</v>
      </c>
      <c r="F74" s="63">
        <v>0.25</v>
      </c>
      <c r="G74" s="63">
        <v>0.75</v>
      </c>
      <c r="H74" s="62">
        <v>12</v>
      </c>
      <c r="I74" s="61">
        <f t="shared" si="19"/>
        <v>12</v>
      </c>
      <c r="J74" s="61">
        <f t="shared" si="9"/>
        <v>12</v>
      </c>
      <c r="K74" s="59">
        <v>75</v>
      </c>
      <c r="L74" s="59">
        <f t="shared" si="10"/>
        <v>900</v>
      </c>
      <c r="M74" s="59">
        <v>159.5</v>
      </c>
      <c r="N74" s="60">
        <f t="shared" si="11"/>
        <v>1</v>
      </c>
      <c r="O74" s="59">
        <f t="shared" si="12"/>
        <v>159.5</v>
      </c>
      <c r="P74" s="58">
        <f t="shared" si="13"/>
        <v>1059.5</v>
      </c>
    </row>
    <row r="75" spans="1:16" ht="12">
      <c r="A75" s="65">
        <v>46229</v>
      </c>
      <c r="B75" s="64" t="s">
        <v>587</v>
      </c>
      <c r="C75" s="64" t="s">
        <v>591</v>
      </c>
      <c r="D75" s="64" t="s">
        <v>569</v>
      </c>
      <c r="E75" s="64" t="s">
        <v>590</v>
      </c>
      <c r="F75" s="63">
        <v>0.25</v>
      </c>
      <c r="G75" s="63">
        <v>0.58333333333333337</v>
      </c>
      <c r="H75" s="62">
        <v>12</v>
      </c>
      <c r="I75" s="61">
        <f t="shared" ref="I75" si="27">IF(OR(H75="Fatigue Day",H75=""),IF(AND(ISNUMBER(F75),ISNUMBER(G75)),MOD(G75-F75,1)*24,0),IF(ISNUMBER(H75),H75,IF(H75="No Charge",IF(AND(ISNUMBER(F75),ISNUMBER(G75)),MOD(G75-F75,1)*24,0),0)))</f>
        <v>12</v>
      </c>
      <c r="J75" s="61">
        <f t="shared" ref="J75" si="28">IF(OR(H75="No Charge",H75="Fatigue Day"),0,I75)</f>
        <v>12</v>
      </c>
      <c r="K75" s="59">
        <v>75</v>
      </c>
      <c r="L75" s="59">
        <f t="shared" ref="L75" si="29">J75*K75</f>
        <v>900</v>
      </c>
      <c r="M75" s="59">
        <v>159.5</v>
      </c>
      <c r="N75" s="60">
        <f t="shared" ref="N75" si="30">IF(M75&gt;0,1,0)</f>
        <v>1</v>
      </c>
      <c r="O75" s="59">
        <f t="shared" ref="O75" si="31">M75*N75</f>
        <v>159.5</v>
      </c>
      <c r="P75" s="58">
        <f t="shared" ref="P75" si="32">L75+O75</f>
        <v>1059.5</v>
      </c>
    </row>
    <row r="76" spans="1:16" ht="12">
      <c r="A76" s="65">
        <v>46229</v>
      </c>
      <c r="B76" s="64" t="s">
        <v>587</v>
      </c>
      <c r="C76" s="64" t="s">
        <v>591</v>
      </c>
      <c r="D76" s="64" t="s">
        <v>569</v>
      </c>
      <c r="E76" s="64" t="s">
        <v>708</v>
      </c>
      <c r="F76" s="63">
        <v>0.25</v>
      </c>
      <c r="G76" s="63">
        <v>0.58333333333333337</v>
      </c>
      <c r="H76" s="62">
        <v>12</v>
      </c>
      <c r="I76" s="61">
        <f t="shared" si="19"/>
        <v>12</v>
      </c>
      <c r="J76" s="61">
        <f t="shared" si="9"/>
        <v>12</v>
      </c>
      <c r="K76" s="59">
        <v>75</v>
      </c>
      <c r="L76" s="59">
        <f t="shared" si="10"/>
        <v>900</v>
      </c>
      <c r="M76" s="59">
        <v>159.5</v>
      </c>
      <c r="N76" s="60">
        <f t="shared" si="11"/>
        <v>1</v>
      </c>
      <c r="O76" s="59">
        <f t="shared" si="12"/>
        <v>159.5</v>
      </c>
      <c r="P76" s="58">
        <f t="shared" si="13"/>
        <v>1059.5</v>
      </c>
    </row>
    <row r="77" spans="1:16" ht="12">
      <c r="A77" s="65">
        <v>46230</v>
      </c>
      <c r="B77" s="64" t="s">
        <v>587</v>
      </c>
      <c r="C77" s="64" t="s">
        <v>583</v>
      </c>
      <c r="D77" s="64" t="s">
        <v>557</v>
      </c>
      <c r="E77" s="64" t="s">
        <v>584</v>
      </c>
      <c r="F77" s="63">
        <v>0.25</v>
      </c>
      <c r="G77" s="63">
        <v>0.75</v>
      </c>
      <c r="H77" s="62" t="s">
        <v>588</v>
      </c>
      <c r="I77" s="61">
        <f t="shared" si="19"/>
        <v>12</v>
      </c>
      <c r="J77" s="61">
        <f t="shared" si="9"/>
        <v>0</v>
      </c>
      <c r="K77" s="59">
        <v>85</v>
      </c>
      <c r="L77" s="59">
        <f t="shared" si="10"/>
        <v>0</v>
      </c>
      <c r="M77" s="59">
        <v>159.5</v>
      </c>
      <c r="N77" s="60">
        <f t="shared" si="11"/>
        <v>1</v>
      </c>
      <c r="O77" s="59">
        <f t="shared" si="12"/>
        <v>159.5</v>
      </c>
      <c r="P77" s="58">
        <f t="shared" si="13"/>
        <v>159.5</v>
      </c>
    </row>
    <row r="78" spans="1:16" ht="12">
      <c r="A78" s="65">
        <v>46230</v>
      </c>
      <c r="B78" s="64" t="s">
        <v>587</v>
      </c>
      <c r="C78" s="64" t="s">
        <v>583</v>
      </c>
      <c r="D78" s="64" t="s">
        <v>560</v>
      </c>
      <c r="E78" s="64" t="s">
        <v>585</v>
      </c>
      <c r="F78" s="63">
        <v>0.25</v>
      </c>
      <c r="G78" s="63">
        <v>0.75</v>
      </c>
      <c r="H78" s="62">
        <v>12</v>
      </c>
      <c r="I78" s="61">
        <f t="shared" si="19"/>
        <v>12</v>
      </c>
      <c r="J78" s="61">
        <f t="shared" si="9"/>
        <v>12</v>
      </c>
      <c r="K78" s="59">
        <v>85</v>
      </c>
      <c r="L78" s="59">
        <f t="shared" si="10"/>
        <v>1020</v>
      </c>
      <c r="M78" s="59">
        <v>159.5</v>
      </c>
      <c r="N78" s="60">
        <f t="shared" si="11"/>
        <v>1</v>
      </c>
      <c r="O78" s="59">
        <f t="shared" si="12"/>
        <v>159.5</v>
      </c>
      <c r="P78" s="58">
        <f t="shared" si="13"/>
        <v>1179.5</v>
      </c>
    </row>
    <row r="79" spans="1:16" ht="12">
      <c r="A79" s="65">
        <v>46230</v>
      </c>
      <c r="B79" s="64" t="s">
        <v>587</v>
      </c>
      <c r="C79" s="64" t="s">
        <v>583</v>
      </c>
      <c r="D79" s="64" t="s">
        <v>563</v>
      </c>
      <c r="E79" s="64" t="s">
        <v>586</v>
      </c>
      <c r="F79" s="63">
        <v>0.25</v>
      </c>
      <c r="G79" s="63">
        <v>0.75</v>
      </c>
      <c r="H79" s="62">
        <v>12</v>
      </c>
      <c r="I79" s="61">
        <f t="shared" si="19"/>
        <v>12</v>
      </c>
      <c r="J79" s="61">
        <f t="shared" si="9"/>
        <v>12</v>
      </c>
      <c r="K79" s="59">
        <v>75</v>
      </c>
      <c r="L79" s="59">
        <f t="shared" si="10"/>
        <v>900</v>
      </c>
      <c r="M79" s="59">
        <v>159.5</v>
      </c>
      <c r="N79" s="60">
        <f t="shared" si="11"/>
        <v>1</v>
      </c>
      <c r="O79" s="59">
        <f t="shared" si="12"/>
        <v>159.5</v>
      </c>
      <c r="P79" s="58">
        <f t="shared" si="13"/>
        <v>1059.5</v>
      </c>
    </row>
    <row r="80" spans="1:16" ht="12">
      <c r="A80" s="65">
        <v>46230</v>
      </c>
      <c r="B80" s="64" t="s">
        <v>587</v>
      </c>
      <c r="C80" s="64" t="s">
        <v>583</v>
      </c>
      <c r="D80" s="64" t="s">
        <v>566</v>
      </c>
      <c r="E80" s="64" t="s">
        <v>709</v>
      </c>
      <c r="F80" s="63">
        <v>0.25</v>
      </c>
      <c r="G80" s="63">
        <v>0.75</v>
      </c>
      <c r="H80" s="62">
        <v>12</v>
      </c>
      <c r="I80" s="61">
        <f t="shared" si="19"/>
        <v>12</v>
      </c>
      <c r="J80" s="61">
        <f t="shared" si="9"/>
        <v>12</v>
      </c>
      <c r="K80" s="59">
        <v>75</v>
      </c>
      <c r="L80" s="59">
        <f t="shared" si="10"/>
        <v>900</v>
      </c>
      <c r="M80" s="59">
        <v>159.5</v>
      </c>
      <c r="N80" s="60">
        <f t="shared" si="11"/>
        <v>1</v>
      </c>
      <c r="O80" s="59">
        <f t="shared" si="12"/>
        <v>159.5</v>
      </c>
      <c r="P80" s="58">
        <f t="shared" si="13"/>
        <v>1059.5</v>
      </c>
    </row>
    <row r="81" spans="1:16" ht="12">
      <c r="A81" s="65">
        <v>46230</v>
      </c>
      <c r="B81" s="64" t="s">
        <v>587</v>
      </c>
      <c r="C81" s="64" t="s">
        <v>591</v>
      </c>
      <c r="D81" s="64" t="s">
        <v>569</v>
      </c>
      <c r="E81" s="64" t="s">
        <v>590</v>
      </c>
      <c r="F81" s="63">
        <v>0.75</v>
      </c>
      <c r="G81" s="63">
        <v>0.25</v>
      </c>
      <c r="H81" s="62">
        <v>12</v>
      </c>
      <c r="I81" s="61">
        <f t="shared" si="19"/>
        <v>12</v>
      </c>
      <c r="J81" s="61">
        <f t="shared" si="9"/>
        <v>12</v>
      </c>
      <c r="K81" s="59">
        <v>75</v>
      </c>
      <c r="L81" s="59">
        <f t="shared" si="10"/>
        <v>900</v>
      </c>
      <c r="M81" s="59">
        <v>159.5</v>
      </c>
      <c r="N81" s="60">
        <f t="shared" si="11"/>
        <v>1</v>
      </c>
      <c r="O81" s="59">
        <f t="shared" si="12"/>
        <v>159.5</v>
      </c>
      <c r="P81" s="58">
        <f t="shared" si="13"/>
        <v>1059.5</v>
      </c>
    </row>
    <row r="82" spans="1:16" ht="12">
      <c r="A82" s="65">
        <v>46230</v>
      </c>
      <c r="B82" s="64" t="s">
        <v>587</v>
      </c>
      <c r="C82" s="64" t="s">
        <v>591</v>
      </c>
      <c r="D82" s="64" t="s">
        <v>569</v>
      </c>
      <c r="E82" s="64" t="s">
        <v>708</v>
      </c>
      <c r="F82" s="63">
        <v>0.75</v>
      </c>
      <c r="G82" s="63">
        <v>0.25</v>
      </c>
      <c r="H82" s="62">
        <v>12</v>
      </c>
      <c r="I82" s="61">
        <f t="shared" si="19"/>
        <v>12</v>
      </c>
      <c r="J82" s="61">
        <f t="shared" si="9"/>
        <v>12</v>
      </c>
      <c r="K82" s="59">
        <v>75</v>
      </c>
      <c r="L82" s="59">
        <f t="shared" si="10"/>
        <v>900</v>
      </c>
      <c r="M82" s="59">
        <v>159.5</v>
      </c>
      <c r="N82" s="60">
        <f t="shared" si="11"/>
        <v>1</v>
      </c>
      <c r="O82" s="59">
        <f t="shared" si="12"/>
        <v>159.5</v>
      </c>
      <c r="P82" s="58">
        <f t="shared" si="13"/>
        <v>1059.5</v>
      </c>
    </row>
    <row r="83" spans="1:16" ht="12">
      <c r="A83" s="65">
        <v>46231</v>
      </c>
      <c r="B83" s="64" t="s">
        <v>587</v>
      </c>
      <c r="C83" s="64" t="s">
        <v>583</v>
      </c>
      <c r="D83" s="64" t="s">
        <v>557</v>
      </c>
      <c r="E83" s="64" t="s">
        <v>584</v>
      </c>
      <c r="F83" s="63">
        <v>0.25</v>
      </c>
      <c r="G83" s="63">
        <v>0.75</v>
      </c>
      <c r="H83" s="62" t="s">
        <v>588</v>
      </c>
      <c r="I83" s="61">
        <f t="shared" si="19"/>
        <v>12</v>
      </c>
      <c r="J83" s="61">
        <f t="shared" si="9"/>
        <v>0</v>
      </c>
      <c r="K83" s="59">
        <v>85</v>
      </c>
      <c r="L83" s="59">
        <f t="shared" si="10"/>
        <v>0</v>
      </c>
      <c r="M83" s="59">
        <v>159.5</v>
      </c>
      <c r="N83" s="60">
        <f t="shared" si="11"/>
        <v>1</v>
      </c>
      <c r="O83" s="59">
        <f t="shared" si="12"/>
        <v>159.5</v>
      </c>
      <c r="P83" s="58">
        <f t="shared" si="13"/>
        <v>159.5</v>
      </c>
    </row>
    <row r="84" spans="1:16" ht="12">
      <c r="A84" s="65">
        <v>46231</v>
      </c>
      <c r="B84" s="64" t="s">
        <v>587</v>
      </c>
      <c r="C84" s="64" t="s">
        <v>583</v>
      </c>
      <c r="D84" s="64" t="s">
        <v>560</v>
      </c>
      <c r="E84" s="64" t="s">
        <v>585</v>
      </c>
      <c r="F84" s="63">
        <v>0.25</v>
      </c>
      <c r="G84" s="63">
        <v>0.75</v>
      </c>
      <c r="H84" s="62">
        <v>12</v>
      </c>
      <c r="I84" s="61">
        <f t="shared" ref="I84:I115" si="33">IF(OR(H84="Fatigue Day",H84=""),IF(AND(ISNUMBER(F84),ISNUMBER(G84)),MOD(G84-F84,1)*24,0),IF(ISNUMBER(H84),H84,IF(H84="No Charge",IF(AND(ISNUMBER(F84),ISNUMBER(G84)),MOD(G84-F84,1)*24,0),0)))</f>
        <v>12</v>
      </c>
      <c r="J84" s="61">
        <f t="shared" ref="J84:J115" si="34">IF(OR(H84="No Charge",H84="Fatigue Day"),0,I84)</f>
        <v>12</v>
      </c>
      <c r="K84" s="59">
        <v>85</v>
      </c>
      <c r="L84" s="59">
        <f t="shared" ref="L84:L115" si="35">J84*K84</f>
        <v>1020</v>
      </c>
      <c r="M84" s="59">
        <v>159.5</v>
      </c>
      <c r="N84" s="60">
        <f t="shared" ref="N84:N115" si="36">IF(M84&gt;0,1,0)</f>
        <v>1</v>
      </c>
      <c r="O84" s="59">
        <f t="shared" ref="O84:O115" si="37">M84*N84</f>
        <v>159.5</v>
      </c>
      <c r="P84" s="58">
        <f t="shared" ref="P84:P115" si="38">L84+O84</f>
        <v>1179.5</v>
      </c>
    </row>
    <row r="85" spans="1:16" ht="12">
      <c r="A85" s="65">
        <v>46231</v>
      </c>
      <c r="B85" s="64" t="s">
        <v>587</v>
      </c>
      <c r="C85" s="64" t="s">
        <v>583</v>
      </c>
      <c r="D85" s="64" t="s">
        <v>563</v>
      </c>
      <c r="E85" s="64" t="s">
        <v>586</v>
      </c>
      <c r="F85" s="63">
        <v>0.25</v>
      </c>
      <c r="G85" s="63">
        <v>0.75</v>
      </c>
      <c r="H85" s="62">
        <v>12</v>
      </c>
      <c r="I85" s="61">
        <f t="shared" si="33"/>
        <v>12</v>
      </c>
      <c r="J85" s="61">
        <f t="shared" si="34"/>
        <v>12</v>
      </c>
      <c r="K85" s="59">
        <v>75</v>
      </c>
      <c r="L85" s="59">
        <f t="shared" si="35"/>
        <v>900</v>
      </c>
      <c r="M85" s="59">
        <v>159.5</v>
      </c>
      <c r="N85" s="60">
        <f t="shared" si="36"/>
        <v>1</v>
      </c>
      <c r="O85" s="59">
        <f t="shared" si="37"/>
        <v>159.5</v>
      </c>
      <c r="P85" s="58">
        <f t="shared" si="38"/>
        <v>1059.5</v>
      </c>
    </row>
    <row r="86" spans="1:16" ht="12">
      <c r="A86" s="65">
        <v>46231</v>
      </c>
      <c r="B86" s="64" t="s">
        <v>587</v>
      </c>
      <c r="C86" s="64" t="s">
        <v>583</v>
      </c>
      <c r="D86" s="64" t="s">
        <v>566</v>
      </c>
      <c r="E86" s="64" t="s">
        <v>709</v>
      </c>
      <c r="F86" s="63">
        <v>0.25</v>
      </c>
      <c r="G86" s="63">
        <v>0.75</v>
      </c>
      <c r="H86" s="62">
        <v>12</v>
      </c>
      <c r="I86" s="61">
        <f t="shared" si="33"/>
        <v>12</v>
      </c>
      <c r="J86" s="61">
        <f t="shared" si="34"/>
        <v>12</v>
      </c>
      <c r="K86" s="59">
        <v>75</v>
      </c>
      <c r="L86" s="59">
        <f t="shared" si="35"/>
        <v>900</v>
      </c>
      <c r="M86" s="59">
        <v>159.5</v>
      </c>
      <c r="N86" s="60">
        <f t="shared" si="36"/>
        <v>1</v>
      </c>
      <c r="O86" s="59">
        <f t="shared" si="37"/>
        <v>159.5</v>
      </c>
      <c r="P86" s="58">
        <f t="shared" si="38"/>
        <v>1059.5</v>
      </c>
    </row>
    <row r="87" spans="1:16" ht="12">
      <c r="A87" s="65">
        <v>46231</v>
      </c>
      <c r="B87" s="64" t="s">
        <v>587</v>
      </c>
      <c r="C87" s="64" t="s">
        <v>591</v>
      </c>
      <c r="D87" s="64" t="s">
        <v>569</v>
      </c>
      <c r="E87" s="64" t="s">
        <v>590</v>
      </c>
      <c r="F87" s="63">
        <v>0.75</v>
      </c>
      <c r="G87" s="63">
        <v>0.25</v>
      </c>
      <c r="H87" s="62">
        <v>12</v>
      </c>
      <c r="I87" s="61">
        <f t="shared" si="33"/>
        <v>12</v>
      </c>
      <c r="J87" s="61">
        <f t="shared" si="34"/>
        <v>12</v>
      </c>
      <c r="K87" s="59">
        <v>75</v>
      </c>
      <c r="L87" s="59">
        <f t="shared" si="35"/>
        <v>900</v>
      </c>
      <c r="M87" s="59">
        <v>159.5</v>
      </c>
      <c r="N87" s="60">
        <f t="shared" si="36"/>
        <v>1</v>
      </c>
      <c r="O87" s="59">
        <f t="shared" si="37"/>
        <v>159.5</v>
      </c>
      <c r="P87" s="58">
        <f t="shared" si="38"/>
        <v>1059.5</v>
      </c>
    </row>
    <row r="88" spans="1:16" ht="12">
      <c r="A88" s="65">
        <v>46231</v>
      </c>
      <c r="B88" s="64" t="s">
        <v>587</v>
      </c>
      <c r="C88" s="64" t="s">
        <v>591</v>
      </c>
      <c r="D88" s="64" t="s">
        <v>569</v>
      </c>
      <c r="E88" s="64" t="s">
        <v>708</v>
      </c>
      <c r="F88" s="63">
        <v>0.75</v>
      </c>
      <c r="G88" s="63">
        <v>0.25</v>
      </c>
      <c r="H88" s="62">
        <v>12</v>
      </c>
      <c r="I88" s="61">
        <f t="shared" si="33"/>
        <v>12</v>
      </c>
      <c r="J88" s="61">
        <f t="shared" si="34"/>
        <v>12</v>
      </c>
      <c r="K88" s="59">
        <v>75</v>
      </c>
      <c r="L88" s="59">
        <f t="shared" si="35"/>
        <v>900</v>
      </c>
      <c r="M88" s="59">
        <v>159.5</v>
      </c>
      <c r="N88" s="60">
        <f t="shared" si="36"/>
        <v>1</v>
      </c>
      <c r="O88" s="59">
        <f t="shared" si="37"/>
        <v>159.5</v>
      </c>
      <c r="P88" s="58">
        <f t="shared" si="38"/>
        <v>1059.5</v>
      </c>
    </row>
    <row r="89" spans="1:16" ht="12">
      <c r="A89" s="65">
        <v>46232</v>
      </c>
      <c r="B89" s="64" t="s">
        <v>587</v>
      </c>
      <c r="C89" s="64" t="s">
        <v>583</v>
      </c>
      <c r="D89" s="64" t="s">
        <v>557</v>
      </c>
      <c r="E89" s="64" t="s">
        <v>584</v>
      </c>
      <c r="F89" s="63">
        <v>0.25</v>
      </c>
      <c r="G89" s="63">
        <v>0.75</v>
      </c>
      <c r="H89" s="62" t="s">
        <v>588</v>
      </c>
      <c r="I89" s="61">
        <f t="shared" si="33"/>
        <v>12</v>
      </c>
      <c r="J89" s="61">
        <f t="shared" si="34"/>
        <v>0</v>
      </c>
      <c r="K89" s="59">
        <v>85</v>
      </c>
      <c r="L89" s="59">
        <f t="shared" si="35"/>
        <v>0</v>
      </c>
      <c r="M89" s="59">
        <v>159.5</v>
      </c>
      <c r="N89" s="60">
        <f t="shared" si="36"/>
        <v>1</v>
      </c>
      <c r="O89" s="59">
        <f t="shared" si="37"/>
        <v>159.5</v>
      </c>
      <c r="P89" s="58">
        <f t="shared" si="38"/>
        <v>159.5</v>
      </c>
    </row>
    <row r="90" spans="1:16" ht="12">
      <c r="A90" s="65">
        <v>46232</v>
      </c>
      <c r="B90" s="64" t="s">
        <v>587</v>
      </c>
      <c r="C90" s="64" t="s">
        <v>583</v>
      </c>
      <c r="D90" s="64" t="s">
        <v>560</v>
      </c>
      <c r="E90" s="64" t="s">
        <v>585</v>
      </c>
      <c r="F90" s="63">
        <v>0.25</v>
      </c>
      <c r="G90" s="63">
        <v>0.75</v>
      </c>
      <c r="H90" s="62">
        <v>12</v>
      </c>
      <c r="I90" s="61">
        <f t="shared" si="33"/>
        <v>12</v>
      </c>
      <c r="J90" s="61">
        <f t="shared" si="34"/>
        <v>12</v>
      </c>
      <c r="K90" s="59">
        <v>85</v>
      </c>
      <c r="L90" s="59">
        <f t="shared" si="35"/>
        <v>1020</v>
      </c>
      <c r="M90" s="59">
        <v>159.5</v>
      </c>
      <c r="N90" s="60">
        <f t="shared" si="36"/>
        <v>1</v>
      </c>
      <c r="O90" s="59">
        <f t="shared" si="37"/>
        <v>159.5</v>
      </c>
      <c r="P90" s="58">
        <f t="shared" si="38"/>
        <v>1179.5</v>
      </c>
    </row>
    <row r="91" spans="1:16" ht="12">
      <c r="A91" s="65">
        <v>46232</v>
      </c>
      <c r="B91" s="64" t="s">
        <v>587</v>
      </c>
      <c r="C91" s="64" t="s">
        <v>583</v>
      </c>
      <c r="D91" s="64" t="s">
        <v>563</v>
      </c>
      <c r="E91" s="64" t="s">
        <v>586</v>
      </c>
      <c r="F91" s="63">
        <v>0.25</v>
      </c>
      <c r="G91" s="63">
        <v>0.75</v>
      </c>
      <c r="H91" s="62">
        <v>12</v>
      </c>
      <c r="I91" s="61">
        <f t="shared" si="33"/>
        <v>12</v>
      </c>
      <c r="J91" s="61">
        <f t="shared" si="34"/>
        <v>12</v>
      </c>
      <c r="K91" s="59">
        <v>75</v>
      </c>
      <c r="L91" s="59">
        <f t="shared" si="35"/>
        <v>900</v>
      </c>
      <c r="M91" s="59">
        <v>159.5</v>
      </c>
      <c r="N91" s="60">
        <f t="shared" si="36"/>
        <v>1</v>
      </c>
      <c r="O91" s="59">
        <f t="shared" si="37"/>
        <v>159.5</v>
      </c>
      <c r="P91" s="58">
        <f t="shared" si="38"/>
        <v>1059.5</v>
      </c>
    </row>
    <row r="92" spans="1:16" ht="12">
      <c r="A92" s="65">
        <v>46232</v>
      </c>
      <c r="B92" s="64" t="s">
        <v>587</v>
      </c>
      <c r="C92" s="64" t="s">
        <v>583</v>
      </c>
      <c r="D92" s="64" t="s">
        <v>566</v>
      </c>
      <c r="E92" s="64" t="s">
        <v>709</v>
      </c>
      <c r="F92" s="63">
        <v>0.25</v>
      </c>
      <c r="G92" s="63">
        <v>0.75</v>
      </c>
      <c r="H92" s="62">
        <v>12</v>
      </c>
      <c r="I92" s="61">
        <f t="shared" si="33"/>
        <v>12</v>
      </c>
      <c r="J92" s="61">
        <f t="shared" si="34"/>
        <v>12</v>
      </c>
      <c r="K92" s="59">
        <v>75</v>
      </c>
      <c r="L92" s="59">
        <f t="shared" si="35"/>
        <v>900</v>
      </c>
      <c r="M92" s="59">
        <v>159.5</v>
      </c>
      <c r="N92" s="60">
        <f t="shared" si="36"/>
        <v>1</v>
      </c>
      <c r="O92" s="59">
        <f t="shared" si="37"/>
        <v>159.5</v>
      </c>
      <c r="P92" s="58">
        <f t="shared" si="38"/>
        <v>1059.5</v>
      </c>
    </row>
    <row r="93" spans="1:16" ht="12">
      <c r="A93" s="65">
        <v>46232</v>
      </c>
      <c r="B93" s="64" t="s">
        <v>587</v>
      </c>
      <c r="C93" s="64" t="s">
        <v>591</v>
      </c>
      <c r="D93" s="64" t="s">
        <v>569</v>
      </c>
      <c r="E93" s="64" t="s">
        <v>590</v>
      </c>
      <c r="F93" s="63">
        <v>0.75</v>
      </c>
      <c r="G93" s="63">
        <v>0.25</v>
      </c>
      <c r="H93" s="62">
        <v>12</v>
      </c>
      <c r="I93" s="61">
        <f t="shared" si="33"/>
        <v>12</v>
      </c>
      <c r="J93" s="61">
        <f t="shared" si="34"/>
        <v>12</v>
      </c>
      <c r="K93" s="59">
        <v>75</v>
      </c>
      <c r="L93" s="59">
        <f t="shared" si="35"/>
        <v>900</v>
      </c>
      <c r="M93" s="59">
        <v>159.5</v>
      </c>
      <c r="N93" s="60">
        <f t="shared" si="36"/>
        <v>1</v>
      </c>
      <c r="O93" s="59">
        <f t="shared" si="37"/>
        <v>159.5</v>
      </c>
      <c r="P93" s="58">
        <f t="shared" si="38"/>
        <v>1059.5</v>
      </c>
    </row>
    <row r="94" spans="1:16" ht="12">
      <c r="A94" s="65">
        <v>46232</v>
      </c>
      <c r="B94" s="64" t="s">
        <v>587</v>
      </c>
      <c r="C94" s="64" t="s">
        <v>591</v>
      </c>
      <c r="D94" s="64" t="s">
        <v>569</v>
      </c>
      <c r="E94" s="64" t="s">
        <v>708</v>
      </c>
      <c r="F94" s="63">
        <v>0.75</v>
      </c>
      <c r="G94" s="63">
        <v>0.25</v>
      </c>
      <c r="H94" s="62">
        <v>12</v>
      </c>
      <c r="I94" s="61">
        <f t="shared" si="33"/>
        <v>12</v>
      </c>
      <c r="J94" s="61">
        <f t="shared" si="34"/>
        <v>12</v>
      </c>
      <c r="K94" s="59">
        <v>75</v>
      </c>
      <c r="L94" s="59">
        <f t="shared" si="35"/>
        <v>900</v>
      </c>
      <c r="M94" s="59">
        <v>159.5</v>
      </c>
      <c r="N94" s="60">
        <f t="shared" si="36"/>
        <v>1</v>
      </c>
      <c r="O94" s="59">
        <f t="shared" si="37"/>
        <v>159.5</v>
      </c>
      <c r="P94" s="58">
        <f t="shared" si="38"/>
        <v>1059.5</v>
      </c>
    </row>
    <row r="95" spans="1:16" ht="12">
      <c r="A95" s="65">
        <v>46233</v>
      </c>
      <c r="B95" s="64" t="s">
        <v>587</v>
      </c>
      <c r="C95" s="64" t="s">
        <v>583</v>
      </c>
      <c r="D95" s="64" t="s">
        <v>557</v>
      </c>
      <c r="E95" s="64" t="s">
        <v>584</v>
      </c>
      <c r="F95" s="63">
        <v>0.25</v>
      </c>
      <c r="G95" s="63">
        <v>0.75</v>
      </c>
      <c r="H95" s="62" t="s">
        <v>588</v>
      </c>
      <c r="I95" s="61">
        <f t="shared" si="33"/>
        <v>12</v>
      </c>
      <c r="J95" s="61">
        <f t="shared" si="34"/>
        <v>0</v>
      </c>
      <c r="K95" s="59">
        <v>85</v>
      </c>
      <c r="L95" s="59">
        <f t="shared" si="35"/>
        <v>0</v>
      </c>
      <c r="M95" s="59">
        <v>159.5</v>
      </c>
      <c r="N95" s="60">
        <f t="shared" si="36"/>
        <v>1</v>
      </c>
      <c r="O95" s="59">
        <f t="shared" si="37"/>
        <v>159.5</v>
      </c>
      <c r="P95" s="58">
        <f t="shared" si="38"/>
        <v>159.5</v>
      </c>
    </row>
    <row r="96" spans="1:16" ht="12">
      <c r="A96" s="65">
        <v>46233</v>
      </c>
      <c r="B96" s="64" t="s">
        <v>587</v>
      </c>
      <c r="C96" s="64" t="s">
        <v>583</v>
      </c>
      <c r="D96" s="64" t="s">
        <v>560</v>
      </c>
      <c r="E96" s="64" t="s">
        <v>585</v>
      </c>
      <c r="F96" s="63">
        <v>0.25</v>
      </c>
      <c r="G96" s="63">
        <v>0.75</v>
      </c>
      <c r="H96" s="62">
        <v>12</v>
      </c>
      <c r="I96" s="61">
        <f t="shared" si="33"/>
        <v>12</v>
      </c>
      <c r="J96" s="61">
        <f t="shared" si="34"/>
        <v>12</v>
      </c>
      <c r="K96" s="59">
        <v>85</v>
      </c>
      <c r="L96" s="59">
        <f t="shared" si="35"/>
        <v>1020</v>
      </c>
      <c r="M96" s="59">
        <v>159.5</v>
      </c>
      <c r="N96" s="60">
        <f t="shared" si="36"/>
        <v>1</v>
      </c>
      <c r="O96" s="59">
        <f t="shared" si="37"/>
        <v>159.5</v>
      </c>
      <c r="P96" s="58">
        <f t="shared" si="38"/>
        <v>1179.5</v>
      </c>
    </row>
    <row r="97" spans="1:16" ht="12">
      <c r="A97" s="65">
        <v>46233</v>
      </c>
      <c r="B97" s="64" t="s">
        <v>587</v>
      </c>
      <c r="C97" s="64" t="s">
        <v>583</v>
      </c>
      <c r="D97" s="64" t="s">
        <v>563</v>
      </c>
      <c r="E97" s="64" t="s">
        <v>586</v>
      </c>
      <c r="F97" s="63">
        <v>0.25</v>
      </c>
      <c r="G97" s="63">
        <v>0.75</v>
      </c>
      <c r="H97" s="62">
        <v>12</v>
      </c>
      <c r="I97" s="61">
        <f t="shared" si="33"/>
        <v>12</v>
      </c>
      <c r="J97" s="61">
        <f t="shared" si="34"/>
        <v>12</v>
      </c>
      <c r="K97" s="59">
        <v>75</v>
      </c>
      <c r="L97" s="59">
        <f t="shared" si="35"/>
        <v>900</v>
      </c>
      <c r="M97" s="59">
        <v>159.5</v>
      </c>
      <c r="N97" s="60">
        <f t="shared" si="36"/>
        <v>1</v>
      </c>
      <c r="O97" s="59">
        <f t="shared" si="37"/>
        <v>159.5</v>
      </c>
      <c r="P97" s="58">
        <f t="shared" si="38"/>
        <v>1059.5</v>
      </c>
    </row>
    <row r="98" spans="1:16" ht="12">
      <c r="A98" s="65">
        <v>46233</v>
      </c>
      <c r="B98" s="64" t="s">
        <v>587</v>
      </c>
      <c r="C98" s="64" t="s">
        <v>583</v>
      </c>
      <c r="D98" s="64" t="s">
        <v>566</v>
      </c>
      <c r="E98" s="64" t="s">
        <v>709</v>
      </c>
      <c r="F98" s="63">
        <v>0.25</v>
      </c>
      <c r="G98" s="63">
        <v>0.75</v>
      </c>
      <c r="H98" s="62">
        <v>12</v>
      </c>
      <c r="I98" s="61">
        <f t="shared" si="33"/>
        <v>12</v>
      </c>
      <c r="J98" s="61">
        <f t="shared" si="34"/>
        <v>12</v>
      </c>
      <c r="K98" s="59">
        <v>75</v>
      </c>
      <c r="L98" s="59">
        <f t="shared" si="35"/>
        <v>900</v>
      </c>
      <c r="M98" s="59">
        <v>159.5</v>
      </c>
      <c r="N98" s="60">
        <f t="shared" si="36"/>
        <v>1</v>
      </c>
      <c r="O98" s="59">
        <f t="shared" si="37"/>
        <v>159.5</v>
      </c>
      <c r="P98" s="58">
        <f t="shared" si="38"/>
        <v>1059.5</v>
      </c>
    </row>
    <row r="99" spans="1:16" ht="12">
      <c r="A99" s="65">
        <v>46233</v>
      </c>
      <c r="B99" s="64" t="s">
        <v>587</v>
      </c>
      <c r="C99" s="64" t="s">
        <v>591</v>
      </c>
      <c r="D99" s="64" t="s">
        <v>569</v>
      </c>
      <c r="E99" s="64" t="s">
        <v>590</v>
      </c>
      <c r="F99" s="63">
        <v>0.75</v>
      </c>
      <c r="G99" s="63">
        <v>0.25</v>
      </c>
      <c r="H99" s="62">
        <v>12</v>
      </c>
      <c r="I99" s="61">
        <f t="shared" si="33"/>
        <v>12</v>
      </c>
      <c r="J99" s="61">
        <f t="shared" si="34"/>
        <v>12</v>
      </c>
      <c r="K99" s="59">
        <v>75</v>
      </c>
      <c r="L99" s="59">
        <f t="shared" si="35"/>
        <v>900</v>
      </c>
      <c r="M99" s="59">
        <v>159.5</v>
      </c>
      <c r="N99" s="60">
        <f t="shared" si="36"/>
        <v>1</v>
      </c>
      <c r="O99" s="59">
        <f t="shared" si="37"/>
        <v>159.5</v>
      </c>
      <c r="P99" s="58">
        <f t="shared" si="38"/>
        <v>1059.5</v>
      </c>
    </row>
    <row r="100" spans="1:16" ht="12">
      <c r="A100" s="65">
        <v>46233</v>
      </c>
      <c r="B100" s="64" t="s">
        <v>587</v>
      </c>
      <c r="C100" s="64" t="s">
        <v>591</v>
      </c>
      <c r="D100" s="64" t="s">
        <v>569</v>
      </c>
      <c r="E100" s="64" t="s">
        <v>708</v>
      </c>
      <c r="F100" s="63">
        <v>0.75</v>
      </c>
      <c r="G100" s="63">
        <v>0.25</v>
      </c>
      <c r="H100" s="62">
        <v>12</v>
      </c>
      <c r="I100" s="61">
        <f t="shared" si="33"/>
        <v>12</v>
      </c>
      <c r="J100" s="61">
        <f t="shared" si="34"/>
        <v>12</v>
      </c>
      <c r="K100" s="59">
        <v>75</v>
      </c>
      <c r="L100" s="59">
        <f t="shared" si="35"/>
        <v>900</v>
      </c>
      <c r="M100" s="59">
        <v>159.5</v>
      </c>
      <c r="N100" s="60">
        <f t="shared" si="36"/>
        <v>1</v>
      </c>
      <c r="O100" s="59">
        <f t="shared" si="37"/>
        <v>159.5</v>
      </c>
      <c r="P100" s="58">
        <f t="shared" si="38"/>
        <v>1059.5</v>
      </c>
    </row>
    <row r="101" spans="1:16" ht="12">
      <c r="A101" s="65">
        <v>46234</v>
      </c>
      <c r="B101" s="64" t="s">
        <v>587</v>
      </c>
      <c r="C101" s="64" t="s">
        <v>583</v>
      </c>
      <c r="D101" s="64" t="s">
        <v>557</v>
      </c>
      <c r="E101" s="64" t="s">
        <v>584</v>
      </c>
      <c r="F101" s="63">
        <v>0.25</v>
      </c>
      <c r="G101" s="63">
        <v>0.75</v>
      </c>
      <c r="H101" s="62" t="s">
        <v>588</v>
      </c>
      <c r="I101" s="61">
        <f t="shared" si="33"/>
        <v>12</v>
      </c>
      <c r="J101" s="61">
        <f t="shared" si="34"/>
        <v>0</v>
      </c>
      <c r="K101" s="59">
        <v>85</v>
      </c>
      <c r="L101" s="59">
        <f t="shared" si="35"/>
        <v>0</v>
      </c>
      <c r="M101" s="59">
        <v>159.5</v>
      </c>
      <c r="N101" s="60">
        <f t="shared" si="36"/>
        <v>1</v>
      </c>
      <c r="O101" s="59">
        <f t="shared" si="37"/>
        <v>159.5</v>
      </c>
      <c r="P101" s="58">
        <f t="shared" si="38"/>
        <v>159.5</v>
      </c>
    </row>
    <row r="102" spans="1:16" ht="12">
      <c r="A102" s="65">
        <v>46234</v>
      </c>
      <c r="B102" s="64" t="s">
        <v>587</v>
      </c>
      <c r="C102" s="64" t="s">
        <v>583</v>
      </c>
      <c r="D102" s="64" t="s">
        <v>560</v>
      </c>
      <c r="E102" s="64" t="s">
        <v>585</v>
      </c>
      <c r="F102" s="63">
        <v>0.25</v>
      </c>
      <c r="G102" s="63">
        <v>0.75</v>
      </c>
      <c r="H102" s="62">
        <v>12</v>
      </c>
      <c r="I102" s="61">
        <f t="shared" si="33"/>
        <v>12</v>
      </c>
      <c r="J102" s="61">
        <f t="shared" si="34"/>
        <v>12</v>
      </c>
      <c r="K102" s="59">
        <v>85</v>
      </c>
      <c r="L102" s="59">
        <f t="shared" si="35"/>
        <v>1020</v>
      </c>
      <c r="M102" s="59">
        <v>159.5</v>
      </c>
      <c r="N102" s="60">
        <f t="shared" si="36"/>
        <v>1</v>
      </c>
      <c r="O102" s="59">
        <f t="shared" si="37"/>
        <v>159.5</v>
      </c>
      <c r="P102" s="58">
        <f t="shared" si="38"/>
        <v>1179.5</v>
      </c>
    </row>
    <row r="103" spans="1:16" ht="12">
      <c r="A103" s="65">
        <v>46234</v>
      </c>
      <c r="B103" s="64" t="s">
        <v>587</v>
      </c>
      <c r="C103" s="64" t="s">
        <v>583</v>
      </c>
      <c r="D103" s="64" t="s">
        <v>563</v>
      </c>
      <c r="E103" s="64" t="s">
        <v>586</v>
      </c>
      <c r="F103" s="63">
        <v>0.25</v>
      </c>
      <c r="G103" s="63">
        <v>0.75</v>
      </c>
      <c r="H103" s="62">
        <v>12</v>
      </c>
      <c r="I103" s="61">
        <f t="shared" si="33"/>
        <v>12</v>
      </c>
      <c r="J103" s="61">
        <f t="shared" si="34"/>
        <v>12</v>
      </c>
      <c r="K103" s="59">
        <v>75</v>
      </c>
      <c r="L103" s="59">
        <f t="shared" si="35"/>
        <v>900</v>
      </c>
      <c r="M103" s="59">
        <v>159.5</v>
      </c>
      <c r="N103" s="60">
        <f t="shared" si="36"/>
        <v>1</v>
      </c>
      <c r="O103" s="59">
        <f t="shared" si="37"/>
        <v>159.5</v>
      </c>
      <c r="P103" s="58">
        <f t="shared" si="38"/>
        <v>1059.5</v>
      </c>
    </row>
    <row r="104" spans="1:16" ht="12">
      <c r="A104" s="65">
        <v>46234</v>
      </c>
      <c r="B104" s="64" t="s">
        <v>587</v>
      </c>
      <c r="C104" s="64" t="s">
        <v>583</v>
      </c>
      <c r="D104" s="64" t="s">
        <v>566</v>
      </c>
      <c r="E104" s="64" t="s">
        <v>709</v>
      </c>
      <c r="F104" s="63">
        <v>0.25</v>
      </c>
      <c r="G104" s="63">
        <v>0.75</v>
      </c>
      <c r="H104" s="62">
        <v>12</v>
      </c>
      <c r="I104" s="61">
        <f t="shared" si="33"/>
        <v>12</v>
      </c>
      <c r="J104" s="61">
        <f t="shared" si="34"/>
        <v>12</v>
      </c>
      <c r="K104" s="59">
        <v>75</v>
      </c>
      <c r="L104" s="59">
        <f t="shared" si="35"/>
        <v>900</v>
      </c>
      <c r="M104" s="59">
        <v>159.5</v>
      </c>
      <c r="N104" s="60">
        <f t="shared" si="36"/>
        <v>1</v>
      </c>
      <c r="O104" s="59">
        <f t="shared" si="37"/>
        <v>159.5</v>
      </c>
      <c r="P104" s="58">
        <f t="shared" si="38"/>
        <v>1059.5</v>
      </c>
    </row>
    <row r="105" spans="1:16" ht="12">
      <c r="A105" s="65">
        <v>46234</v>
      </c>
      <c r="B105" s="64" t="s">
        <v>587</v>
      </c>
      <c r="C105" s="64" t="s">
        <v>591</v>
      </c>
      <c r="D105" s="64" t="s">
        <v>569</v>
      </c>
      <c r="E105" s="64" t="s">
        <v>590</v>
      </c>
      <c r="F105" s="63">
        <v>0.75</v>
      </c>
      <c r="G105" s="63">
        <v>0.25</v>
      </c>
      <c r="H105" s="62">
        <v>12</v>
      </c>
      <c r="I105" s="61">
        <f t="shared" si="33"/>
        <v>12</v>
      </c>
      <c r="J105" s="61">
        <f t="shared" si="34"/>
        <v>12</v>
      </c>
      <c r="K105" s="59">
        <v>75</v>
      </c>
      <c r="L105" s="59">
        <f t="shared" si="35"/>
        <v>900</v>
      </c>
      <c r="M105" s="59">
        <v>159.5</v>
      </c>
      <c r="N105" s="60">
        <f t="shared" si="36"/>
        <v>1</v>
      </c>
      <c r="O105" s="59">
        <f t="shared" si="37"/>
        <v>159.5</v>
      </c>
      <c r="P105" s="58">
        <f t="shared" si="38"/>
        <v>1059.5</v>
      </c>
    </row>
    <row r="106" spans="1:16" ht="12">
      <c r="A106" s="65">
        <v>46234</v>
      </c>
      <c r="B106" s="64" t="s">
        <v>587</v>
      </c>
      <c r="C106" s="64" t="s">
        <v>591</v>
      </c>
      <c r="D106" s="64" t="s">
        <v>569</v>
      </c>
      <c r="E106" s="64" t="s">
        <v>708</v>
      </c>
      <c r="F106" s="63">
        <v>0.75</v>
      </c>
      <c r="G106" s="63">
        <v>0.25</v>
      </c>
      <c r="H106" s="62">
        <v>12</v>
      </c>
      <c r="I106" s="61">
        <f t="shared" si="33"/>
        <v>12</v>
      </c>
      <c r="J106" s="61">
        <f t="shared" si="34"/>
        <v>12</v>
      </c>
      <c r="K106" s="59">
        <v>75</v>
      </c>
      <c r="L106" s="59">
        <f t="shared" si="35"/>
        <v>900</v>
      </c>
      <c r="M106" s="59">
        <v>159.5</v>
      </c>
      <c r="N106" s="60">
        <f t="shared" si="36"/>
        <v>1</v>
      </c>
      <c r="O106" s="59">
        <f t="shared" si="37"/>
        <v>159.5</v>
      </c>
      <c r="P106" s="58">
        <f t="shared" si="38"/>
        <v>1059.5</v>
      </c>
    </row>
    <row r="107" spans="1:16" ht="12">
      <c r="A107" s="65">
        <v>46235</v>
      </c>
      <c r="B107" s="64" t="s">
        <v>587</v>
      </c>
      <c r="C107" s="64" t="s">
        <v>583</v>
      </c>
      <c r="D107" s="64" t="s">
        <v>557</v>
      </c>
      <c r="E107" s="64" t="s">
        <v>584</v>
      </c>
      <c r="F107" s="63">
        <v>0.25</v>
      </c>
      <c r="G107" s="63">
        <v>0.75</v>
      </c>
      <c r="H107" s="62" t="s">
        <v>588</v>
      </c>
      <c r="I107" s="61">
        <f t="shared" si="33"/>
        <v>12</v>
      </c>
      <c r="J107" s="61">
        <f t="shared" si="34"/>
        <v>0</v>
      </c>
      <c r="K107" s="59">
        <v>85</v>
      </c>
      <c r="L107" s="59">
        <f t="shared" si="35"/>
        <v>0</v>
      </c>
      <c r="M107" s="59">
        <v>159.5</v>
      </c>
      <c r="N107" s="60">
        <f t="shared" si="36"/>
        <v>1</v>
      </c>
      <c r="O107" s="59">
        <f t="shared" si="37"/>
        <v>159.5</v>
      </c>
      <c r="P107" s="58">
        <f t="shared" si="38"/>
        <v>159.5</v>
      </c>
    </row>
    <row r="108" spans="1:16" ht="12">
      <c r="A108" s="65">
        <v>46235</v>
      </c>
      <c r="B108" s="64" t="s">
        <v>587</v>
      </c>
      <c r="C108" s="64" t="s">
        <v>583</v>
      </c>
      <c r="D108" s="64" t="s">
        <v>560</v>
      </c>
      <c r="E108" s="64" t="s">
        <v>585</v>
      </c>
      <c r="F108" s="63">
        <v>0.25</v>
      </c>
      <c r="G108" s="63">
        <v>0.75</v>
      </c>
      <c r="H108" s="62">
        <v>12</v>
      </c>
      <c r="I108" s="61">
        <f t="shared" si="33"/>
        <v>12</v>
      </c>
      <c r="J108" s="61">
        <f t="shared" si="34"/>
        <v>12</v>
      </c>
      <c r="K108" s="59">
        <v>85</v>
      </c>
      <c r="L108" s="59">
        <f t="shared" si="35"/>
        <v>1020</v>
      </c>
      <c r="M108" s="59">
        <v>159.5</v>
      </c>
      <c r="N108" s="60">
        <f t="shared" si="36"/>
        <v>1</v>
      </c>
      <c r="O108" s="59">
        <f t="shared" si="37"/>
        <v>159.5</v>
      </c>
      <c r="P108" s="58">
        <f t="shared" si="38"/>
        <v>1179.5</v>
      </c>
    </row>
    <row r="109" spans="1:16" ht="12">
      <c r="A109" s="65">
        <v>46235</v>
      </c>
      <c r="B109" s="64" t="s">
        <v>587</v>
      </c>
      <c r="C109" s="64" t="s">
        <v>583</v>
      </c>
      <c r="D109" s="64" t="s">
        <v>563</v>
      </c>
      <c r="E109" s="64" t="s">
        <v>586</v>
      </c>
      <c r="F109" s="63">
        <v>0.25</v>
      </c>
      <c r="G109" s="63">
        <v>0.75</v>
      </c>
      <c r="H109" s="62">
        <v>12</v>
      </c>
      <c r="I109" s="61">
        <f t="shared" si="33"/>
        <v>12</v>
      </c>
      <c r="J109" s="61">
        <f t="shared" si="34"/>
        <v>12</v>
      </c>
      <c r="K109" s="59">
        <v>75</v>
      </c>
      <c r="L109" s="59">
        <f t="shared" si="35"/>
        <v>900</v>
      </c>
      <c r="M109" s="59">
        <v>159.5</v>
      </c>
      <c r="N109" s="60">
        <f t="shared" si="36"/>
        <v>1</v>
      </c>
      <c r="O109" s="59">
        <f t="shared" si="37"/>
        <v>159.5</v>
      </c>
      <c r="P109" s="58">
        <f t="shared" si="38"/>
        <v>1059.5</v>
      </c>
    </row>
    <row r="110" spans="1:16" ht="12">
      <c r="A110" s="65">
        <v>46235</v>
      </c>
      <c r="B110" s="64" t="s">
        <v>587</v>
      </c>
      <c r="C110" s="64" t="s">
        <v>583</v>
      </c>
      <c r="D110" s="64" t="s">
        <v>566</v>
      </c>
      <c r="E110" s="64" t="s">
        <v>709</v>
      </c>
      <c r="F110" s="63">
        <v>0.25</v>
      </c>
      <c r="G110" s="63">
        <v>0.75</v>
      </c>
      <c r="H110" s="62">
        <v>12</v>
      </c>
      <c r="I110" s="61">
        <f t="shared" si="33"/>
        <v>12</v>
      </c>
      <c r="J110" s="61">
        <f t="shared" si="34"/>
        <v>12</v>
      </c>
      <c r="K110" s="59">
        <v>75</v>
      </c>
      <c r="L110" s="59">
        <f t="shared" si="35"/>
        <v>900</v>
      </c>
      <c r="M110" s="59">
        <v>159.5</v>
      </c>
      <c r="N110" s="60">
        <f t="shared" si="36"/>
        <v>1</v>
      </c>
      <c r="O110" s="59">
        <f t="shared" si="37"/>
        <v>159.5</v>
      </c>
      <c r="P110" s="58">
        <f t="shared" si="38"/>
        <v>1059.5</v>
      </c>
    </row>
    <row r="111" spans="1:16" ht="12">
      <c r="A111" s="65">
        <v>46235</v>
      </c>
      <c r="B111" s="64" t="s">
        <v>587</v>
      </c>
      <c r="C111" s="64" t="s">
        <v>591</v>
      </c>
      <c r="D111" s="64" t="s">
        <v>569</v>
      </c>
      <c r="E111" s="64" t="s">
        <v>590</v>
      </c>
      <c r="F111" s="63"/>
      <c r="G111" s="63"/>
      <c r="H111" s="62" t="s">
        <v>589</v>
      </c>
      <c r="I111" s="61">
        <f t="shared" si="33"/>
        <v>0</v>
      </c>
      <c r="J111" s="61">
        <f t="shared" si="34"/>
        <v>0</v>
      </c>
      <c r="K111" s="59">
        <v>75</v>
      </c>
      <c r="L111" s="59">
        <f t="shared" si="35"/>
        <v>0</v>
      </c>
      <c r="M111" s="59">
        <v>159.5</v>
      </c>
      <c r="N111" s="60">
        <f t="shared" si="36"/>
        <v>1</v>
      </c>
      <c r="O111" s="59">
        <f t="shared" si="37"/>
        <v>159.5</v>
      </c>
      <c r="P111" s="58">
        <f t="shared" si="38"/>
        <v>159.5</v>
      </c>
    </row>
    <row r="112" spans="1:16" ht="12">
      <c r="A112" s="65">
        <v>46235</v>
      </c>
      <c r="B112" s="64" t="s">
        <v>587</v>
      </c>
      <c r="C112" s="64" t="s">
        <v>591</v>
      </c>
      <c r="D112" s="64" t="s">
        <v>569</v>
      </c>
      <c r="E112" s="64" t="s">
        <v>708</v>
      </c>
      <c r="F112" s="63">
        <v>0.75</v>
      </c>
      <c r="G112" s="63">
        <v>0.25</v>
      </c>
      <c r="H112" s="62">
        <v>12</v>
      </c>
      <c r="I112" s="61">
        <f t="shared" si="33"/>
        <v>12</v>
      </c>
      <c r="J112" s="61">
        <f t="shared" si="34"/>
        <v>12</v>
      </c>
      <c r="K112" s="59">
        <v>75</v>
      </c>
      <c r="L112" s="59">
        <f t="shared" si="35"/>
        <v>900</v>
      </c>
      <c r="M112" s="59">
        <v>159.5</v>
      </c>
      <c r="N112" s="60">
        <f t="shared" si="36"/>
        <v>1</v>
      </c>
      <c r="O112" s="59">
        <f t="shared" si="37"/>
        <v>159.5</v>
      </c>
      <c r="P112" s="58">
        <f t="shared" si="38"/>
        <v>1059.5</v>
      </c>
    </row>
    <row r="113" spans="1:16" ht="12">
      <c r="A113" s="65">
        <v>46236</v>
      </c>
      <c r="B113" s="64" t="s">
        <v>587</v>
      </c>
      <c r="C113" s="64" t="s">
        <v>583</v>
      </c>
      <c r="D113" s="64" t="s">
        <v>557</v>
      </c>
      <c r="E113" s="64" t="s">
        <v>584</v>
      </c>
      <c r="F113" s="63">
        <v>0.25</v>
      </c>
      <c r="G113" s="63">
        <v>0.75</v>
      </c>
      <c r="H113" s="62" t="s">
        <v>588</v>
      </c>
      <c r="I113" s="61">
        <f t="shared" si="33"/>
        <v>12</v>
      </c>
      <c r="J113" s="61">
        <f t="shared" si="34"/>
        <v>0</v>
      </c>
      <c r="K113" s="59">
        <v>85</v>
      </c>
      <c r="L113" s="59">
        <f t="shared" si="35"/>
        <v>0</v>
      </c>
      <c r="M113" s="59">
        <v>159.5</v>
      </c>
      <c r="N113" s="60">
        <f t="shared" si="36"/>
        <v>1</v>
      </c>
      <c r="O113" s="59">
        <f t="shared" si="37"/>
        <v>159.5</v>
      </c>
      <c r="P113" s="58">
        <f t="shared" si="38"/>
        <v>159.5</v>
      </c>
    </row>
    <row r="114" spans="1:16" ht="12">
      <c r="A114" s="65">
        <v>46236</v>
      </c>
      <c r="B114" s="64" t="s">
        <v>587</v>
      </c>
      <c r="C114" s="64" t="s">
        <v>583</v>
      </c>
      <c r="D114" s="64" t="s">
        <v>560</v>
      </c>
      <c r="E114" s="64" t="s">
        <v>585</v>
      </c>
      <c r="F114" s="63">
        <v>0.25</v>
      </c>
      <c r="G114" s="63">
        <v>0.75</v>
      </c>
      <c r="H114" s="62">
        <v>12</v>
      </c>
      <c r="I114" s="61">
        <f t="shared" si="33"/>
        <v>12</v>
      </c>
      <c r="J114" s="61">
        <f t="shared" si="34"/>
        <v>12</v>
      </c>
      <c r="K114" s="59">
        <v>85</v>
      </c>
      <c r="L114" s="59">
        <f t="shared" si="35"/>
        <v>1020</v>
      </c>
      <c r="M114" s="59">
        <v>159.5</v>
      </c>
      <c r="N114" s="60">
        <f t="shared" si="36"/>
        <v>1</v>
      </c>
      <c r="O114" s="59">
        <f t="shared" si="37"/>
        <v>159.5</v>
      </c>
      <c r="P114" s="58">
        <f t="shared" si="38"/>
        <v>1179.5</v>
      </c>
    </row>
    <row r="115" spans="1:16" ht="12">
      <c r="A115" s="65">
        <v>46236</v>
      </c>
      <c r="B115" s="64" t="s">
        <v>587</v>
      </c>
      <c r="C115" s="64" t="s">
        <v>583</v>
      </c>
      <c r="D115" s="64" t="s">
        <v>563</v>
      </c>
      <c r="E115" s="64" t="s">
        <v>586</v>
      </c>
      <c r="F115" s="63">
        <v>0.25</v>
      </c>
      <c r="G115" s="63">
        <v>0.75</v>
      </c>
      <c r="H115" s="62">
        <v>12</v>
      </c>
      <c r="I115" s="61">
        <f t="shared" si="33"/>
        <v>12</v>
      </c>
      <c r="J115" s="61">
        <f t="shared" si="34"/>
        <v>12</v>
      </c>
      <c r="K115" s="59">
        <v>75</v>
      </c>
      <c r="L115" s="59">
        <f t="shared" si="35"/>
        <v>900</v>
      </c>
      <c r="M115" s="59">
        <v>159.5</v>
      </c>
      <c r="N115" s="60">
        <f t="shared" si="36"/>
        <v>1</v>
      </c>
      <c r="O115" s="59">
        <f t="shared" si="37"/>
        <v>159.5</v>
      </c>
      <c r="P115" s="58">
        <f t="shared" si="38"/>
        <v>1059.5</v>
      </c>
    </row>
    <row r="116" spans="1:16" ht="12">
      <c r="A116" s="65">
        <v>46236</v>
      </c>
      <c r="B116" s="64" t="s">
        <v>587</v>
      </c>
      <c r="C116" s="64" t="s">
        <v>583</v>
      </c>
      <c r="D116" s="64" t="s">
        <v>566</v>
      </c>
      <c r="E116" s="64" t="s">
        <v>709</v>
      </c>
      <c r="F116" s="63">
        <v>0.25</v>
      </c>
      <c r="G116" s="63">
        <v>0.75</v>
      </c>
      <c r="H116" s="62">
        <v>12</v>
      </c>
      <c r="I116" s="61">
        <f t="shared" ref="I116:I147" si="39">IF(OR(H116="Fatigue Day",H116=""),IF(AND(ISNUMBER(F116),ISNUMBER(G116)),MOD(G116-F116,1)*24,0),IF(ISNUMBER(H116),H116,IF(H116="No Charge",IF(AND(ISNUMBER(F116),ISNUMBER(G116)),MOD(G116-F116,1)*24,0),0)))</f>
        <v>12</v>
      </c>
      <c r="J116" s="61">
        <f t="shared" ref="J116:J147" si="40">IF(OR(H116="No Charge",H116="Fatigue Day"),0,I116)</f>
        <v>12</v>
      </c>
      <c r="K116" s="59">
        <v>75</v>
      </c>
      <c r="L116" s="59">
        <f t="shared" ref="L116:L147" si="41">J116*K116</f>
        <v>900</v>
      </c>
      <c r="M116" s="59">
        <v>159.5</v>
      </c>
      <c r="N116" s="60">
        <f t="shared" ref="N116:N147" si="42">IF(M116&gt;0,1,0)</f>
        <v>1</v>
      </c>
      <c r="O116" s="59">
        <f t="shared" ref="O116:O147" si="43">M116*N116</f>
        <v>159.5</v>
      </c>
      <c r="P116" s="58">
        <f t="shared" ref="P116:P147" si="44">L116+O116</f>
        <v>1059.5</v>
      </c>
    </row>
    <row r="117" spans="1:16" ht="12">
      <c r="A117" s="65">
        <v>46236</v>
      </c>
      <c r="B117" s="64" t="s">
        <v>587</v>
      </c>
      <c r="C117" s="64" t="s">
        <v>591</v>
      </c>
      <c r="D117" s="64" t="s">
        <v>569</v>
      </c>
      <c r="E117" s="64" t="s">
        <v>590</v>
      </c>
      <c r="F117" s="63">
        <v>0.75</v>
      </c>
      <c r="G117" s="63">
        <v>0.25</v>
      </c>
      <c r="H117" s="62">
        <v>12</v>
      </c>
      <c r="I117" s="61">
        <f t="shared" si="39"/>
        <v>12</v>
      </c>
      <c r="J117" s="61">
        <f t="shared" si="40"/>
        <v>12</v>
      </c>
      <c r="K117" s="59">
        <v>75</v>
      </c>
      <c r="L117" s="59">
        <f t="shared" si="41"/>
        <v>900</v>
      </c>
      <c r="M117" s="59">
        <v>159.5</v>
      </c>
      <c r="N117" s="60">
        <f t="shared" si="42"/>
        <v>1</v>
      </c>
      <c r="O117" s="59">
        <f t="shared" si="43"/>
        <v>159.5</v>
      </c>
      <c r="P117" s="58">
        <f t="shared" si="44"/>
        <v>1059.5</v>
      </c>
    </row>
    <row r="118" spans="1:16" ht="12">
      <c r="A118" s="65">
        <v>46236</v>
      </c>
      <c r="B118" s="64" t="s">
        <v>587</v>
      </c>
      <c r="C118" s="64" t="s">
        <v>591</v>
      </c>
      <c r="D118" s="64" t="s">
        <v>569</v>
      </c>
      <c r="E118" s="64" t="s">
        <v>708</v>
      </c>
      <c r="F118" s="63"/>
      <c r="G118" s="63"/>
      <c r="H118" s="62" t="s">
        <v>589</v>
      </c>
      <c r="I118" s="61">
        <f t="shared" si="39"/>
        <v>0</v>
      </c>
      <c r="J118" s="61">
        <f t="shared" si="40"/>
        <v>0</v>
      </c>
      <c r="K118" s="59">
        <v>75</v>
      </c>
      <c r="L118" s="59">
        <f t="shared" si="41"/>
        <v>0</v>
      </c>
      <c r="M118" s="59">
        <v>159.5</v>
      </c>
      <c r="N118" s="60">
        <f t="shared" si="42"/>
        <v>1</v>
      </c>
      <c r="O118" s="59">
        <f t="shared" si="43"/>
        <v>159.5</v>
      </c>
      <c r="P118" s="58">
        <f t="shared" si="44"/>
        <v>159.5</v>
      </c>
    </row>
    <row r="119" spans="1:16" ht="12">
      <c r="A119" s="65">
        <v>46237</v>
      </c>
      <c r="B119" s="64" t="s">
        <v>587</v>
      </c>
      <c r="C119" s="64" t="s">
        <v>583</v>
      </c>
      <c r="D119" s="64" t="s">
        <v>557</v>
      </c>
      <c r="E119" s="64" t="s">
        <v>584</v>
      </c>
      <c r="F119" s="63">
        <v>0.25</v>
      </c>
      <c r="G119" s="63">
        <v>0.75</v>
      </c>
      <c r="H119" s="62" t="s">
        <v>588</v>
      </c>
      <c r="I119" s="61">
        <f t="shared" si="39"/>
        <v>12</v>
      </c>
      <c r="J119" s="61">
        <f t="shared" si="40"/>
        <v>0</v>
      </c>
      <c r="K119" s="59">
        <v>85</v>
      </c>
      <c r="L119" s="59">
        <f t="shared" si="41"/>
        <v>0</v>
      </c>
      <c r="M119" s="59">
        <v>159.5</v>
      </c>
      <c r="N119" s="60">
        <f t="shared" si="42"/>
        <v>1</v>
      </c>
      <c r="O119" s="59">
        <f t="shared" si="43"/>
        <v>159.5</v>
      </c>
      <c r="P119" s="58">
        <f t="shared" si="44"/>
        <v>159.5</v>
      </c>
    </row>
    <row r="120" spans="1:16" ht="12">
      <c r="A120" s="65">
        <v>46237</v>
      </c>
      <c r="B120" s="64" t="s">
        <v>587</v>
      </c>
      <c r="C120" s="64" t="s">
        <v>583</v>
      </c>
      <c r="D120" s="64" t="s">
        <v>560</v>
      </c>
      <c r="E120" s="64" t="s">
        <v>585</v>
      </c>
      <c r="F120" s="63">
        <v>0.25</v>
      </c>
      <c r="G120" s="63">
        <v>0.75</v>
      </c>
      <c r="H120" s="62">
        <v>12</v>
      </c>
      <c r="I120" s="61">
        <f t="shared" si="39"/>
        <v>12</v>
      </c>
      <c r="J120" s="61">
        <f t="shared" si="40"/>
        <v>12</v>
      </c>
      <c r="K120" s="59">
        <v>85</v>
      </c>
      <c r="L120" s="59">
        <f t="shared" si="41"/>
        <v>1020</v>
      </c>
      <c r="M120" s="59">
        <v>159.5</v>
      </c>
      <c r="N120" s="60">
        <f t="shared" si="42"/>
        <v>1</v>
      </c>
      <c r="O120" s="59">
        <f t="shared" si="43"/>
        <v>159.5</v>
      </c>
      <c r="P120" s="58">
        <f t="shared" si="44"/>
        <v>1179.5</v>
      </c>
    </row>
    <row r="121" spans="1:16" ht="12">
      <c r="A121" s="65">
        <v>46237</v>
      </c>
      <c r="B121" s="64" t="s">
        <v>587</v>
      </c>
      <c r="C121" s="64" t="s">
        <v>583</v>
      </c>
      <c r="D121" s="64" t="s">
        <v>563</v>
      </c>
      <c r="E121" s="64" t="s">
        <v>586</v>
      </c>
      <c r="F121" s="63">
        <v>0.25</v>
      </c>
      <c r="G121" s="63">
        <v>0.75</v>
      </c>
      <c r="H121" s="62">
        <v>12</v>
      </c>
      <c r="I121" s="61">
        <f t="shared" si="39"/>
        <v>12</v>
      </c>
      <c r="J121" s="61">
        <f t="shared" si="40"/>
        <v>12</v>
      </c>
      <c r="K121" s="59">
        <v>75</v>
      </c>
      <c r="L121" s="59">
        <f t="shared" si="41"/>
        <v>900</v>
      </c>
      <c r="M121" s="59">
        <v>159.5</v>
      </c>
      <c r="N121" s="60">
        <f t="shared" si="42"/>
        <v>1</v>
      </c>
      <c r="O121" s="59">
        <f t="shared" si="43"/>
        <v>159.5</v>
      </c>
      <c r="P121" s="58">
        <f t="shared" si="44"/>
        <v>1059.5</v>
      </c>
    </row>
    <row r="122" spans="1:16" ht="12">
      <c r="A122" s="65">
        <v>46237</v>
      </c>
      <c r="B122" s="64" t="s">
        <v>587</v>
      </c>
      <c r="C122" s="64" t="s">
        <v>583</v>
      </c>
      <c r="D122" s="64" t="s">
        <v>566</v>
      </c>
      <c r="E122" s="64" t="s">
        <v>709</v>
      </c>
      <c r="F122" s="63">
        <v>0.25</v>
      </c>
      <c r="G122" s="63">
        <v>0.75</v>
      </c>
      <c r="H122" s="62">
        <v>12</v>
      </c>
      <c r="I122" s="61">
        <f t="shared" si="39"/>
        <v>12</v>
      </c>
      <c r="J122" s="61">
        <f t="shared" si="40"/>
        <v>12</v>
      </c>
      <c r="K122" s="59">
        <v>75</v>
      </c>
      <c r="L122" s="59">
        <f t="shared" si="41"/>
        <v>900</v>
      </c>
      <c r="M122" s="59">
        <v>159.5</v>
      </c>
      <c r="N122" s="60">
        <f t="shared" si="42"/>
        <v>1</v>
      </c>
      <c r="O122" s="59">
        <f t="shared" si="43"/>
        <v>159.5</v>
      </c>
      <c r="P122" s="58">
        <f t="shared" si="44"/>
        <v>1059.5</v>
      </c>
    </row>
    <row r="123" spans="1:16" ht="12">
      <c r="A123" s="65">
        <v>46237</v>
      </c>
      <c r="B123" s="64" t="s">
        <v>587</v>
      </c>
      <c r="C123" s="64" t="s">
        <v>591</v>
      </c>
      <c r="D123" s="64" t="s">
        <v>569</v>
      </c>
      <c r="E123" s="64" t="s">
        <v>590</v>
      </c>
      <c r="F123" s="63">
        <v>0.75</v>
      </c>
      <c r="G123" s="63">
        <v>0.25</v>
      </c>
      <c r="H123" s="62">
        <v>12</v>
      </c>
      <c r="I123" s="61">
        <f t="shared" si="39"/>
        <v>12</v>
      </c>
      <c r="J123" s="61">
        <f t="shared" si="40"/>
        <v>12</v>
      </c>
      <c r="K123" s="59">
        <v>75</v>
      </c>
      <c r="L123" s="59">
        <f t="shared" si="41"/>
        <v>900</v>
      </c>
      <c r="M123" s="59">
        <v>159.5</v>
      </c>
      <c r="N123" s="60">
        <f t="shared" si="42"/>
        <v>1</v>
      </c>
      <c r="O123" s="59">
        <f t="shared" si="43"/>
        <v>159.5</v>
      </c>
      <c r="P123" s="58">
        <f t="shared" si="44"/>
        <v>1059.5</v>
      </c>
    </row>
    <row r="124" spans="1:16" ht="12">
      <c r="A124" s="65">
        <v>46237</v>
      </c>
      <c r="B124" s="64" t="s">
        <v>587</v>
      </c>
      <c r="C124" s="64" t="s">
        <v>591</v>
      </c>
      <c r="D124" s="64" t="s">
        <v>569</v>
      </c>
      <c r="E124" s="64" t="s">
        <v>708</v>
      </c>
      <c r="F124" s="63">
        <v>0.75</v>
      </c>
      <c r="G124" s="63">
        <v>0.25</v>
      </c>
      <c r="H124" s="62">
        <v>12</v>
      </c>
      <c r="I124" s="61">
        <f t="shared" si="39"/>
        <v>12</v>
      </c>
      <c r="J124" s="61">
        <f t="shared" si="40"/>
        <v>12</v>
      </c>
      <c r="K124" s="59">
        <v>75</v>
      </c>
      <c r="L124" s="59">
        <f t="shared" si="41"/>
        <v>900</v>
      </c>
      <c r="M124" s="59">
        <v>159.5</v>
      </c>
      <c r="N124" s="60">
        <f t="shared" si="42"/>
        <v>1</v>
      </c>
      <c r="O124" s="59">
        <f t="shared" si="43"/>
        <v>159.5</v>
      </c>
      <c r="P124" s="58">
        <f t="shared" si="44"/>
        <v>1059.5</v>
      </c>
    </row>
    <row r="125" spans="1:16" ht="12">
      <c r="A125" s="65">
        <v>46238</v>
      </c>
      <c r="B125" s="64" t="s">
        <v>587</v>
      </c>
      <c r="C125" s="64" t="s">
        <v>583</v>
      </c>
      <c r="D125" s="64" t="s">
        <v>557</v>
      </c>
      <c r="E125" s="64" t="s">
        <v>584</v>
      </c>
      <c r="F125" s="63">
        <v>0.25</v>
      </c>
      <c r="G125" s="63">
        <v>0.75</v>
      </c>
      <c r="H125" s="62">
        <v>12</v>
      </c>
      <c r="I125" s="61">
        <f t="shared" si="39"/>
        <v>12</v>
      </c>
      <c r="J125" s="61">
        <f t="shared" si="40"/>
        <v>12</v>
      </c>
      <c r="K125" s="59">
        <v>85</v>
      </c>
      <c r="L125" s="59">
        <f t="shared" si="41"/>
        <v>1020</v>
      </c>
      <c r="M125" s="59">
        <v>159.5</v>
      </c>
      <c r="N125" s="60">
        <f t="shared" si="42"/>
        <v>1</v>
      </c>
      <c r="O125" s="59">
        <f t="shared" si="43"/>
        <v>159.5</v>
      </c>
      <c r="P125" s="58">
        <f t="shared" si="44"/>
        <v>1179.5</v>
      </c>
    </row>
    <row r="126" spans="1:16" ht="12">
      <c r="A126" s="65">
        <v>46238</v>
      </c>
      <c r="B126" s="64" t="s">
        <v>587</v>
      </c>
      <c r="C126" s="64" t="s">
        <v>583</v>
      </c>
      <c r="D126" s="64" t="s">
        <v>560</v>
      </c>
      <c r="E126" s="64" t="s">
        <v>585</v>
      </c>
      <c r="F126" s="63"/>
      <c r="G126" s="63"/>
      <c r="H126" s="62" t="s">
        <v>589</v>
      </c>
      <c r="I126" s="61">
        <f t="shared" si="39"/>
        <v>0</v>
      </c>
      <c r="J126" s="61">
        <f t="shared" si="40"/>
        <v>0</v>
      </c>
      <c r="K126" s="59">
        <v>75</v>
      </c>
      <c r="L126" s="59">
        <f t="shared" si="41"/>
        <v>0</v>
      </c>
      <c r="M126" s="59">
        <v>159.5</v>
      </c>
      <c r="N126" s="60">
        <f t="shared" si="42"/>
        <v>1</v>
      </c>
      <c r="O126" s="59">
        <f t="shared" si="43"/>
        <v>159.5</v>
      </c>
      <c r="P126" s="58">
        <f t="shared" si="44"/>
        <v>159.5</v>
      </c>
    </row>
    <row r="127" spans="1:16" ht="12">
      <c r="A127" s="65">
        <v>46238</v>
      </c>
      <c r="B127" s="64" t="s">
        <v>587</v>
      </c>
      <c r="C127" s="64" t="s">
        <v>583</v>
      </c>
      <c r="D127" s="64" t="s">
        <v>563</v>
      </c>
      <c r="E127" s="64" t="s">
        <v>586</v>
      </c>
      <c r="F127" s="63">
        <v>0.25</v>
      </c>
      <c r="G127" s="63">
        <v>0.75</v>
      </c>
      <c r="H127" s="62">
        <v>12</v>
      </c>
      <c r="I127" s="61">
        <f t="shared" si="39"/>
        <v>12</v>
      </c>
      <c r="J127" s="61">
        <f t="shared" si="40"/>
        <v>12</v>
      </c>
      <c r="K127" s="59">
        <v>75</v>
      </c>
      <c r="L127" s="59">
        <f t="shared" si="41"/>
        <v>900</v>
      </c>
      <c r="M127" s="59">
        <v>159.5</v>
      </c>
      <c r="N127" s="60">
        <f t="shared" si="42"/>
        <v>1</v>
      </c>
      <c r="O127" s="59">
        <f t="shared" si="43"/>
        <v>159.5</v>
      </c>
      <c r="P127" s="58">
        <f t="shared" si="44"/>
        <v>1059.5</v>
      </c>
    </row>
    <row r="128" spans="1:16" ht="12">
      <c r="A128" s="65">
        <v>46238</v>
      </c>
      <c r="B128" s="64" t="s">
        <v>587</v>
      </c>
      <c r="C128" s="64" t="s">
        <v>583</v>
      </c>
      <c r="D128" s="64" t="s">
        <v>566</v>
      </c>
      <c r="E128" s="64" t="s">
        <v>709</v>
      </c>
      <c r="F128" s="63">
        <v>0.25</v>
      </c>
      <c r="G128" s="63">
        <v>0.75</v>
      </c>
      <c r="H128" s="62">
        <v>12</v>
      </c>
      <c r="I128" s="61">
        <f t="shared" si="39"/>
        <v>12</v>
      </c>
      <c r="J128" s="61">
        <f t="shared" si="40"/>
        <v>12</v>
      </c>
      <c r="K128" s="59">
        <v>75</v>
      </c>
      <c r="L128" s="59">
        <f t="shared" si="41"/>
        <v>900</v>
      </c>
      <c r="M128" s="59">
        <v>159.5</v>
      </c>
      <c r="N128" s="60">
        <f t="shared" si="42"/>
        <v>1</v>
      </c>
      <c r="O128" s="59">
        <f t="shared" si="43"/>
        <v>159.5</v>
      </c>
      <c r="P128" s="58">
        <f t="shared" si="44"/>
        <v>1059.5</v>
      </c>
    </row>
    <row r="129" spans="1:16" ht="12">
      <c r="A129" s="65">
        <v>46238</v>
      </c>
      <c r="B129" s="64" t="s">
        <v>587</v>
      </c>
      <c r="C129" s="64" t="s">
        <v>591</v>
      </c>
      <c r="D129" s="64" t="s">
        <v>569</v>
      </c>
      <c r="E129" s="64" t="s">
        <v>590</v>
      </c>
      <c r="F129" s="63">
        <v>0.75</v>
      </c>
      <c r="G129" s="63">
        <v>0.25</v>
      </c>
      <c r="H129" s="62">
        <v>12</v>
      </c>
      <c r="I129" s="61">
        <f t="shared" si="39"/>
        <v>12</v>
      </c>
      <c r="J129" s="61">
        <f t="shared" si="40"/>
        <v>12</v>
      </c>
      <c r="K129" s="59">
        <v>75</v>
      </c>
      <c r="L129" s="59">
        <f t="shared" si="41"/>
        <v>900</v>
      </c>
      <c r="M129" s="59">
        <v>159.5</v>
      </c>
      <c r="N129" s="60">
        <f t="shared" si="42"/>
        <v>1</v>
      </c>
      <c r="O129" s="59">
        <f t="shared" si="43"/>
        <v>159.5</v>
      </c>
      <c r="P129" s="58">
        <f t="shared" si="44"/>
        <v>1059.5</v>
      </c>
    </row>
    <row r="130" spans="1:16" ht="12">
      <c r="A130" s="65">
        <v>46238</v>
      </c>
      <c r="B130" s="64" t="s">
        <v>587</v>
      </c>
      <c r="C130" s="64" t="s">
        <v>591</v>
      </c>
      <c r="D130" s="64" t="s">
        <v>569</v>
      </c>
      <c r="E130" s="64" t="s">
        <v>708</v>
      </c>
      <c r="F130" s="63">
        <v>0.75</v>
      </c>
      <c r="G130" s="63">
        <v>0.25</v>
      </c>
      <c r="H130" s="62">
        <v>12</v>
      </c>
      <c r="I130" s="61">
        <f t="shared" si="39"/>
        <v>12</v>
      </c>
      <c r="J130" s="61">
        <f t="shared" si="40"/>
        <v>12</v>
      </c>
      <c r="K130" s="59">
        <v>75</v>
      </c>
      <c r="L130" s="59">
        <f t="shared" si="41"/>
        <v>900</v>
      </c>
      <c r="M130" s="59">
        <v>159.5</v>
      </c>
      <c r="N130" s="60">
        <f t="shared" si="42"/>
        <v>1</v>
      </c>
      <c r="O130" s="59">
        <f t="shared" si="43"/>
        <v>159.5</v>
      </c>
      <c r="P130" s="58">
        <f t="shared" si="44"/>
        <v>1059.5</v>
      </c>
    </row>
    <row r="131" spans="1:16" ht="12">
      <c r="A131" s="65">
        <v>46239</v>
      </c>
      <c r="B131" s="64" t="s">
        <v>587</v>
      </c>
      <c r="C131" s="64" t="s">
        <v>583</v>
      </c>
      <c r="D131" s="64" t="s">
        <v>557</v>
      </c>
      <c r="E131" s="64" t="s">
        <v>584</v>
      </c>
      <c r="F131" s="63">
        <v>0.25</v>
      </c>
      <c r="G131" s="63">
        <v>0.75</v>
      </c>
      <c r="H131" s="62">
        <v>12</v>
      </c>
      <c r="I131" s="61">
        <f t="shared" si="39"/>
        <v>12</v>
      </c>
      <c r="J131" s="61">
        <f t="shared" si="40"/>
        <v>12</v>
      </c>
      <c r="K131" s="59">
        <v>85</v>
      </c>
      <c r="L131" s="59">
        <f t="shared" si="41"/>
        <v>1020</v>
      </c>
      <c r="M131" s="59">
        <v>159.5</v>
      </c>
      <c r="N131" s="60">
        <f t="shared" si="42"/>
        <v>1</v>
      </c>
      <c r="O131" s="59">
        <f t="shared" si="43"/>
        <v>159.5</v>
      </c>
      <c r="P131" s="58">
        <f t="shared" si="44"/>
        <v>1179.5</v>
      </c>
    </row>
    <row r="132" spans="1:16" ht="12">
      <c r="A132" s="65">
        <v>46239</v>
      </c>
      <c r="B132" s="64" t="s">
        <v>587</v>
      </c>
      <c r="C132" s="64" t="s">
        <v>583</v>
      </c>
      <c r="D132" s="64" t="s">
        <v>560</v>
      </c>
      <c r="E132" s="64" t="s">
        <v>585</v>
      </c>
      <c r="F132" s="63">
        <v>0.25</v>
      </c>
      <c r="G132" s="63">
        <v>0.75</v>
      </c>
      <c r="H132" s="62">
        <v>12</v>
      </c>
      <c r="I132" s="61">
        <f t="shared" si="39"/>
        <v>12</v>
      </c>
      <c r="J132" s="61">
        <f t="shared" si="40"/>
        <v>12</v>
      </c>
      <c r="K132" s="59">
        <v>75</v>
      </c>
      <c r="L132" s="59">
        <f t="shared" si="41"/>
        <v>900</v>
      </c>
      <c r="M132" s="59">
        <v>159.5</v>
      </c>
      <c r="N132" s="60">
        <f t="shared" si="42"/>
        <v>1</v>
      </c>
      <c r="O132" s="59">
        <f t="shared" si="43"/>
        <v>159.5</v>
      </c>
      <c r="P132" s="58">
        <f t="shared" si="44"/>
        <v>1059.5</v>
      </c>
    </row>
    <row r="133" spans="1:16" ht="12">
      <c r="A133" s="65">
        <v>46239</v>
      </c>
      <c r="B133" s="64" t="s">
        <v>587</v>
      </c>
      <c r="C133" s="64" t="s">
        <v>583</v>
      </c>
      <c r="D133" s="64" t="s">
        <v>563</v>
      </c>
      <c r="E133" s="64" t="s">
        <v>586</v>
      </c>
      <c r="F133" s="63"/>
      <c r="G133" s="63"/>
      <c r="H133" s="62" t="s">
        <v>589</v>
      </c>
      <c r="I133" s="61">
        <f t="shared" si="39"/>
        <v>0</v>
      </c>
      <c r="J133" s="61">
        <f t="shared" si="40"/>
        <v>0</v>
      </c>
      <c r="K133" s="59">
        <v>75</v>
      </c>
      <c r="L133" s="59">
        <f t="shared" si="41"/>
        <v>0</v>
      </c>
      <c r="M133" s="59">
        <v>159.5</v>
      </c>
      <c r="N133" s="60">
        <f t="shared" si="42"/>
        <v>1</v>
      </c>
      <c r="O133" s="59">
        <f t="shared" si="43"/>
        <v>159.5</v>
      </c>
      <c r="P133" s="58">
        <f t="shared" si="44"/>
        <v>159.5</v>
      </c>
    </row>
    <row r="134" spans="1:16" ht="12">
      <c r="A134" s="65">
        <v>46239</v>
      </c>
      <c r="B134" s="64" t="s">
        <v>587</v>
      </c>
      <c r="C134" s="64" t="s">
        <v>583</v>
      </c>
      <c r="D134" s="64" t="s">
        <v>566</v>
      </c>
      <c r="E134" s="64" t="s">
        <v>709</v>
      </c>
      <c r="F134" s="63">
        <v>0.25</v>
      </c>
      <c r="G134" s="63">
        <v>0.75</v>
      </c>
      <c r="H134" s="62">
        <v>12</v>
      </c>
      <c r="I134" s="61">
        <f t="shared" si="39"/>
        <v>12</v>
      </c>
      <c r="J134" s="61">
        <f t="shared" si="40"/>
        <v>12</v>
      </c>
      <c r="K134" s="59">
        <v>75</v>
      </c>
      <c r="L134" s="59">
        <f t="shared" si="41"/>
        <v>900</v>
      </c>
      <c r="M134" s="59">
        <v>159.5</v>
      </c>
      <c r="N134" s="60">
        <f t="shared" si="42"/>
        <v>1</v>
      </c>
      <c r="O134" s="59">
        <f t="shared" si="43"/>
        <v>159.5</v>
      </c>
      <c r="P134" s="58">
        <f t="shared" si="44"/>
        <v>1059.5</v>
      </c>
    </row>
    <row r="135" spans="1:16" ht="12">
      <c r="A135" s="65">
        <v>46239</v>
      </c>
      <c r="B135" s="64" t="s">
        <v>587</v>
      </c>
      <c r="C135" s="64" t="s">
        <v>591</v>
      </c>
      <c r="D135" s="64" t="s">
        <v>569</v>
      </c>
      <c r="E135" s="64" t="s">
        <v>590</v>
      </c>
      <c r="F135" s="63">
        <v>0.75</v>
      </c>
      <c r="G135" s="63">
        <v>0.25</v>
      </c>
      <c r="H135" s="62">
        <v>12</v>
      </c>
      <c r="I135" s="61">
        <f t="shared" si="39"/>
        <v>12</v>
      </c>
      <c r="J135" s="61">
        <f t="shared" si="40"/>
        <v>12</v>
      </c>
      <c r="K135" s="59">
        <v>75</v>
      </c>
      <c r="L135" s="59">
        <f t="shared" si="41"/>
        <v>900</v>
      </c>
      <c r="M135" s="59">
        <v>159.5</v>
      </c>
      <c r="N135" s="60">
        <f t="shared" si="42"/>
        <v>1</v>
      </c>
      <c r="O135" s="59">
        <f t="shared" si="43"/>
        <v>159.5</v>
      </c>
      <c r="P135" s="58">
        <f t="shared" si="44"/>
        <v>1059.5</v>
      </c>
    </row>
    <row r="136" spans="1:16" ht="12">
      <c r="A136" s="65">
        <v>46239</v>
      </c>
      <c r="B136" s="64" t="s">
        <v>587</v>
      </c>
      <c r="C136" s="64" t="s">
        <v>591</v>
      </c>
      <c r="D136" s="64" t="s">
        <v>569</v>
      </c>
      <c r="E136" s="64" t="s">
        <v>708</v>
      </c>
      <c r="F136" s="63">
        <v>0.75</v>
      </c>
      <c r="G136" s="63">
        <v>0.25</v>
      </c>
      <c r="H136" s="62">
        <v>12</v>
      </c>
      <c r="I136" s="61">
        <f t="shared" si="39"/>
        <v>12</v>
      </c>
      <c r="J136" s="61">
        <f t="shared" si="40"/>
        <v>12</v>
      </c>
      <c r="K136" s="59">
        <v>75</v>
      </c>
      <c r="L136" s="59">
        <f t="shared" si="41"/>
        <v>900</v>
      </c>
      <c r="M136" s="59">
        <v>159.5</v>
      </c>
      <c r="N136" s="60">
        <f t="shared" si="42"/>
        <v>1</v>
      </c>
      <c r="O136" s="59">
        <f t="shared" si="43"/>
        <v>159.5</v>
      </c>
      <c r="P136" s="58">
        <f t="shared" si="44"/>
        <v>1059.5</v>
      </c>
    </row>
    <row r="137" spans="1:16" ht="12">
      <c r="A137" s="65">
        <v>46240</v>
      </c>
      <c r="B137" s="64" t="s">
        <v>587</v>
      </c>
      <c r="C137" s="64" t="s">
        <v>583</v>
      </c>
      <c r="D137" s="64" t="s">
        <v>557</v>
      </c>
      <c r="E137" s="64" t="s">
        <v>584</v>
      </c>
      <c r="F137" s="63">
        <v>0.25</v>
      </c>
      <c r="G137" s="63">
        <v>0.75</v>
      </c>
      <c r="H137" s="62">
        <v>12</v>
      </c>
      <c r="I137" s="61">
        <f t="shared" si="39"/>
        <v>12</v>
      </c>
      <c r="J137" s="61">
        <f t="shared" si="40"/>
        <v>12</v>
      </c>
      <c r="K137" s="59">
        <v>85</v>
      </c>
      <c r="L137" s="59">
        <f t="shared" si="41"/>
        <v>1020</v>
      </c>
      <c r="M137" s="59">
        <v>159.5</v>
      </c>
      <c r="N137" s="60">
        <f t="shared" si="42"/>
        <v>1</v>
      </c>
      <c r="O137" s="59">
        <f t="shared" si="43"/>
        <v>159.5</v>
      </c>
      <c r="P137" s="58">
        <f t="shared" si="44"/>
        <v>1179.5</v>
      </c>
    </row>
    <row r="138" spans="1:16" ht="12">
      <c r="A138" s="65">
        <v>46240</v>
      </c>
      <c r="B138" s="64" t="s">
        <v>587</v>
      </c>
      <c r="C138" s="64" t="s">
        <v>583</v>
      </c>
      <c r="D138" s="64" t="s">
        <v>560</v>
      </c>
      <c r="E138" s="64" t="s">
        <v>585</v>
      </c>
      <c r="F138" s="63">
        <v>0.25</v>
      </c>
      <c r="G138" s="63">
        <v>0.75</v>
      </c>
      <c r="H138" s="62">
        <v>12</v>
      </c>
      <c r="I138" s="61">
        <f t="shared" si="39"/>
        <v>12</v>
      </c>
      <c r="J138" s="61">
        <f t="shared" si="40"/>
        <v>12</v>
      </c>
      <c r="K138" s="59">
        <v>75</v>
      </c>
      <c r="L138" s="59">
        <f t="shared" si="41"/>
        <v>900</v>
      </c>
      <c r="M138" s="59">
        <v>159.5</v>
      </c>
      <c r="N138" s="60">
        <f t="shared" si="42"/>
        <v>1</v>
      </c>
      <c r="O138" s="59">
        <f t="shared" si="43"/>
        <v>159.5</v>
      </c>
      <c r="P138" s="58">
        <f t="shared" si="44"/>
        <v>1059.5</v>
      </c>
    </row>
    <row r="139" spans="1:16" ht="12">
      <c r="A139" s="65">
        <v>46240</v>
      </c>
      <c r="B139" s="64" t="s">
        <v>587</v>
      </c>
      <c r="C139" s="64" t="s">
        <v>583</v>
      </c>
      <c r="D139" s="64" t="s">
        <v>563</v>
      </c>
      <c r="E139" s="64" t="s">
        <v>586</v>
      </c>
      <c r="F139" s="63">
        <v>0.25</v>
      </c>
      <c r="G139" s="63">
        <v>0.75</v>
      </c>
      <c r="H139" s="62">
        <v>12</v>
      </c>
      <c r="I139" s="61">
        <f t="shared" si="39"/>
        <v>12</v>
      </c>
      <c r="J139" s="61">
        <f t="shared" si="40"/>
        <v>12</v>
      </c>
      <c r="K139" s="59">
        <v>75</v>
      </c>
      <c r="L139" s="59">
        <f t="shared" si="41"/>
        <v>900</v>
      </c>
      <c r="M139" s="59">
        <v>159.5</v>
      </c>
      <c r="N139" s="60">
        <f t="shared" si="42"/>
        <v>1</v>
      </c>
      <c r="O139" s="59">
        <f t="shared" si="43"/>
        <v>159.5</v>
      </c>
      <c r="P139" s="58">
        <f t="shared" si="44"/>
        <v>1059.5</v>
      </c>
    </row>
    <row r="140" spans="1:16" ht="12">
      <c r="A140" s="65">
        <v>46240</v>
      </c>
      <c r="B140" s="64" t="s">
        <v>587</v>
      </c>
      <c r="C140" s="64" t="s">
        <v>583</v>
      </c>
      <c r="D140" s="64" t="s">
        <v>566</v>
      </c>
      <c r="E140" s="64" t="s">
        <v>709</v>
      </c>
      <c r="F140" s="63"/>
      <c r="G140" s="63"/>
      <c r="H140" s="62" t="s">
        <v>589</v>
      </c>
      <c r="I140" s="61">
        <f t="shared" si="39"/>
        <v>0</v>
      </c>
      <c r="J140" s="61">
        <f t="shared" si="40"/>
        <v>0</v>
      </c>
      <c r="K140" s="59">
        <v>75</v>
      </c>
      <c r="L140" s="59">
        <f t="shared" si="41"/>
        <v>0</v>
      </c>
      <c r="M140" s="59">
        <v>159.5</v>
      </c>
      <c r="N140" s="60">
        <f t="shared" si="42"/>
        <v>1</v>
      </c>
      <c r="O140" s="59">
        <f t="shared" si="43"/>
        <v>159.5</v>
      </c>
      <c r="P140" s="58">
        <f t="shared" si="44"/>
        <v>159.5</v>
      </c>
    </row>
    <row r="141" spans="1:16" ht="12">
      <c r="A141" s="65">
        <v>46240</v>
      </c>
      <c r="B141" s="64" t="s">
        <v>587</v>
      </c>
      <c r="C141" s="64" t="s">
        <v>591</v>
      </c>
      <c r="D141" s="64" t="s">
        <v>569</v>
      </c>
      <c r="E141" s="64" t="s">
        <v>590</v>
      </c>
      <c r="F141" s="63">
        <v>0.75</v>
      </c>
      <c r="G141" s="63">
        <v>0.25</v>
      </c>
      <c r="H141" s="62">
        <v>12</v>
      </c>
      <c r="I141" s="61">
        <f t="shared" si="39"/>
        <v>12</v>
      </c>
      <c r="J141" s="61">
        <f t="shared" si="40"/>
        <v>12</v>
      </c>
      <c r="K141" s="59">
        <v>75</v>
      </c>
      <c r="L141" s="59">
        <f t="shared" si="41"/>
        <v>900</v>
      </c>
      <c r="M141" s="59">
        <v>159.5</v>
      </c>
      <c r="N141" s="60">
        <f t="shared" si="42"/>
        <v>1</v>
      </c>
      <c r="O141" s="59">
        <f t="shared" si="43"/>
        <v>159.5</v>
      </c>
      <c r="P141" s="58">
        <f t="shared" si="44"/>
        <v>1059.5</v>
      </c>
    </row>
    <row r="142" spans="1:16" ht="12">
      <c r="A142" s="65">
        <v>46240</v>
      </c>
      <c r="B142" s="64" t="s">
        <v>587</v>
      </c>
      <c r="C142" s="64" t="s">
        <v>591</v>
      </c>
      <c r="D142" s="64" t="s">
        <v>569</v>
      </c>
      <c r="E142" s="64" t="s">
        <v>708</v>
      </c>
      <c r="F142" s="63">
        <v>0.75</v>
      </c>
      <c r="G142" s="63">
        <v>0.25</v>
      </c>
      <c r="H142" s="62">
        <v>12</v>
      </c>
      <c r="I142" s="61">
        <f t="shared" si="39"/>
        <v>12</v>
      </c>
      <c r="J142" s="61">
        <f t="shared" si="40"/>
        <v>12</v>
      </c>
      <c r="K142" s="59">
        <v>75</v>
      </c>
      <c r="L142" s="59">
        <f t="shared" si="41"/>
        <v>900</v>
      </c>
      <c r="M142" s="59">
        <v>159.5</v>
      </c>
      <c r="N142" s="60">
        <f t="shared" si="42"/>
        <v>1</v>
      </c>
      <c r="O142" s="59">
        <f t="shared" si="43"/>
        <v>159.5</v>
      </c>
      <c r="P142" s="58">
        <f t="shared" si="44"/>
        <v>1059.5</v>
      </c>
    </row>
    <row r="143" spans="1:16" ht="12">
      <c r="A143" s="65">
        <v>46241</v>
      </c>
      <c r="B143" s="64" t="s">
        <v>587</v>
      </c>
      <c r="C143" s="64" t="s">
        <v>583</v>
      </c>
      <c r="D143" s="64" t="s">
        <v>557</v>
      </c>
      <c r="E143" s="64" t="s">
        <v>584</v>
      </c>
      <c r="F143" s="63">
        <v>0.25</v>
      </c>
      <c r="G143" s="63">
        <v>0.75</v>
      </c>
      <c r="H143" s="62" t="s">
        <v>588</v>
      </c>
      <c r="I143" s="61">
        <f t="shared" si="39"/>
        <v>12</v>
      </c>
      <c r="J143" s="61">
        <f t="shared" si="40"/>
        <v>0</v>
      </c>
      <c r="K143" s="59">
        <v>85</v>
      </c>
      <c r="L143" s="59">
        <f t="shared" si="41"/>
        <v>0</v>
      </c>
      <c r="M143" s="59">
        <v>159.5</v>
      </c>
      <c r="N143" s="60">
        <f t="shared" si="42"/>
        <v>1</v>
      </c>
      <c r="O143" s="59">
        <f t="shared" si="43"/>
        <v>159.5</v>
      </c>
      <c r="P143" s="58">
        <f t="shared" si="44"/>
        <v>159.5</v>
      </c>
    </row>
    <row r="144" spans="1:16" ht="12">
      <c r="A144" s="65">
        <v>46241</v>
      </c>
      <c r="B144" s="64" t="s">
        <v>587</v>
      </c>
      <c r="C144" s="64" t="s">
        <v>583</v>
      </c>
      <c r="D144" s="64" t="s">
        <v>560</v>
      </c>
      <c r="E144" s="64" t="s">
        <v>585</v>
      </c>
      <c r="F144" s="63">
        <v>0.25</v>
      </c>
      <c r="G144" s="63">
        <v>0.75</v>
      </c>
      <c r="H144" s="62">
        <v>12</v>
      </c>
      <c r="I144" s="61">
        <f t="shared" si="39"/>
        <v>12</v>
      </c>
      <c r="J144" s="61">
        <f t="shared" si="40"/>
        <v>12</v>
      </c>
      <c r="K144" s="59">
        <v>85</v>
      </c>
      <c r="L144" s="59">
        <f t="shared" si="41"/>
        <v>1020</v>
      </c>
      <c r="M144" s="59">
        <v>159.5</v>
      </c>
      <c r="N144" s="60">
        <f t="shared" si="42"/>
        <v>1</v>
      </c>
      <c r="O144" s="59">
        <f t="shared" si="43"/>
        <v>159.5</v>
      </c>
      <c r="P144" s="58">
        <f t="shared" si="44"/>
        <v>1179.5</v>
      </c>
    </row>
    <row r="145" spans="1:16" ht="12">
      <c r="A145" s="65">
        <v>46241</v>
      </c>
      <c r="B145" s="64" t="s">
        <v>587</v>
      </c>
      <c r="C145" s="64" t="s">
        <v>583</v>
      </c>
      <c r="D145" s="64" t="s">
        <v>563</v>
      </c>
      <c r="E145" s="64" t="s">
        <v>586</v>
      </c>
      <c r="F145" s="63">
        <v>0.25</v>
      </c>
      <c r="G145" s="63">
        <v>0.75</v>
      </c>
      <c r="H145" s="62">
        <v>12</v>
      </c>
      <c r="I145" s="61">
        <f t="shared" si="39"/>
        <v>12</v>
      </c>
      <c r="J145" s="61">
        <f t="shared" si="40"/>
        <v>12</v>
      </c>
      <c r="K145" s="59">
        <v>75</v>
      </c>
      <c r="L145" s="59">
        <f t="shared" si="41"/>
        <v>900</v>
      </c>
      <c r="M145" s="59">
        <v>159.5</v>
      </c>
      <c r="N145" s="60">
        <f t="shared" si="42"/>
        <v>1</v>
      </c>
      <c r="O145" s="59">
        <f t="shared" si="43"/>
        <v>159.5</v>
      </c>
      <c r="P145" s="58">
        <f t="shared" si="44"/>
        <v>1059.5</v>
      </c>
    </row>
    <row r="146" spans="1:16" ht="12">
      <c r="A146" s="65">
        <v>46241</v>
      </c>
      <c r="B146" s="64" t="s">
        <v>587</v>
      </c>
      <c r="C146" s="64" t="s">
        <v>583</v>
      </c>
      <c r="D146" s="64" t="s">
        <v>566</v>
      </c>
      <c r="E146" s="64" t="s">
        <v>709</v>
      </c>
      <c r="F146" s="63">
        <v>0.25</v>
      </c>
      <c r="G146" s="63">
        <v>0.75</v>
      </c>
      <c r="H146" s="62">
        <v>12</v>
      </c>
      <c r="I146" s="61">
        <f t="shared" si="39"/>
        <v>12</v>
      </c>
      <c r="J146" s="61">
        <f t="shared" si="40"/>
        <v>12</v>
      </c>
      <c r="K146" s="59">
        <v>75</v>
      </c>
      <c r="L146" s="59">
        <f t="shared" si="41"/>
        <v>900</v>
      </c>
      <c r="M146" s="59">
        <v>159.5</v>
      </c>
      <c r="N146" s="60">
        <f t="shared" si="42"/>
        <v>1</v>
      </c>
      <c r="O146" s="59">
        <f t="shared" si="43"/>
        <v>159.5</v>
      </c>
      <c r="P146" s="58">
        <f t="shared" si="44"/>
        <v>1059.5</v>
      </c>
    </row>
    <row r="147" spans="1:16" ht="12">
      <c r="A147" s="65">
        <v>46241</v>
      </c>
      <c r="B147" s="64" t="s">
        <v>587</v>
      </c>
      <c r="C147" s="64" t="s">
        <v>591</v>
      </c>
      <c r="D147" s="64" t="s">
        <v>569</v>
      </c>
      <c r="E147" s="64" t="s">
        <v>590</v>
      </c>
      <c r="F147" s="63">
        <v>0.75</v>
      </c>
      <c r="G147" s="63">
        <v>0.25</v>
      </c>
      <c r="H147" s="62">
        <v>12</v>
      </c>
      <c r="I147" s="61">
        <f t="shared" si="39"/>
        <v>12</v>
      </c>
      <c r="J147" s="61">
        <f t="shared" si="40"/>
        <v>12</v>
      </c>
      <c r="K147" s="59">
        <v>75</v>
      </c>
      <c r="L147" s="59">
        <f t="shared" si="41"/>
        <v>900</v>
      </c>
      <c r="M147" s="59">
        <v>159.5</v>
      </c>
      <c r="N147" s="60">
        <f t="shared" si="42"/>
        <v>1</v>
      </c>
      <c r="O147" s="59">
        <f t="shared" si="43"/>
        <v>159.5</v>
      </c>
      <c r="P147" s="58">
        <f t="shared" si="44"/>
        <v>1059.5</v>
      </c>
    </row>
    <row r="148" spans="1:16" ht="12">
      <c r="A148" s="65">
        <v>46241</v>
      </c>
      <c r="B148" s="64" t="s">
        <v>587</v>
      </c>
      <c r="C148" s="64" t="s">
        <v>591</v>
      </c>
      <c r="D148" s="64" t="s">
        <v>569</v>
      </c>
      <c r="E148" s="64" t="s">
        <v>708</v>
      </c>
      <c r="F148" s="63">
        <v>0.75</v>
      </c>
      <c r="G148" s="63">
        <v>0.25</v>
      </c>
      <c r="H148" s="62">
        <v>12</v>
      </c>
      <c r="I148" s="61">
        <f t="shared" ref="I148:I179" si="45">IF(OR(H148="Fatigue Day",H148=""),IF(AND(ISNUMBER(F148),ISNUMBER(G148)),MOD(G148-F148,1)*24,0),IF(ISNUMBER(H148),H148,IF(H148="No Charge",IF(AND(ISNUMBER(F148),ISNUMBER(G148)),MOD(G148-F148,1)*24,0),0)))</f>
        <v>12</v>
      </c>
      <c r="J148" s="61">
        <f t="shared" ref="J148:J179" si="46">IF(OR(H148="No Charge",H148="Fatigue Day"),0,I148)</f>
        <v>12</v>
      </c>
      <c r="K148" s="59">
        <v>75</v>
      </c>
      <c r="L148" s="59">
        <f t="shared" ref="L148:L179" si="47">J148*K148</f>
        <v>900</v>
      </c>
      <c r="M148" s="59">
        <v>159.5</v>
      </c>
      <c r="N148" s="60">
        <f t="shared" ref="N148:N179" si="48">IF(M148&gt;0,1,0)</f>
        <v>1</v>
      </c>
      <c r="O148" s="59">
        <f t="shared" ref="O148:O179" si="49">M148*N148</f>
        <v>159.5</v>
      </c>
      <c r="P148" s="58">
        <f t="shared" ref="P148:P179" si="50">L148+O148</f>
        <v>1059.5</v>
      </c>
    </row>
    <row r="149" spans="1:16" ht="12">
      <c r="A149" s="65">
        <v>46242</v>
      </c>
      <c r="B149" s="64" t="s">
        <v>587</v>
      </c>
      <c r="C149" s="64" t="s">
        <v>583</v>
      </c>
      <c r="D149" s="64" t="s">
        <v>557</v>
      </c>
      <c r="E149" s="64" t="s">
        <v>584</v>
      </c>
      <c r="F149" s="63">
        <v>0.25</v>
      </c>
      <c r="G149" s="63">
        <v>0.75</v>
      </c>
      <c r="H149" s="62" t="s">
        <v>588</v>
      </c>
      <c r="I149" s="61">
        <f t="shared" si="45"/>
        <v>12</v>
      </c>
      <c r="J149" s="61">
        <f t="shared" si="46"/>
        <v>0</v>
      </c>
      <c r="K149" s="59">
        <v>85</v>
      </c>
      <c r="L149" s="59">
        <f t="shared" si="47"/>
        <v>0</v>
      </c>
      <c r="M149" s="59">
        <v>159.5</v>
      </c>
      <c r="N149" s="60">
        <f t="shared" si="48"/>
        <v>1</v>
      </c>
      <c r="O149" s="59">
        <f t="shared" si="49"/>
        <v>159.5</v>
      </c>
      <c r="P149" s="58">
        <f t="shared" si="50"/>
        <v>159.5</v>
      </c>
    </row>
    <row r="150" spans="1:16" ht="12">
      <c r="A150" s="65">
        <v>46242</v>
      </c>
      <c r="B150" s="64" t="s">
        <v>587</v>
      </c>
      <c r="C150" s="64" t="s">
        <v>583</v>
      </c>
      <c r="D150" s="64" t="s">
        <v>560</v>
      </c>
      <c r="E150" s="64" t="s">
        <v>585</v>
      </c>
      <c r="F150" s="63">
        <v>0.25</v>
      </c>
      <c r="G150" s="63">
        <v>0.75</v>
      </c>
      <c r="H150" s="62">
        <v>12</v>
      </c>
      <c r="I150" s="61">
        <f t="shared" si="45"/>
        <v>12</v>
      </c>
      <c r="J150" s="61">
        <f t="shared" si="46"/>
        <v>12</v>
      </c>
      <c r="K150" s="59">
        <v>85</v>
      </c>
      <c r="L150" s="59">
        <f t="shared" si="47"/>
        <v>1020</v>
      </c>
      <c r="M150" s="59">
        <v>159.5</v>
      </c>
      <c r="N150" s="60">
        <f t="shared" si="48"/>
        <v>1</v>
      </c>
      <c r="O150" s="59">
        <f t="shared" si="49"/>
        <v>159.5</v>
      </c>
      <c r="P150" s="58">
        <f t="shared" si="50"/>
        <v>1179.5</v>
      </c>
    </row>
    <row r="151" spans="1:16" ht="12">
      <c r="A151" s="65">
        <v>46242</v>
      </c>
      <c r="B151" s="64" t="s">
        <v>587</v>
      </c>
      <c r="C151" s="64" t="s">
        <v>583</v>
      </c>
      <c r="D151" s="64" t="s">
        <v>563</v>
      </c>
      <c r="E151" s="64" t="s">
        <v>586</v>
      </c>
      <c r="F151" s="63">
        <v>0.25</v>
      </c>
      <c r="G151" s="63">
        <v>0.75</v>
      </c>
      <c r="H151" s="62">
        <v>12</v>
      </c>
      <c r="I151" s="61">
        <f t="shared" si="45"/>
        <v>12</v>
      </c>
      <c r="J151" s="61">
        <f t="shared" si="46"/>
        <v>12</v>
      </c>
      <c r="K151" s="59">
        <v>75</v>
      </c>
      <c r="L151" s="59">
        <f t="shared" si="47"/>
        <v>900</v>
      </c>
      <c r="M151" s="59">
        <v>159.5</v>
      </c>
      <c r="N151" s="60">
        <f t="shared" si="48"/>
        <v>1</v>
      </c>
      <c r="O151" s="59">
        <f t="shared" si="49"/>
        <v>159.5</v>
      </c>
      <c r="P151" s="58">
        <f t="shared" si="50"/>
        <v>1059.5</v>
      </c>
    </row>
    <row r="152" spans="1:16" ht="12">
      <c r="A152" s="65">
        <v>46242</v>
      </c>
      <c r="B152" s="64" t="s">
        <v>587</v>
      </c>
      <c r="C152" s="64" t="s">
        <v>583</v>
      </c>
      <c r="D152" s="64" t="s">
        <v>566</v>
      </c>
      <c r="E152" s="64" t="s">
        <v>709</v>
      </c>
      <c r="F152" s="63">
        <v>0.25</v>
      </c>
      <c r="G152" s="63">
        <v>0.75</v>
      </c>
      <c r="H152" s="62">
        <v>12</v>
      </c>
      <c r="I152" s="61">
        <f t="shared" si="45"/>
        <v>12</v>
      </c>
      <c r="J152" s="61">
        <f t="shared" si="46"/>
        <v>12</v>
      </c>
      <c r="K152" s="59">
        <v>75</v>
      </c>
      <c r="L152" s="59">
        <f t="shared" si="47"/>
        <v>900</v>
      </c>
      <c r="M152" s="59">
        <v>159.5</v>
      </c>
      <c r="N152" s="60">
        <f t="shared" si="48"/>
        <v>1</v>
      </c>
      <c r="O152" s="59">
        <f t="shared" si="49"/>
        <v>159.5</v>
      </c>
      <c r="P152" s="58">
        <f t="shared" si="50"/>
        <v>1059.5</v>
      </c>
    </row>
    <row r="153" spans="1:16" ht="12">
      <c r="A153" s="65">
        <v>46242</v>
      </c>
      <c r="B153" s="64" t="s">
        <v>587</v>
      </c>
      <c r="C153" s="64" t="s">
        <v>591</v>
      </c>
      <c r="D153" s="64" t="s">
        <v>569</v>
      </c>
      <c r="E153" s="64" t="s">
        <v>590</v>
      </c>
      <c r="F153" s="63">
        <v>0.75</v>
      </c>
      <c r="G153" s="63">
        <v>0.25</v>
      </c>
      <c r="H153" s="62">
        <v>12</v>
      </c>
      <c r="I153" s="61">
        <f t="shared" si="45"/>
        <v>12</v>
      </c>
      <c r="J153" s="61">
        <f t="shared" si="46"/>
        <v>12</v>
      </c>
      <c r="K153" s="59">
        <v>75</v>
      </c>
      <c r="L153" s="59">
        <f t="shared" si="47"/>
        <v>900</v>
      </c>
      <c r="M153" s="59">
        <v>159.5</v>
      </c>
      <c r="N153" s="60">
        <f t="shared" si="48"/>
        <v>1</v>
      </c>
      <c r="O153" s="59">
        <f t="shared" si="49"/>
        <v>159.5</v>
      </c>
      <c r="P153" s="58">
        <f t="shared" si="50"/>
        <v>1059.5</v>
      </c>
    </row>
    <row r="154" spans="1:16" ht="12">
      <c r="A154" s="65">
        <v>46242</v>
      </c>
      <c r="B154" s="64" t="s">
        <v>587</v>
      </c>
      <c r="C154" s="64" t="s">
        <v>591</v>
      </c>
      <c r="D154" s="64" t="s">
        <v>569</v>
      </c>
      <c r="E154" s="64" t="s">
        <v>708</v>
      </c>
      <c r="F154" s="63">
        <v>0.75</v>
      </c>
      <c r="G154" s="63">
        <v>0.25</v>
      </c>
      <c r="H154" s="62">
        <v>12</v>
      </c>
      <c r="I154" s="61">
        <f t="shared" si="45"/>
        <v>12</v>
      </c>
      <c r="J154" s="61">
        <f t="shared" si="46"/>
        <v>12</v>
      </c>
      <c r="K154" s="59">
        <v>75</v>
      </c>
      <c r="L154" s="59">
        <f t="shared" si="47"/>
        <v>900</v>
      </c>
      <c r="M154" s="59">
        <v>159.5</v>
      </c>
      <c r="N154" s="60">
        <f t="shared" si="48"/>
        <v>1</v>
      </c>
      <c r="O154" s="59">
        <f t="shared" si="49"/>
        <v>159.5</v>
      </c>
      <c r="P154" s="58">
        <f t="shared" si="50"/>
        <v>1059.5</v>
      </c>
    </row>
    <row r="155" spans="1:16" ht="12">
      <c r="A155" s="65">
        <v>46243</v>
      </c>
      <c r="B155" s="64" t="s">
        <v>587</v>
      </c>
      <c r="C155" s="64" t="s">
        <v>583</v>
      </c>
      <c r="D155" s="64" t="s">
        <v>557</v>
      </c>
      <c r="E155" s="64" t="s">
        <v>584</v>
      </c>
      <c r="F155" s="63">
        <v>0.25</v>
      </c>
      <c r="G155" s="63">
        <v>0.75</v>
      </c>
      <c r="H155" s="62" t="s">
        <v>588</v>
      </c>
      <c r="I155" s="61">
        <f t="shared" si="45"/>
        <v>12</v>
      </c>
      <c r="J155" s="61">
        <f t="shared" si="46"/>
        <v>0</v>
      </c>
      <c r="K155" s="59">
        <v>85</v>
      </c>
      <c r="L155" s="59">
        <f t="shared" si="47"/>
        <v>0</v>
      </c>
      <c r="M155" s="59">
        <v>159.5</v>
      </c>
      <c r="N155" s="60">
        <f t="shared" si="48"/>
        <v>1</v>
      </c>
      <c r="O155" s="59">
        <f t="shared" si="49"/>
        <v>159.5</v>
      </c>
      <c r="P155" s="58">
        <f t="shared" si="50"/>
        <v>159.5</v>
      </c>
    </row>
    <row r="156" spans="1:16" ht="12">
      <c r="A156" s="65">
        <v>46243</v>
      </c>
      <c r="B156" s="64" t="s">
        <v>587</v>
      </c>
      <c r="C156" s="64" t="s">
        <v>583</v>
      </c>
      <c r="D156" s="64" t="s">
        <v>560</v>
      </c>
      <c r="E156" s="64" t="s">
        <v>585</v>
      </c>
      <c r="F156" s="63">
        <v>0.25</v>
      </c>
      <c r="G156" s="63">
        <v>0.75</v>
      </c>
      <c r="H156" s="62">
        <v>12</v>
      </c>
      <c r="I156" s="61">
        <f t="shared" si="45"/>
        <v>12</v>
      </c>
      <c r="J156" s="61">
        <f t="shared" si="46"/>
        <v>12</v>
      </c>
      <c r="K156" s="59">
        <v>85</v>
      </c>
      <c r="L156" s="59">
        <f t="shared" si="47"/>
        <v>1020</v>
      </c>
      <c r="M156" s="59">
        <v>159.5</v>
      </c>
      <c r="N156" s="60">
        <f t="shared" si="48"/>
        <v>1</v>
      </c>
      <c r="O156" s="59">
        <f t="shared" si="49"/>
        <v>159.5</v>
      </c>
      <c r="P156" s="58">
        <f t="shared" si="50"/>
        <v>1179.5</v>
      </c>
    </row>
    <row r="157" spans="1:16" ht="12">
      <c r="A157" s="65">
        <v>46243</v>
      </c>
      <c r="B157" s="64" t="s">
        <v>587</v>
      </c>
      <c r="C157" s="64" t="s">
        <v>583</v>
      </c>
      <c r="D157" s="64" t="s">
        <v>563</v>
      </c>
      <c r="E157" s="64" t="s">
        <v>586</v>
      </c>
      <c r="F157" s="63">
        <v>0.25</v>
      </c>
      <c r="G157" s="63">
        <v>0.75</v>
      </c>
      <c r="H157" s="62">
        <v>12</v>
      </c>
      <c r="I157" s="61">
        <f t="shared" si="45"/>
        <v>12</v>
      </c>
      <c r="J157" s="61">
        <f t="shared" si="46"/>
        <v>12</v>
      </c>
      <c r="K157" s="59">
        <v>75</v>
      </c>
      <c r="L157" s="59">
        <f t="shared" si="47"/>
        <v>900</v>
      </c>
      <c r="M157" s="59">
        <v>159.5</v>
      </c>
      <c r="N157" s="60">
        <f t="shared" si="48"/>
        <v>1</v>
      </c>
      <c r="O157" s="59">
        <f t="shared" si="49"/>
        <v>159.5</v>
      </c>
      <c r="P157" s="58">
        <f t="shared" si="50"/>
        <v>1059.5</v>
      </c>
    </row>
    <row r="158" spans="1:16" ht="12">
      <c r="A158" s="65">
        <v>46243</v>
      </c>
      <c r="B158" s="64" t="s">
        <v>587</v>
      </c>
      <c r="C158" s="64" t="s">
        <v>583</v>
      </c>
      <c r="D158" s="64" t="s">
        <v>566</v>
      </c>
      <c r="E158" s="64" t="s">
        <v>709</v>
      </c>
      <c r="F158" s="63">
        <v>0.25</v>
      </c>
      <c r="G158" s="63">
        <v>0.75</v>
      </c>
      <c r="H158" s="62">
        <v>12</v>
      </c>
      <c r="I158" s="61">
        <f t="shared" si="45"/>
        <v>12</v>
      </c>
      <c r="J158" s="61">
        <f t="shared" si="46"/>
        <v>12</v>
      </c>
      <c r="K158" s="59">
        <v>75</v>
      </c>
      <c r="L158" s="59">
        <f t="shared" si="47"/>
        <v>900</v>
      </c>
      <c r="M158" s="59">
        <v>159.5</v>
      </c>
      <c r="N158" s="60">
        <f t="shared" si="48"/>
        <v>1</v>
      </c>
      <c r="O158" s="59">
        <f t="shared" si="49"/>
        <v>159.5</v>
      </c>
      <c r="P158" s="58">
        <f t="shared" si="50"/>
        <v>1059.5</v>
      </c>
    </row>
    <row r="159" spans="1:16" ht="12">
      <c r="A159" s="65">
        <v>46243</v>
      </c>
      <c r="B159" s="64" t="s">
        <v>587</v>
      </c>
      <c r="C159" s="64" t="s">
        <v>591</v>
      </c>
      <c r="D159" s="64" t="s">
        <v>569</v>
      </c>
      <c r="E159" s="64" t="s">
        <v>590</v>
      </c>
      <c r="F159" s="63">
        <v>0.75</v>
      </c>
      <c r="G159" s="63">
        <v>0.25</v>
      </c>
      <c r="H159" s="62">
        <v>12</v>
      </c>
      <c r="I159" s="61">
        <f t="shared" si="45"/>
        <v>12</v>
      </c>
      <c r="J159" s="61">
        <f t="shared" si="46"/>
        <v>12</v>
      </c>
      <c r="K159" s="59">
        <v>75</v>
      </c>
      <c r="L159" s="59">
        <f t="shared" si="47"/>
        <v>900</v>
      </c>
      <c r="M159" s="59">
        <v>159.5</v>
      </c>
      <c r="N159" s="60">
        <f t="shared" si="48"/>
        <v>1</v>
      </c>
      <c r="O159" s="59">
        <f t="shared" si="49"/>
        <v>159.5</v>
      </c>
      <c r="P159" s="58">
        <f t="shared" si="50"/>
        <v>1059.5</v>
      </c>
    </row>
    <row r="160" spans="1:16" ht="12">
      <c r="A160" s="65">
        <v>46243</v>
      </c>
      <c r="B160" s="64" t="s">
        <v>587</v>
      </c>
      <c r="C160" s="64" t="s">
        <v>591</v>
      </c>
      <c r="D160" s="64" t="s">
        <v>569</v>
      </c>
      <c r="E160" s="64" t="s">
        <v>708</v>
      </c>
      <c r="F160" s="63">
        <v>0.75</v>
      </c>
      <c r="G160" s="63">
        <v>0.25</v>
      </c>
      <c r="H160" s="62">
        <v>12</v>
      </c>
      <c r="I160" s="61">
        <f t="shared" si="45"/>
        <v>12</v>
      </c>
      <c r="J160" s="61">
        <f t="shared" si="46"/>
        <v>12</v>
      </c>
      <c r="K160" s="59">
        <v>75</v>
      </c>
      <c r="L160" s="59">
        <f t="shared" si="47"/>
        <v>900</v>
      </c>
      <c r="M160" s="59">
        <v>159.5</v>
      </c>
      <c r="N160" s="60">
        <f t="shared" si="48"/>
        <v>1</v>
      </c>
      <c r="O160" s="59">
        <f t="shared" si="49"/>
        <v>159.5</v>
      </c>
      <c r="P160" s="58">
        <f t="shared" si="50"/>
        <v>1059.5</v>
      </c>
    </row>
    <row r="161" spans="1:16" ht="12">
      <c r="A161" s="65">
        <v>46244</v>
      </c>
      <c r="B161" s="64" t="s">
        <v>587</v>
      </c>
      <c r="C161" s="64" t="s">
        <v>583</v>
      </c>
      <c r="D161" s="64" t="s">
        <v>557</v>
      </c>
      <c r="E161" s="64" t="s">
        <v>584</v>
      </c>
      <c r="F161" s="63">
        <v>0.25</v>
      </c>
      <c r="G161" s="63">
        <v>0.75</v>
      </c>
      <c r="H161" s="62" t="s">
        <v>588</v>
      </c>
      <c r="I161" s="61">
        <f t="shared" si="45"/>
        <v>12</v>
      </c>
      <c r="J161" s="61">
        <f t="shared" si="46"/>
        <v>0</v>
      </c>
      <c r="K161" s="59">
        <v>85</v>
      </c>
      <c r="L161" s="59">
        <f t="shared" si="47"/>
        <v>0</v>
      </c>
      <c r="M161" s="59">
        <v>159.5</v>
      </c>
      <c r="N161" s="60">
        <f t="shared" si="48"/>
        <v>1</v>
      </c>
      <c r="O161" s="59">
        <f t="shared" si="49"/>
        <v>159.5</v>
      </c>
      <c r="P161" s="58">
        <f t="shared" si="50"/>
        <v>159.5</v>
      </c>
    </row>
    <row r="162" spans="1:16" ht="12">
      <c r="A162" s="65">
        <v>46244</v>
      </c>
      <c r="B162" s="64" t="s">
        <v>587</v>
      </c>
      <c r="C162" s="64" t="s">
        <v>583</v>
      </c>
      <c r="D162" s="64" t="s">
        <v>560</v>
      </c>
      <c r="E162" s="64" t="s">
        <v>585</v>
      </c>
      <c r="F162" s="63">
        <v>0.25</v>
      </c>
      <c r="G162" s="63">
        <v>0.75</v>
      </c>
      <c r="H162" s="62">
        <v>12</v>
      </c>
      <c r="I162" s="61">
        <f t="shared" si="45"/>
        <v>12</v>
      </c>
      <c r="J162" s="61">
        <f t="shared" si="46"/>
        <v>12</v>
      </c>
      <c r="K162" s="59">
        <v>85</v>
      </c>
      <c r="L162" s="59">
        <f t="shared" si="47"/>
        <v>1020</v>
      </c>
      <c r="M162" s="59">
        <v>159.5</v>
      </c>
      <c r="N162" s="60">
        <f t="shared" si="48"/>
        <v>1</v>
      </c>
      <c r="O162" s="59">
        <f t="shared" si="49"/>
        <v>159.5</v>
      </c>
      <c r="P162" s="58">
        <f t="shared" si="50"/>
        <v>1179.5</v>
      </c>
    </row>
    <row r="163" spans="1:16" ht="12">
      <c r="A163" s="65">
        <v>46244</v>
      </c>
      <c r="B163" s="64" t="s">
        <v>587</v>
      </c>
      <c r="C163" s="64" t="s">
        <v>583</v>
      </c>
      <c r="D163" s="64" t="s">
        <v>563</v>
      </c>
      <c r="E163" s="64" t="s">
        <v>586</v>
      </c>
      <c r="F163" s="63">
        <v>0.25</v>
      </c>
      <c r="G163" s="63">
        <v>0.75</v>
      </c>
      <c r="H163" s="62">
        <v>12</v>
      </c>
      <c r="I163" s="61">
        <f t="shared" si="45"/>
        <v>12</v>
      </c>
      <c r="J163" s="61">
        <f t="shared" si="46"/>
        <v>12</v>
      </c>
      <c r="K163" s="59">
        <v>75</v>
      </c>
      <c r="L163" s="59">
        <f t="shared" si="47"/>
        <v>900</v>
      </c>
      <c r="M163" s="59">
        <v>159.5</v>
      </c>
      <c r="N163" s="60">
        <f t="shared" si="48"/>
        <v>1</v>
      </c>
      <c r="O163" s="59">
        <f t="shared" si="49"/>
        <v>159.5</v>
      </c>
      <c r="P163" s="58">
        <f t="shared" si="50"/>
        <v>1059.5</v>
      </c>
    </row>
    <row r="164" spans="1:16" ht="12">
      <c r="A164" s="65">
        <v>46244</v>
      </c>
      <c r="B164" s="64" t="s">
        <v>587</v>
      </c>
      <c r="C164" s="64" t="s">
        <v>583</v>
      </c>
      <c r="D164" s="64" t="s">
        <v>566</v>
      </c>
      <c r="E164" s="64" t="s">
        <v>709</v>
      </c>
      <c r="F164" s="63">
        <v>0.25</v>
      </c>
      <c r="G164" s="63">
        <v>0.75</v>
      </c>
      <c r="H164" s="62">
        <v>12</v>
      </c>
      <c r="I164" s="61">
        <f t="shared" si="45"/>
        <v>12</v>
      </c>
      <c r="J164" s="61">
        <f t="shared" si="46"/>
        <v>12</v>
      </c>
      <c r="K164" s="59">
        <v>75</v>
      </c>
      <c r="L164" s="59">
        <f t="shared" si="47"/>
        <v>900</v>
      </c>
      <c r="M164" s="59">
        <v>159.5</v>
      </c>
      <c r="N164" s="60">
        <f t="shared" si="48"/>
        <v>1</v>
      </c>
      <c r="O164" s="59">
        <f t="shared" si="49"/>
        <v>159.5</v>
      </c>
      <c r="P164" s="58">
        <f t="shared" si="50"/>
        <v>1059.5</v>
      </c>
    </row>
    <row r="165" spans="1:16" ht="12">
      <c r="A165" s="65">
        <v>46244</v>
      </c>
      <c r="B165" s="64" t="s">
        <v>587</v>
      </c>
      <c r="C165" s="64" t="s">
        <v>591</v>
      </c>
      <c r="D165" s="64" t="s">
        <v>569</v>
      </c>
      <c r="E165" s="64" t="s">
        <v>590</v>
      </c>
      <c r="F165" s="63">
        <v>0.75</v>
      </c>
      <c r="G165" s="63">
        <v>0.25</v>
      </c>
      <c r="H165" s="62">
        <v>12</v>
      </c>
      <c r="I165" s="61">
        <f t="shared" si="45"/>
        <v>12</v>
      </c>
      <c r="J165" s="61">
        <f t="shared" si="46"/>
        <v>12</v>
      </c>
      <c r="K165" s="59">
        <v>75</v>
      </c>
      <c r="L165" s="59">
        <f t="shared" si="47"/>
        <v>900</v>
      </c>
      <c r="M165" s="59">
        <v>159.5</v>
      </c>
      <c r="N165" s="60">
        <f t="shared" si="48"/>
        <v>1</v>
      </c>
      <c r="O165" s="59">
        <f t="shared" si="49"/>
        <v>159.5</v>
      </c>
      <c r="P165" s="58">
        <f t="shared" si="50"/>
        <v>1059.5</v>
      </c>
    </row>
    <row r="166" spans="1:16" ht="12">
      <c r="A166" s="65">
        <v>46244</v>
      </c>
      <c r="B166" s="64" t="s">
        <v>587</v>
      </c>
      <c r="C166" s="64" t="s">
        <v>591</v>
      </c>
      <c r="D166" s="64" t="s">
        <v>569</v>
      </c>
      <c r="E166" s="64" t="s">
        <v>708</v>
      </c>
      <c r="F166" s="63">
        <v>0.75</v>
      </c>
      <c r="G166" s="63">
        <v>0.25</v>
      </c>
      <c r="H166" s="62">
        <v>12</v>
      </c>
      <c r="I166" s="61">
        <f t="shared" si="45"/>
        <v>12</v>
      </c>
      <c r="J166" s="61">
        <f t="shared" si="46"/>
        <v>12</v>
      </c>
      <c r="K166" s="59">
        <v>75</v>
      </c>
      <c r="L166" s="59">
        <f t="shared" si="47"/>
        <v>900</v>
      </c>
      <c r="M166" s="59">
        <v>159.5</v>
      </c>
      <c r="N166" s="60">
        <f t="shared" si="48"/>
        <v>1</v>
      </c>
      <c r="O166" s="59">
        <f t="shared" si="49"/>
        <v>159.5</v>
      </c>
      <c r="P166" s="58">
        <f t="shared" si="50"/>
        <v>1059.5</v>
      </c>
    </row>
    <row r="167" spans="1:16" ht="12">
      <c r="A167" s="65">
        <v>46245</v>
      </c>
      <c r="B167" s="64" t="s">
        <v>587</v>
      </c>
      <c r="C167" s="64" t="s">
        <v>583</v>
      </c>
      <c r="D167" s="64" t="s">
        <v>557</v>
      </c>
      <c r="E167" s="64" t="s">
        <v>584</v>
      </c>
      <c r="F167" s="63">
        <v>0.25</v>
      </c>
      <c r="G167" s="63">
        <v>0.75</v>
      </c>
      <c r="H167" s="62" t="s">
        <v>588</v>
      </c>
      <c r="I167" s="61">
        <f t="shared" si="45"/>
        <v>12</v>
      </c>
      <c r="J167" s="61">
        <f t="shared" si="46"/>
        <v>0</v>
      </c>
      <c r="K167" s="59">
        <v>85</v>
      </c>
      <c r="L167" s="59">
        <f t="shared" si="47"/>
        <v>0</v>
      </c>
      <c r="M167" s="59">
        <v>159.5</v>
      </c>
      <c r="N167" s="60">
        <f t="shared" si="48"/>
        <v>1</v>
      </c>
      <c r="O167" s="59">
        <f t="shared" si="49"/>
        <v>159.5</v>
      </c>
      <c r="P167" s="58">
        <f t="shared" si="50"/>
        <v>159.5</v>
      </c>
    </row>
    <row r="168" spans="1:16" ht="12">
      <c r="A168" s="65">
        <v>46245</v>
      </c>
      <c r="B168" s="64" t="s">
        <v>587</v>
      </c>
      <c r="C168" s="64" t="s">
        <v>583</v>
      </c>
      <c r="D168" s="64" t="s">
        <v>560</v>
      </c>
      <c r="E168" s="64" t="s">
        <v>585</v>
      </c>
      <c r="F168" s="63">
        <v>0.25</v>
      </c>
      <c r="G168" s="63">
        <v>0.75</v>
      </c>
      <c r="H168" s="62">
        <v>12</v>
      </c>
      <c r="I168" s="61">
        <f t="shared" si="45"/>
        <v>12</v>
      </c>
      <c r="J168" s="61">
        <f t="shared" si="46"/>
        <v>12</v>
      </c>
      <c r="K168" s="59">
        <v>85</v>
      </c>
      <c r="L168" s="59">
        <f t="shared" si="47"/>
        <v>1020</v>
      </c>
      <c r="M168" s="59">
        <v>159.5</v>
      </c>
      <c r="N168" s="60">
        <f t="shared" si="48"/>
        <v>1</v>
      </c>
      <c r="O168" s="59">
        <f t="shared" si="49"/>
        <v>159.5</v>
      </c>
      <c r="P168" s="58">
        <f t="shared" si="50"/>
        <v>1179.5</v>
      </c>
    </row>
    <row r="169" spans="1:16" ht="12">
      <c r="A169" s="65">
        <v>46245</v>
      </c>
      <c r="B169" s="64" t="s">
        <v>587</v>
      </c>
      <c r="C169" s="64" t="s">
        <v>583</v>
      </c>
      <c r="D169" s="64" t="s">
        <v>563</v>
      </c>
      <c r="E169" s="64" t="s">
        <v>586</v>
      </c>
      <c r="F169" s="63">
        <v>0.25</v>
      </c>
      <c r="G169" s="63">
        <v>0.75</v>
      </c>
      <c r="H169" s="62">
        <v>12</v>
      </c>
      <c r="I169" s="61">
        <f t="shared" si="45"/>
        <v>12</v>
      </c>
      <c r="J169" s="61">
        <f t="shared" si="46"/>
        <v>12</v>
      </c>
      <c r="K169" s="59">
        <v>75</v>
      </c>
      <c r="L169" s="59">
        <f t="shared" si="47"/>
        <v>900</v>
      </c>
      <c r="M169" s="59">
        <v>159.5</v>
      </c>
      <c r="N169" s="60">
        <f t="shared" si="48"/>
        <v>1</v>
      </c>
      <c r="O169" s="59">
        <f t="shared" si="49"/>
        <v>159.5</v>
      </c>
      <c r="P169" s="58">
        <f t="shared" si="50"/>
        <v>1059.5</v>
      </c>
    </row>
    <row r="170" spans="1:16" ht="12">
      <c r="A170" s="65">
        <v>46245</v>
      </c>
      <c r="B170" s="64" t="s">
        <v>587</v>
      </c>
      <c r="C170" s="64" t="s">
        <v>583</v>
      </c>
      <c r="D170" s="64" t="s">
        <v>566</v>
      </c>
      <c r="E170" s="64" t="s">
        <v>709</v>
      </c>
      <c r="F170" s="63">
        <v>0.25</v>
      </c>
      <c r="G170" s="63">
        <v>0.75</v>
      </c>
      <c r="H170" s="62">
        <v>12</v>
      </c>
      <c r="I170" s="61">
        <f t="shared" si="45"/>
        <v>12</v>
      </c>
      <c r="J170" s="61">
        <f t="shared" si="46"/>
        <v>12</v>
      </c>
      <c r="K170" s="59">
        <v>75</v>
      </c>
      <c r="L170" s="59">
        <f t="shared" si="47"/>
        <v>900</v>
      </c>
      <c r="M170" s="59">
        <v>159.5</v>
      </c>
      <c r="N170" s="60">
        <f t="shared" si="48"/>
        <v>1</v>
      </c>
      <c r="O170" s="59">
        <f t="shared" si="49"/>
        <v>159.5</v>
      </c>
      <c r="P170" s="58">
        <f t="shared" si="50"/>
        <v>1059.5</v>
      </c>
    </row>
    <row r="171" spans="1:16" ht="12">
      <c r="A171" s="65">
        <v>46245</v>
      </c>
      <c r="B171" s="64" t="s">
        <v>587</v>
      </c>
      <c r="C171" s="64" t="s">
        <v>591</v>
      </c>
      <c r="D171" s="64" t="s">
        <v>569</v>
      </c>
      <c r="E171" s="64" t="s">
        <v>590</v>
      </c>
      <c r="F171" s="63">
        <v>0.75</v>
      </c>
      <c r="G171" s="63">
        <v>0.25</v>
      </c>
      <c r="H171" s="62">
        <v>12</v>
      </c>
      <c r="I171" s="61">
        <f t="shared" si="45"/>
        <v>12</v>
      </c>
      <c r="J171" s="61">
        <f t="shared" si="46"/>
        <v>12</v>
      </c>
      <c r="K171" s="59">
        <v>75</v>
      </c>
      <c r="L171" s="59">
        <f t="shared" si="47"/>
        <v>900</v>
      </c>
      <c r="M171" s="59">
        <v>159.5</v>
      </c>
      <c r="N171" s="60">
        <f t="shared" si="48"/>
        <v>1</v>
      </c>
      <c r="O171" s="59">
        <f t="shared" si="49"/>
        <v>159.5</v>
      </c>
      <c r="P171" s="58">
        <f t="shared" si="50"/>
        <v>1059.5</v>
      </c>
    </row>
    <row r="172" spans="1:16" ht="12">
      <c r="A172" s="65">
        <v>46245</v>
      </c>
      <c r="B172" s="64" t="s">
        <v>587</v>
      </c>
      <c r="C172" s="64" t="s">
        <v>591</v>
      </c>
      <c r="D172" s="64" t="s">
        <v>569</v>
      </c>
      <c r="E172" s="64" t="s">
        <v>708</v>
      </c>
      <c r="F172" s="63">
        <v>0.75</v>
      </c>
      <c r="G172" s="63">
        <v>0.25</v>
      </c>
      <c r="H172" s="62">
        <v>12</v>
      </c>
      <c r="I172" s="61">
        <f t="shared" si="45"/>
        <v>12</v>
      </c>
      <c r="J172" s="61">
        <f t="shared" si="46"/>
        <v>12</v>
      </c>
      <c r="K172" s="59">
        <v>75</v>
      </c>
      <c r="L172" s="59">
        <f t="shared" si="47"/>
        <v>900</v>
      </c>
      <c r="M172" s="59">
        <v>159.5</v>
      </c>
      <c r="N172" s="60">
        <f t="shared" si="48"/>
        <v>1</v>
      </c>
      <c r="O172" s="59">
        <f t="shared" si="49"/>
        <v>159.5</v>
      </c>
      <c r="P172" s="58">
        <f t="shared" si="50"/>
        <v>1059.5</v>
      </c>
    </row>
    <row r="173" spans="1:16" ht="12">
      <c r="A173" s="65">
        <v>46246</v>
      </c>
      <c r="B173" s="64" t="s">
        <v>587</v>
      </c>
      <c r="C173" s="64" t="s">
        <v>583</v>
      </c>
      <c r="D173" s="64" t="s">
        <v>557</v>
      </c>
      <c r="E173" s="64" t="s">
        <v>584</v>
      </c>
      <c r="F173" s="63">
        <v>0.25</v>
      </c>
      <c r="G173" s="63">
        <v>0.75</v>
      </c>
      <c r="H173" s="62" t="s">
        <v>588</v>
      </c>
      <c r="I173" s="61">
        <f t="shared" si="45"/>
        <v>12</v>
      </c>
      <c r="J173" s="61">
        <f t="shared" si="46"/>
        <v>0</v>
      </c>
      <c r="K173" s="59">
        <v>85</v>
      </c>
      <c r="L173" s="59">
        <f t="shared" si="47"/>
        <v>0</v>
      </c>
      <c r="M173" s="59">
        <v>159.5</v>
      </c>
      <c r="N173" s="60">
        <f t="shared" si="48"/>
        <v>1</v>
      </c>
      <c r="O173" s="59">
        <f t="shared" si="49"/>
        <v>159.5</v>
      </c>
      <c r="P173" s="58">
        <f t="shared" si="50"/>
        <v>159.5</v>
      </c>
    </row>
    <row r="174" spans="1:16" ht="12">
      <c r="A174" s="65">
        <v>46246</v>
      </c>
      <c r="B174" s="64" t="s">
        <v>587</v>
      </c>
      <c r="C174" s="64" t="s">
        <v>583</v>
      </c>
      <c r="D174" s="64" t="s">
        <v>560</v>
      </c>
      <c r="E174" s="64" t="s">
        <v>585</v>
      </c>
      <c r="F174" s="63">
        <v>0.25</v>
      </c>
      <c r="G174" s="63">
        <v>0.75</v>
      </c>
      <c r="H174" s="62">
        <v>12</v>
      </c>
      <c r="I174" s="61">
        <f t="shared" si="45"/>
        <v>12</v>
      </c>
      <c r="J174" s="61">
        <f t="shared" si="46"/>
        <v>12</v>
      </c>
      <c r="K174" s="59">
        <v>85</v>
      </c>
      <c r="L174" s="59">
        <f t="shared" si="47"/>
        <v>1020</v>
      </c>
      <c r="M174" s="59">
        <v>159.5</v>
      </c>
      <c r="N174" s="60">
        <f t="shared" si="48"/>
        <v>1</v>
      </c>
      <c r="O174" s="59">
        <f t="shared" si="49"/>
        <v>159.5</v>
      </c>
      <c r="P174" s="58">
        <f t="shared" si="50"/>
        <v>1179.5</v>
      </c>
    </row>
    <row r="175" spans="1:16" ht="12">
      <c r="A175" s="65">
        <v>46246</v>
      </c>
      <c r="B175" s="64" t="s">
        <v>587</v>
      </c>
      <c r="C175" s="64" t="s">
        <v>583</v>
      </c>
      <c r="D175" s="64" t="s">
        <v>563</v>
      </c>
      <c r="E175" s="64" t="s">
        <v>586</v>
      </c>
      <c r="F175" s="63">
        <v>0.25</v>
      </c>
      <c r="G175" s="63">
        <v>0.75</v>
      </c>
      <c r="H175" s="62">
        <v>12</v>
      </c>
      <c r="I175" s="61">
        <f t="shared" si="45"/>
        <v>12</v>
      </c>
      <c r="J175" s="61">
        <f t="shared" si="46"/>
        <v>12</v>
      </c>
      <c r="K175" s="59">
        <v>75</v>
      </c>
      <c r="L175" s="59">
        <f t="shared" si="47"/>
        <v>900</v>
      </c>
      <c r="M175" s="59">
        <v>159.5</v>
      </c>
      <c r="N175" s="60">
        <f t="shared" si="48"/>
        <v>1</v>
      </c>
      <c r="O175" s="59">
        <f t="shared" si="49"/>
        <v>159.5</v>
      </c>
      <c r="P175" s="58">
        <f t="shared" si="50"/>
        <v>1059.5</v>
      </c>
    </row>
    <row r="176" spans="1:16" ht="12">
      <c r="A176" s="65">
        <v>46246</v>
      </c>
      <c r="B176" s="64" t="s">
        <v>587</v>
      </c>
      <c r="C176" s="64" t="s">
        <v>583</v>
      </c>
      <c r="D176" s="64" t="s">
        <v>566</v>
      </c>
      <c r="E176" s="64" t="s">
        <v>709</v>
      </c>
      <c r="F176" s="63">
        <v>0.25</v>
      </c>
      <c r="G176" s="63">
        <v>0.75</v>
      </c>
      <c r="H176" s="62">
        <v>12</v>
      </c>
      <c r="I176" s="61">
        <f t="shared" si="45"/>
        <v>12</v>
      </c>
      <c r="J176" s="61">
        <f t="shared" si="46"/>
        <v>12</v>
      </c>
      <c r="K176" s="59">
        <v>75</v>
      </c>
      <c r="L176" s="59">
        <f t="shared" si="47"/>
        <v>900</v>
      </c>
      <c r="M176" s="59">
        <v>159.5</v>
      </c>
      <c r="N176" s="60">
        <f t="shared" si="48"/>
        <v>1</v>
      </c>
      <c r="O176" s="59">
        <f t="shared" si="49"/>
        <v>159.5</v>
      </c>
      <c r="P176" s="58">
        <f t="shared" si="50"/>
        <v>1059.5</v>
      </c>
    </row>
    <row r="177" spans="1:16" ht="12">
      <c r="A177" s="65">
        <v>46246</v>
      </c>
      <c r="B177" s="64" t="s">
        <v>587</v>
      </c>
      <c r="C177" s="64" t="s">
        <v>591</v>
      </c>
      <c r="D177" s="64" t="s">
        <v>569</v>
      </c>
      <c r="E177" s="64" t="s">
        <v>590</v>
      </c>
      <c r="F177" s="63">
        <v>0.75</v>
      </c>
      <c r="G177" s="63">
        <v>0.25</v>
      </c>
      <c r="H177" s="62">
        <v>8</v>
      </c>
      <c r="I177" s="61">
        <f t="shared" si="45"/>
        <v>8</v>
      </c>
      <c r="J177" s="61">
        <f t="shared" si="46"/>
        <v>8</v>
      </c>
      <c r="K177" s="59">
        <v>75</v>
      </c>
      <c r="L177" s="59">
        <f t="shared" si="47"/>
        <v>600</v>
      </c>
      <c r="M177" s="59">
        <v>159.5</v>
      </c>
      <c r="N177" s="60">
        <f t="shared" si="48"/>
        <v>1</v>
      </c>
      <c r="O177" s="59">
        <f t="shared" si="49"/>
        <v>159.5</v>
      </c>
      <c r="P177" s="58">
        <f t="shared" si="50"/>
        <v>759.5</v>
      </c>
    </row>
    <row r="178" spans="1:16" ht="12">
      <c r="A178" s="65">
        <v>46246</v>
      </c>
      <c r="B178" s="64" t="s">
        <v>587</v>
      </c>
      <c r="C178" s="64" t="s">
        <v>591</v>
      </c>
      <c r="D178" s="64" t="s">
        <v>569</v>
      </c>
      <c r="E178" s="64" t="s">
        <v>708</v>
      </c>
      <c r="F178" s="63">
        <v>0.75</v>
      </c>
      <c r="G178" s="63">
        <v>0.25</v>
      </c>
      <c r="H178" s="62">
        <v>8</v>
      </c>
      <c r="I178" s="61">
        <f t="shared" si="45"/>
        <v>8</v>
      </c>
      <c r="J178" s="61">
        <f t="shared" si="46"/>
        <v>8</v>
      </c>
      <c r="K178" s="59">
        <v>75</v>
      </c>
      <c r="L178" s="59">
        <f t="shared" si="47"/>
        <v>600</v>
      </c>
      <c r="M178" s="59">
        <v>159.5</v>
      </c>
      <c r="N178" s="60">
        <f t="shared" si="48"/>
        <v>1</v>
      </c>
      <c r="O178" s="59">
        <f t="shared" si="49"/>
        <v>159.5</v>
      </c>
      <c r="P178" s="58">
        <f t="shared" si="50"/>
        <v>759.5</v>
      </c>
    </row>
    <row r="179" spans="1:16" ht="12">
      <c r="A179" s="65">
        <v>46247</v>
      </c>
      <c r="B179" s="64" t="s">
        <v>568</v>
      </c>
      <c r="C179" s="64" t="s">
        <v>583</v>
      </c>
      <c r="D179" s="64" t="s">
        <v>560</v>
      </c>
      <c r="E179" s="64" t="s">
        <v>584</v>
      </c>
      <c r="F179" s="63">
        <v>0.25</v>
      </c>
      <c r="G179" s="63">
        <v>0.75</v>
      </c>
      <c r="H179" s="62" t="s">
        <v>588</v>
      </c>
      <c r="I179" s="61">
        <f t="shared" si="45"/>
        <v>12</v>
      </c>
      <c r="J179" s="61">
        <f t="shared" si="46"/>
        <v>0</v>
      </c>
      <c r="K179" s="59">
        <v>75</v>
      </c>
      <c r="L179" s="59">
        <f t="shared" si="47"/>
        <v>0</v>
      </c>
      <c r="M179" s="59">
        <v>159.5</v>
      </c>
      <c r="N179" s="60">
        <f t="shared" si="48"/>
        <v>1</v>
      </c>
      <c r="O179" s="59">
        <f t="shared" si="49"/>
        <v>159.5</v>
      </c>
      <c r="P179" s="58">
        <f t="shared" si="50"/>
        <v>159.5</v>
      </c>
    </row>
    <row r="180" spans="1:16" ht="12">
      <c r="A180" s="65">
        <v>46247</v>
      </c>
      <c r="B180" s="64" t="s">
        <v>568</v>
      </c>
      <c r="C180" s="64" t="s">
        <v>583</v>
      </c>
      <c r="D180" s="64" t="s">
        <v>560</v>
      </c>
      <c r="E180" s="64" t="s">
        <v>585</v>
      </c>
      <c r="F180" s="63">
        <v>0.25</v>
      </c>
      <c r="G180" s="63">
        <v>0.75</v>
      </c>
      <c r="H180" s="62">
        <v>12</v>
      </c>
      <c r="I180" s="61">
        <f t="shared" ref="I180:I190" si="51">IF(OR(H180="Fatigue Day",H180=""),IF(AND(ISNUMBER(F180),ISNUMBER(G180)),MOD(G180-F180,1)*24,0),IF(ISNUMBER(H180),H180,IF(H180="No Charge",IF(AND(ISNUMBER(F180),ISNUMBER(G180)),MOD(G180-F180,1)*24,0),0)))</f>
        <v>12</v>
      </c>
      <c r="J180" s="61">
        <f t="shared" ref="J180:J190" si="52">IF(OR(H180="No Charge",H180="Fatigue Day"),0,I180)</f>
        <v>12</v>
      </c>
      <c r="K180" s="59">
        <v>85</v>
      </c>
      <c r="L180" s="59">
        <f t="shared" ref="L180:L190" si="53">J180*K180</f>
        <v>1020</v>
      </c>
      <c r="M180" s="59">
        <v>159.5</v>
      </c>
      <c r="N180" s="60">
        <f t="shared" ref="N180:N190" si="54">IF(M180&gt;0,1,0)</f>
        <v>1</v>
      </c>
      <c r="O180" s="59">
        <f t="shared" ref="O180:O190" si="55">M180*N180</f>
        <v>159.5</v>
      </c>
      <c r="P180" s="58">
        <f t="shared" ref="P180:P190" si="56">L180+O180</f>
        <v>1179.5</v>
      </c>
    </row>
    <row r="181" spans="1:16" ht="12">
      <c r="A181" s="65">
        <v>46247</v>
      </c>
      <c r="B181" s="64" t="s">
        <v>568</v>
      </c>
      <c r="C181" s="64" t="s">
        <v>583</v>
      </c>
      <c r="D181" s="64" t="s">
        <v>563</v>
      </c>
      <c r="E181" s="64" t="s">
        <v>586</v>
      </c>
      <c r="F181" s="63">
        <v>0.25</v>
      </c>
      <c r="G181" s="63">
        <v>0.75</v>
      </c>
      <c r="H181" s="62">
        <v>12</v>
      </c>
      <c r="I181" s="61">
        <f t="shared" si="51"/>
        <v>12</v>
      </c>
      <c r="J181" s="61">
        <f t="shared" si="52"/>
        <v>12</v>
      </c>
      <c r="K181" s="59">
        <v>75</v>
      </c>
      <c r="L181" s="59">
        <f t="shared" si="53"/>
        <v>900</v>
      </c>
      <c r="M181" s="59">
        <v>159.5</v>
      </c>
      <c r="N181" s="60">
        <f t="shared" si="54"/>
        <v>1</v>
      </c>
      <c r="O181" s="59">
        <f t="shared" si="55"/>
        <v>159.5</v>
      </c>
      <c r="P181" s="58">
        <f t="shared" si="56"/>
        <v>1059.5</v>
      </c>
    </row>
    <row r="182" spans="1:16" ht="12">
      <c r="A182" s="65">
        <v>46247</v>
      </c>
      <c r="B182" s="64" t="s">
        <v>568</v>
      </c>
      <c r="C182" s="64" t="s">
        <v>583</v>
      </c>
      <c r="D182" s="64" t="s">
        <v>566</v>
      </c>
      <c r="E182" s="64" t="s">
        <v>709</v>
      </c>
      <c r="F182" s="63">
        <v>0.25</v>
      </c>
      <c r="G182" s="63">
        <v>0.75</v>
      </c>
      <c r="H182" s="62">
        <v>12</v>
      </c>
      <c r="I182" s="61">
        <f t="shared" si="51"/>
        <v>12</v>
      </c>
      <c r="J182" s="61">
        <f t="shared" si="52"/>
        <v>12</v>
      </c>
      <c r="K182" s="59">
        <v>75</v>
      </c>
      <c r="L182" s="59">
        <f t="shared" si="53"/>
        <v>900</v>
      </c>
      <c r="M182" s="59">
        <v>159.5</v>
      </c>
      <c r="N182" s="60">
        <f t="shared" si="54"/>
        <v>1</v>
      </c>
      <c r="O182" s="59">
        <f t="shared" si="55"/>
        <v>159.5</v>
      </c>
      <c r="P182" s="58">
        <f t="shared" si="56"/>
        <v>1059.5</v>
      </c>
    </row>
    <row r="183" spans="1:16" ht="12">
      <c r="A183" s="65">
        <v>46248</v>
      </c>
      <c r="B183" s="64" t="s">
        <v>568</v>
      </c>
      <c r="C183" s="64" t="s">
        <v>583</v>
      </c>
      <c r="D183" s="64" t="s">
        <v>557</v>
      </c>
      <c r="E183" s="64" t="s">
        <v>584</v>
      </c>
      <c r="F183" s="63">
        <v>0.25</v>
      </c>
      <c r="G183" s="63">
        <v>0.75</v>
      </c>
      <c r="H183" s="62" t="s">
        <v>588</v>
      </c>
      <c r="I183" s="61">
        <f t="shared" si="51"/>
        <v>12</v>
      </c>
      <c r="J183" s="61">
        <f t="shared" si="52"/>
        <v>0</v>
      </c>
      <c r="K183" s="59">
        <v>85</v>
      </c>
      <c r="L183" s="59">
        <f t="shared" si="53"/>
        <v>0</v>
      </c>
      <c r="M183" s="59">
        <v>159.5</v>
      </c>
      <c r="N183" s="60">
        <f t="shared" si="54"/>
        <v>1</v>
      </c>
      <c r="O183" s="59">
        <f t="shared" si="55"/>
        <v>159.5</v>
      </c>
      <c r="P183" s="58">
        <f t="shared" si="56"/>
        <v>159.5</v>
      </c>
    </row>
    <row r="184" spans="1:16" ht="12">
      <c r="A184" s="65">
        <v>46248</v>
      </c>
      <c r="B184" s="64" t="s">
        <v>568</v>
      </c>
      <c r="C184" s="64" t="s">
        <v>583</v>
      </c>
      <c r="D184" s="64" t="s">
        <v>560</v>
      </c>
      <c r="E184" s="64" t="s">
        <v>585</v>
      </c>
      <c r="F184" s="63">
        <v>0.25</v>
      </c>
      <c r="G184" s="63">
        <v>0.75</v>
      </c>
      <c r="H184" s="62">
        <v>12</v>
      </c>
      <c r="I184" s="61">
        <f t="shared" si="51"/>
        <v>12</v>
      </c>
      <c r="J184" s="61">
        <f t="shared" si="52"/>
        <v>12</v>
      </c>
      <c r="K184" s="59">
        <v>85</v>
      </c>
      <c r="L184" s="59">
        <f t="shared" si="53"/>
        <v>1020</v>
      </c>
      <c r="M184" s="59">
        <v>159.5</v>
      </c>
      <c r="N184" s="60">
        <f t="shared" si="54"/>
        <v>1</v>
      </c>
      <c r="O184" s="59">
        <f t="shared" si="55"/>
        <v>159.5</v>
      </c>
      <c r="P184" s="58">
        <f t="shared" si="56"/>
        <v>1179.5</v>
      </c>
    </row>
    <row r="185" spans="1:16" ht="12">
      <c r="A185" s="65">
        <v>46248</v>
      </c>
      <c r="B185" s="64" t="s">
        <v>568</v>
      </c>
      <c r="C185" s="64" t="s">
        <v>583</v>
      </c>
      <c r="D185" s="64" t="s">
        <v>563</v>
      </c>
      <c r="E185" s="64" t="s">
        <v>586</v>
      </c>
      <c r="F185" s="63">
        <v>0.25</v>
      </c>
      <c r="G185" s="63">
        <v>0.75</v>
      </c>
      <c r="H185" s="62">
        <v>12</v>
      </c>
      <c r="I185" s="61">
        <f t="shared" si="51"/>
        <v>12</v>
      </c>
      <c r="J185" s="61">
        <f t="shared" si="52"/>
        <v>12</v>
      </c>
      <c r="K185" s="59">
        <v>75</v>
      </c>
      <c r="L185" s="59">
        <f t="shared" si="53"/>
        <v>900</v>
      </c>
      <c r="M185" s="59">
        <v>159.5</v>
      </c>
      <c r="N185" s="60">
        <f t="shared" si="54"/>
        <v>1</v>
      </c>
      <c r="O185" s="59">
        <f t="shared" si="55"/>
        <v>159.5</v>
      </c>
      <c r="P185" s="58">
        <f t="shared" si="56"/>
        <v>1059.5</v>
      </c>
    </row>
    <row r="186" spans="1:16" ht="12">
      <c r="A186" s="65">
        <v>46248</v>
      </c>
      <c r="B186" s="64" t="s">
        <v>568</v>
      </c>
      <c r="C186" s="64" t="s">
        <v>583</v>
      </c>
      <c r="D186" s="64" t="s">
        <v>566</v>
      </c>
      <c r="E186" s="64" t="s">
        <v>709</v>
      </c>
      <c r="F186" s="63">
        <v>0.25</v>
      </c>
      <c r="G186" s="63">
        <v>0.75</v>
      </c>
      <c r="H186" s="62">
        <v>12</v>
      </c>
      <c r="I186" s="61">
        <f t="shared" si="51"/>
        <v>12</v>
      </c>
      <c r="J186" s="61">
        <f t="shared" si="52"/>
        <v>12</v>
      </c>
      <c r="K186" s="59">
        <v>75</v>
      </c>
      <c r="L186" s="59">
        <f t="shared" si="53"/>
        <v>900</v>
      </c>
      <c r="M186" s="59">
        <v>159.5</v>
      </c>
      <c r="N186" s="60">
        <f t="shared" si="54"/>
        <v>1</v>
      </c>
      <c r="O186" s="59">
        <f t="shared" si="55"/>
        <v>159.5</v>
      </c>
      <c r="P186" s="58">
        <f t="shared" si="56"/>
        <v>1059.5</v>
      </c>
    </row>
    <row r="187" spans="1:16" ht="12">
      <c r="A187" s="65">
        <v>46249</v>
      </c>
      <c r="B187" s="64" t="s">
        <v>568</v>
      </c>
      <c r="C187" s="64" t="s">
        <v>583</v>
      </c>
      <c r="D187" s="64" t="s">
        <v>557</v>
      </c>
      <c r="E187" s="64" t="s">
        <v>584</v>
      </c>
      <c r="F187" s="63">
        <v>0.25</v>
      </c>
      <c r="G187" s="63">
        <v>0.58333333333333337</v>
      </c>
      <c r="H187" s="62">
        <v>8</v>
      </c>
      <c r="I187" s="61">
        <f t="shared" si="51"/>
        <v>8</v>
      </c>
      <c r="J187" s="61">
        <f t="shared" si="52"/>
        <v>8</v>
      </c>
      <c r="K187" s="59">
        <v>85</v>
      </c>
      <c r="L187" s="59">
        <f t="shared" si="53"/>
        <v>680</v>
      </c>
      <c r="M187" s="59">
        <v>159.5</v>
      </c>
      <c r="N187" s="60">
        <f t="shared" si="54"/>
        <v>1</v>
      </c>
      <c r="O187" s="59">
        <f t="shared" si="55"/>
        <v>159.5</v>
      </c>
      <c r="P187" s="58">
        <f t="shared" si="56"/>
        <v>839.5</v>
      </c>
    </row>
    <row r="188" spans="1:16" ht="12">
      <c r="A188" s="65">
        <v>46249</v>
      </c>
      <c r="B188" s="64" t="s">
        <v>568</v>
      </c>
      <c r="C188" s="64" t="s">
        <v>583</v>
      </c>
      <c r="D188" s="64" t="s">
        <v>560</v>
      </c>
      <c r="E188" s="64" t="s">
        <v>585</v>
      </c>
      <c r="F188" s="63">
        <v>0.25</v>
      </c>
      <c r="G188" s="63">
        <v>0.58333333333333337</v>
      </c>
      <c r="H188" s="62">
        <v>8</v>
      </c>
      <c r="I188" s="61">
        <f t="shared" si="51"/>
        <v>8</v>
      </c>
      <c r="J188" s="61">
        <f t="shared" si="52"/>
        <v>8</v>
      </c>
      <c r="K188" s="59">
        <v>75</v>
      </c>
      <c r="L188" s="59">
        <f t="shared" si="53"/>
        <v>600</v>
      </c>
      <c r="M188" s="59">
        <v>159.5</v>
      </c>
      <c r="N188" s="60">
        <f t="shared" si="54"/>
        <v>1</v>
      </c>
      <c r="O188" s="59">
        <f t="shared" si="55"/>
        <v>159.5</v>
      </c>
      <c r="P188" s="58">
        <f t="shared" si="56"/>
        <v>759.5</v>
      </c>
    </row>
    <row r="189" spans="1:16" ht="12">
      <c r="A189" s="65">
        <v>46249</v>
      </c>
      <c r="B189" s="64" t="s">
        <v>568</v>
      </c>
      <c r="C189" s="64" t="s">
        <v>583</v>
      </c>
      <c r="D189" s="64" t="s">
        <v>563</v>
      </c>
      <c r="E189" s="64" t="s">
        <v>586</v>
      </c>
      <c r="F189" s="63">
        <v>0.25</v>
      </c>
      <c r="G189" s="63">
        <v>0.58333333333333337</v>
      </c>
      <c r="H189" s="62">
        <v>8</v>
      </c>
      <c r="I189" s="61">
        <f t="shared" si="51"/>
        <v>8</v>
      </c>
      <c r="J189" s="61">
        <f t="shared" si="52"/>
        <v>8</v>
      </c>
      <c r="K189" s="59">
        <v>75</v>
      </c>
      <c r="L189" s="59">
        <f t="shared" si="53"/>
        <v>600</v>
      </c>
      <c r="M189" s="59">
        <v>159.5</v>
      </c>
      <c r="N189" s="60">
        <f t="shared" si="54"/>
        <v>1</v>
      </c>
      <c r="O189" s="59">
        <f t="shared" si="55"/>
        <v>159.5</v>
      </c>
      <c r="P189" s="58">
        <f t="shared" si="56"/>
        <v>759.5</v>
      </c>
    </row>
    <row r="190" spans="1:16" ht="12">
      <c r="A190" s="57">
        <v>46249</v>
      </c>
      <c r="B190" s="56" t="s">
        <v>568</v>
      </c>
      <c r="C190" s="56" t="s">
        <v>583</v>
      </c>
      <c r="D190" s="56" t="s">
        <v>566</v>
      </c>
      <c r="E190" s="56" t="s">
        <v>709</v>
      </c>
      <c r="F190" s="55">
        <v>0.25</v>
      </c>
      <c r="G190" s="55">
        <v>0.58333333333333337</v>
      </c>
      <c r="H190" s="54">
        <v>8</v>
      </c>
      <c r="I190" s="53">
        <f t="shared" si="51"/>
        <v>8</v>
      </c>
      <c r="J190" s="53">
        <f t="shared" si="52"/>
        <v>8</v>
      </c>
      <c r="K190" s="51">
        <v>75</v>
      </c>
      <c r="L190" s="51">
        <f t="shared" si="53"/>
        <v>600</v>
      </c>
      <c r="M190" s="59">
        <v>159.5</v>
      </c>
      <c r="N190" s="52">
        <f t="shared" si="54"/>
        <v>1</v>
      </c>
      <c r="O190" s="51">
        <f t="shared" si="55"/>
        <v>159.5</v>
      </c>
      <c r="P190" s="50">
        <f t="shared" si="56"/>
        <v>759.5</v>
      </c>
    </row>
    <row r="192" spans="1:16">
      <c r="B192" s="3"/>
      <c r="C192" s="3"/>
    </row>
    <row r="193" spans="1:13" ht="12">
      <c r="A193" s="49" t="s">
        <v>554</v>
      </c>
      <c r="B193" s="48" t="s">
        <v>544</v>
      </c>
      <c r="C193" s="48" t="s">
        <v>545</v>
      </c>
      <c r="D193" s="48" t="s">
        <v>550</v>
      </c>
      <c r="E193" s="48" t="s">
        <v>551</v>
      </c>
      <c r="F193" s="47" t="s">
        <v>552</v>
      </c>
      <c r="H193" s="46" t="s">
        <v>575</v>
      </c>
      <c r="I193" s="45" t="s">
        <v>544</v>
      </c>
      <c r="J193" s="45" t="s">
        <v>545</v>
      </c>
      <c r="K193" s="45" t="s">
        <v>550</v>
      </c>
      <c r="L193" s="45" t="s">
        <v>581</v>
      </c>
      <c r="M193" s="44" t="s">
        <v>552</v>
      </c>
    </row>
    <row r="194" spans="1:13">
      <c r="A194" s="43" t="s">
        <v>557</v>
      </c>
      <c r="B194" s="40">
        <f>SUMIFS($I$16:$I$190,$D$16:$D$190,A194)</f>
        <v>356</v>
      </c>
      <c r="C194" s="40">
        <f>SUMIFS($J$16:$J$190,$D$16:$D$190,A194)</f>
        <v>102</v>
      </c>
      <c r="D194" s="2">
        <f>SUMIFS($L$16:$L$190,$D$16:$D$190,A194)</f>
        <v>8670</v>
      </c>
      <c r="E194" s="2">
        <f>SUMIFS($O$16:$O$190,$D$16:$D$190,A194)</f>
        <v>5423</v>
      </c>
      <c r="F194" s="38">
        <f>D194+E194</f>
        <v>14093</v>
      </c>
      <c r="H194" s="41" t="s">
        <v>584</v>
      </c>
      <c r="I194" s="40">
        <f t="shared" ref="I194:I199" si="57">SUMIFS($I$16:$I$190,$E$16:$E$190,H194)</f>
        <v>368</v>
      </c>
      <c r="J194" s="40">
        <f t="shared" ref="J194:J199" si="58">SUMIFS($J$16:$J$190,$E$16:$E$190,H194)</f>
        <v>102</v>
      </c>
      <c r="K194" s="2">
        <f t="shared" ref="K194:K199" si="59">SUMIFS($L$16:$L$190,$E$16:$E$190,H194)</f>
        <v>8670</v>
      </c>
      <c r="L194" s="39">
        <f t="shared" ref="L194:L199" si="60">SUMIFS($N$16:$N$190,$E$16:$E$190,H194)</f>
        <v>35</v>
      </c>
      <c r="M194" s="38">
        <f t="shared" ref="M194:M199" si="61">K194+SUMIFS($O$16:$O$190,$E$16:$E$190,H194)</f>
        <v>14252.5</v>
      </c>
    </row>
    <row r="195" spans="1:13">
      <c r="A195" s="43" t="s">
        <v>560</v>
      </c>
      <c r="B195" s="40">
        <f>SUMIFS($I$16:$I$190,$D$16:$D$190,A195)</f>
        <v>368</v>
      </c>
      <c r="C195" s="40">
        <f>SUMIFS($J$16:$J$190,$D$16:$D$190,A195)</f>
        <v>346</v>
      </c>
      <c r="D195" s="2">
        <f>SUMIFS($L$16:$L$190,$D$16:$D$190,A195)</f>
        <v>28510</v>
      </c>
      <c r="E195" s="2">
        <f>SUMIFS($O$16:$O$190,$D$16:$D$190,A195)</f>
        <v>5742</v>
      </c>
      <c r="F195" s="38">
        <f>D195+E195</f>
        <v>34252</v>
      </c>
      <c r="H195" s="41" t="s">
        <v>590</v>
      </c>
      <c r="I195" s="40">
        <f t="shared" si="57"/>
        <v>240</v>
      </c>
      <c r="J195" s="40">
        <f t="shared" si="58"/>
        <v>240</v>
      </c>
      <c r="K195" s="2">
        <f t="shared" si="59"/>
        <v>18000</v>
      </c>
      <c r="L195" s="39">
        <f t="shared" si="60"/>
        <v>22</v>
      </c>
      <c r="M195" s="38">
        <f t="shared" si="61"/>
        <v>21509</v>
      </c>
    </row>
    <row r="196" spans="1:13">
      <c r="A196" s="43" t="s">
        <v>563</v>
      </c>
      <c r="B196" s="40">
        <f>SUMIFS($I$16:$I$190,$D$16:$D$190,A196)</f>
        <v>374</v>
      </c>
      <c r="C196" s="40">
        <f>SUMIFS($J$16:$J$190,$D$16:$D$190,A196)</f>
        <v>374</v>
      </c>
      <c r="D196" s="2">
        <f>SUMIFS($L$16:$L$190,$D$16:$D$190,A196)</f>
        <v>28050</v>
      </c>
      <c r="E196" s="2">
        <f>SUMIFS($O$16:$O$190,$D$16:$D$190,A196)</f>
        <v>6061</v>
      </c>
      <c r="F196" s="38">
        <f>D196+E196</f>
        <v>34111</v>
      </c>
      <c r="H196" s="41" t="s">
        <v>586</v>
      </c>
      <c r="I196" s="40">
        <f t="shared" si="57"/>
        <v>346</v>
      </c>
      <c r="J196" s="40">
        <f t="shared" si="58"/>
        <v>346</v>
      </c>
      <c r="K196" s="2">
        <f t="shared" si="59"/>
        <v>25950</v>
      </c>
      <c r="L196" s="39">
        <f t="shared" si="60"/>
        <v>35</v>
      </c>
      <c r="M196" s="38">
        <f t="shared" si="61"/>
        <v>31532.5</v>
      </c>
    </row>
    <row r="197" spans="1:13">
      <c r="A197" s="43" t="s">
        <v>566</v>
      </c>
      <c r="B197" s="40">
        <f>SUMIFS($I$16:$I$190,$D$16:$D$190,A197)</f>
        <v>294</v>
      </c>
      <c r="C197" s="40">
        <f>SUMIFS($J$16:$J$190,$D$16:$D$190,A197)</f>
        <v>294</v>
      </c>
      <c r="D197" s="2">
        <f>SUMIFS($L$16:$L$190,$D$16:$D$190,A197)</f>
        <v>22050</v>
      </c>
      <c r="E197" s="2">
        <f>SUMIFS($O$16:$O$190,$D$16:$D$190,A197)</f>
        <v>4466</v>
      </c>
      <c r="F197" s="38">
        <f>D197+E197</f>
        <v>26516</v>
      </c>
      <c r="H197" s="41" t="s">
        <v>585</v>
      </c>
      <c r="I197" s="40">
        <f t="shared" si="57"/>
        <v>356</v>
      </c>
      <c r="J197" s="40">
        <f t="shared" si="58"/>
        <v>346</v>
      </c>
      <c r="K197" s="2">
        <f t="shared" si="59"/>
        <v>28510</v>
      </c>
      <c r="L197" s="39">
        <f t="shared" si="60"/>
        <v>35</v>
      </c>
      <c r="M197" s="38">
        <f t="shared" si="61"/>
        <v>34092.5</v>
      </c>
    </row>
    <row r="198" spans="1:13">
      <c r="A198" s="42" t="s">
        <v>569</v>
      </c>
      <c r="B198" s="37">
        <f>SUMIFS($I$16:$I$190,$D$16:$D$190,A198)</f>
        <v>432</v>
      </c>
      <c r="C198" s="37">
        <f>SUMIFS($J$16:$J$190,$D$16:$D$190,A198)</f>
        <v>432</v>
      </c>
      <c r="D198" s="36">
        <f>SUMIFS($L$16:$L$190,$D$16:$D$190,A198)</f>
        <v>32400</v>
      </c>
      <c r="E198" s="36">
        <f>SUMIFS($O$16:$O$190,$D$16:$D$190,A198)</f>
        <v>6220.5</v>
      </c>
      <c r="F198" s="35">
        <f>D198+E198</f>
        <v>38620.5</v>
      </c>
      <c r="H198" s="41" t="s">
        <v>709</v>
      </c>
      <c r="I198" s="40">
        <f t="shared" si="57"/>
        <v>294</v>
      </c>
      <c r="J198" s="40">
        <f t="shared" si="58"/>
        <v>294</v>
      </c>
      <c r="K198" s="2">
        <f t="shared" si="59"/>
        <v>22050</v>
      </c>
      <c r="L198" s="39">
        <f t="shared" si="60"/>
        <v>28</v>
      </c>
      <c r="M198" s="38">
        <f t="shared" si="61"/>
        <v>26516</v>
      </c>
    </row>
    <row r="199" spans="1:13">
      <c r="B199" s="3"/>
      <c r="C199" s="3"/>
      <c r="H199" s="41" t="s">
        <v>708</v>
      </c>
      <c r="I199" s="40">
        <f t="shared" si="57"/>
        <v>212</v>
      </c>
      <c r="J199" s="40">
        <f t="shared" si="58"/>
        <v>212</v>
      </c>
      <c r="K199" s="2">
        <f t="shared" si="59"/>
        <v>15900</v>
      </c>
      <c r="L199" s="39">
        <f t="shared" si="60"/>
        <v>19</v>
      </c>
      <c r="M199" s="38">
        <f t="shared" si="61"/>
        <v>18930.5</v>
      </c>
    </row>
  </sheetData>
  <mergeCells count="7">
    <mergeCell ref="I10:P10"/>
    <mergeCell ref="I11:P11"/>
    <mergeCell ref="I6:P6"/>
    <mergeCell ref="A1:P1"/>
    <mergeCell ref="I8:P8"/>
    <mergeCell ref="I7:P7"/>
    <mergeCell ref="I9:P9"/>
  </mergeCells>
  <conditionalFormatting sqref="A16:P190">
    <cfRule type="expression" dxfId="24" priority="1">
      <formula>$C16="Night"</formula>
    </cfRule>
    <cfRule type="expression" dxfId="23" priority="2">
      <formula>$H16="No Charge"</formula>
    </cfRule>
    <cfRule type="expression" dxfId="22" priority="3">
      <formula>$H16="Fatigue Day"</formula>
    </cfRule>
  </conditionalFormatting>
  <dataValidations count="3">
    <dataValidation type="list" sqref="H16:H190" xr:uid="{00000000-0002-0000-0000-000002000000}">
      <formula1>"No Charge,Fatigue Day"</formula1>
    </dataValidation>
    <dataValidation type="list" sqref="C16:C190" xr:uid="{00000000-0002-0000-0000-000001000000}">
      <formula1>"Day,Night"</formula1>
    </dataValidation>
    <dataValidation type="list" sqref="B16:B190" xr:uid="{00000000-0002-0000-0000-000000000000}">
      <formula1>"Drive,Mobilisation,Shutdown,Demob"</formula1>
    </dataValidation>
  </dataValidations>
  <pageMargins left="0.7" right="0.7" top="0.75" bottom="0.75" header="0.3" footer="0.3"/>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A4600"/>
  </sheetPr>
  <dimension ref="A1:AB38"/>
  <sheetViews>
    <sheetView showGridLines="0" zoomScaleNormal="100" workbookViewId="0">
      <pane xSplit="1" ySplit="1" topLeftCell="B2" activePane="bottomRight" state="frozen"/>
      <selection pane="topRight"/>
      <selection pane="bottomLeft"/>
      <selection pane="bottomRight" activeCell="I20" sqref="I20"/>
    </sheetView>
  </sheetViews>
  <sheetFormatPr defaultColWidth="8.69921875" defaultRowHeight="12"/>
  <cols>
    <col min="1" max="1" width="20.69921875" style="34" customWidth="1"/>
    <col min="2" max="25" width="10.09765625" style="16" customWidth="1"/>
    <col min="26" max="28" width="16" style="16" customWidth="1"/>
    <col min="29" max="16384" width="8.69921875" style="6"/>
  </cols>
  <sheetData>
    <row r="1" spans="1:28" s="84" customFormat="1" ht="34.200000000000003" customHeight="1">
      <c r="A1" s="94" t="s">
        <v>572</v>
      </c>
      <c r="B1" s="95" t="s">
        <v>592</v>
      </c>
      <c r="C1" s="96" t="s">
        <v>593</v>
      </c>
      <c r="D1" s="97" t="s">
        <v>594</v>
      </c>
      <c r="E1" s="95" t="s">
        <v>595</v>
      </c>
      <c r="F1" s="96" t="s">
        <v>596</v>
      </c>
      <c r="G1" s="97" t="s">
        <v>597</v>
      </c>
      <c r="H1" s="95" t="s">
        <v>598</v>
      </c>
      <c r="I1" s="96" t="s">
        <v>599</v>
      </c>
      <c r="J1" s="97" t="s">
        <v>600</v>
      </c>
      <c r="K1" s="95" t="s">
        <v>601</v>
      </c>
      <c r="L1" s="96" t="s">
        <v>602</v>
      </c>
      <c r="M1" s="97" t="s">
        <v>603</v>
      </c>
      <c r="N1" s="95" t="s">
        <v>610</v>
      </c>
      <c r="O1" s="96" t="s">
        <v>611</v>
      </c>
      <c r="P1" s="97" t="s">
        <v>612</v>
      </c>
      <c r="Q1" s="95" t="s">
        <v>604</v>
      </c>
      <c r="R1" s="96" t="s">
        <v>605</v>
      </c>
      <c r="S1" s="97" t="s">
        <v>606</v>
      </c>
      <c r="T1" s="95" t="s">
        <v>607</v>
      </c>
      <c r="U1" s="96" t="s">
        <v>608</v>
      </c>
      <c r="V1" s="97" t="s">
        <v>609</v>
      </c>
      <c r="W1" s="95" t="s">
        <v>613</v>
      </c>
      <c r="X1" s="96" t="s">
        <v>614</v>
      </c>
      <c r="Y1" s="97" t="s">
        <v>615</v>
      </c>
      <c r="Z1" s="98" t="s">
        <v>616</v>
      </c>
      <c r="AA1" s="98" t="s">
        <v>617</v>
      </c>
      <c r="AB1" s="99" t="s">
        <v>618</v>
      </c>
    </row>
    <row r="2" spans="1:28">
      <c r="A2" s="89">
        <v>46215</v>
      </c>
      <c r="B2" s="30">
        <v>0</v>
      </c>
      <c r="C2" s="31"/>
      <c r="D2" s="32">
        <f t="shared" ref="D2:D36" si="0">C2-B2</f>
        <v>0</v>
      </c>
      <c r="E2" s="30">
        <v>0</v>
      </c>
      <c r="F2" s="31"/>
      <c r="G2" s="32">
        <f t="shared" ref="G2:G36" si="1">F2-E2</f>
        <v>0</v>
      </c>
      <c r="H2" s="30">
        <v>0</v>
      </c>
      <c r="I2" s="31">
        <v>0</v>
      </c>
      <c r="J2" s="32">
        <f t="shared" ref="J2:J36" si="2">I2-H2</f>
        <v>0</v>
      </c>
      <c r="K2" s="30">
        <v>0</v>
      </c>
      <c r="L2" s="31">
        <v>0</v>
      </c>
      <c r="M2" s="32">
        <f t="shared" ref="M2:M36" si="3">L2-K2</f>
        <v>0</v>
      </c>
      <c r="N2" s="30">
        <v>1880</v>
      </c>
      <c r="O2" s="31">
        <v>1880</v>
      </c>
      <c r="P2" s="32">
        <f t="shared" ref="P2:P36" si="4">O2-N2</f>
        <v>0</v>
      </c>
      <c r="Q2" s="30">
        <v>478.5</v>
      </c>
      <c r="R2" s="31">
        <v>478.5</v>
      </c>
      <c r="S2" s="32">
        <f t="shared" ref="S2:S36" si="5">R2-Q2</f>
        <v>0</v>
      </c>
      <c r="T2" s="30"/>
      <c r="U2" s="31"/>
      <c r="V2" s="32">
        <f t="shared" ref="V2:V36" si="6">U2-T2</f>
        <v>0</v>
      </c>
      <c r="W2" s="30">
        <v>0</v>
      </c>
      <c r="X2" s="31"/>
      <c r="Y2" s="32">
        <f t="shared" ref="Y2:Y36" si="7">X2-W2</f>
        <v>0</v>
      </c>
      <c r="Z2"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2358.5</v>
      </c>
      <c r="AA2"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2358.5</v>
      </c>
      <c r="AB2" s="90">
        <f>AA2-Z2</f>
        <v>0</v>
      </c>
    </row>
    <row r="3" spans="1:28">
      <c r="A3" s="89">
        <v>46216</v>
      </c>
      <c r="B3" s="30">
        <v>0</v>
      </c>
      <c r="C3" s="31"/>
      <c r="D3" s="32">
        <f t="shared" si="0"/>
        <v>0</v>
      </c>
      <c r="E3" s="30">
        <v>0</v>
      </c>
      <c r="F3" s="31"/>
      <c r="G3" s="32">
        <f t="shared" si="1"/>
        <v>0</v>
      </c>
      <c r="H3" s="30">
        <v>0</v>
      </c>
      <c r="I3" s="31">
        <v>0</v>
      </c>
      <c r="J3" s="32">
        <f t="shared" si="2"/>
        <v>0</v>
      </c>
      <c r="K3" s="30">
        <v>0</v>
      </c>
      <c r="L3" s="31">
        <v>0</v>
      </c>
      <c r="M3" s="32">
        <f t="shared" si="3"/>
        <v>0</v>
      </c>
      <c r="N3" s="30">
        <v>2350</v>
      </c>
      <c r="O3" s="31">
        <v>2350</v>
      </c>
      <c r="P3" s="32">
        <f t="shared" si="4"/>
        <v>0</v>
      </c>
      <c r="Q3" s="30">
        <v>478.5</v>
      </c>
      <c r="R3" s="31">
        <v>478.5</v>
      </c>
      <c r="S3" s="32">
        <f t="shared" si="5"/>
        <v>0</v>
      </c>
      <c r="T3" s="30"/>
      <c r="U3" s="31"/>
      <c r="V3" s="32">
        <f t="shared" si="6"/>
        <v>0</v>
      </c>
      <c r="W3" s="30">
        <v>0</v>
      </c>
      <c r="X3" s="31"/>
      <c r="Y3" s="32">
        <f t="shared" si="7"/>
        <v>0</v>
      </c>
      <c r="Z3"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2828.5</v>
      </c>
      <c r="AA3"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2828.5</v>
      </c>
      <c r="AB3" s="90">
        <f t="shared" ref="AB3:AB36" si="8">AA3-Z3</f>
        <v>0</v>
      </c>
    </row>
    <row r="4" spans="1:28">
      <c r="A4" s="89">
        <v>46217</v>
      </c>
      <c r="B4" s="30">
        <v>0</v>
      </c>
      <c r="C4" s="31"/>
      <c r="D4" s="32">
        <f t="shared" si="0"/>
        <v>0</v>
      </c>
      <c r="E4" s="30">
        <v>0</v>
      </c>
      <c r="F4" s="31"/>
      <c r="G4" s="32">
        <f t="shared" si="1"/>
        <v>0</v>
      </c>
      <c r="H4" s="30">
        <v>0</v>
      </c>
      <c r="I4" s="31">
        <v>0</v>
      </c>
      <c r="J4" s="32">
        <f t="shared" si="2"/>
        <v>0</v>
      </c>
      <c r="K4" s="30">
        <v>0</v>
      </c>
      <c r="L4" s="31">
        <v>0</v>
      </c>
      <c r="M4" s="32">
        <f t="shared" si="3"/>
        <v>0</v>
      </c>
      <c r="N4" s="30">
        <v>2350</v>
      </c>
      <c r="O4" s="31">
        <v>2350</v>
      </c>
      <c r="P4" s="32">
        <f t="shared" si="4"/>
        <v>0</v>
      </c>
      <c r="Q4" s="30">
        <v>478.5</v>
      </c>
      <c r="R4" s="31">
        <v>478.5</v>
      </c>
      <c r="S4" s="32">
        <f t="shared" si="5"/>
        <v>0</v>
      </c>
      <c r="T4" s="30"/>
      <c r="U4" s="31"/>
      <c r="V4" s="32">
        <f t="shared" si="6"/>
        <v>0</v>
      </c>
      <c r="W4" s="30">
        <v>0</v>
      </c>
      <c r="X4" s="31"/>
      <c r="Y4" s="32">
        <f t="shared" si="7"/>
        <v>0</v>
      </c>
      <c r="Z4"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2828.5</v>
      </c>
      <c r="AA4"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2828.5</v>
      </c>
      <c r="AB4" s="90">
        <f t="shared" si="8"/>
        <v>0</v>
      </c>
    </row>
    <row r="5" spans="1:28">
      <c r="A5" s="89">
        <v>46218</v>
      </c>
      <c r="B5" s="30">
        <v>0</v>
      </c>
      <c r="C5" s="31"/>
      <c r="D5" s="32">
        <f t="shared" si="0"/>
        <v>0</v>
      </c>
      <c r="E5" s="30">
        <v>0</v>
      </c>
      <c r="F5" s="31"/>
      <c r="G5" s="32">
        <f t="shared" si="1"/>
        <v>0</v>
      </c>
      <c r="H5" s="30">
        <v>0</v>
      </c>
      <c r="I5" s="31">
        <v>0</v>
      </c>
      <c r="J5" s="32">
        <f t="shared" si="2"/>
        <v>0</v>
      </c>
      <c r="K5" s="30">
        <v>0</v>
      </c>
      <c r="L5" s="31">
        <v>0</v>
      </c>
      <c r="M5" s="32">
        <f t="shared" si="3"/>
        <v>0</v>
      </c>
      <c r="N5" s="30">
        <v>2350</v>
      </c>
      <c r="O5" s="31">
        <v>2350</v>
      </c>
      <c r="P5" s="32">
        <f t="shared" si="4"/>
        <v>0</v>
      </c>
      <c r="Q5" s="30">
        <v>478.5</v>
      </c>
      <c r="R5" s="31">
        <v>478.5</v>
      </c>
      <c r="S5" s="32">
        <f t="shared" si="5"/>
        <v>0</v>
      </c>
      <c r="T5" s="30"/>
      <c r="U5" s="31"/>
      <c r="V5" s="32">
        <f t="shared" si="6"/>
        <v>0</v>
      </c>
      <c r="W5" s="30">
        <v>0</v>
      </c>
      <c r="X5" s="31"/>
      <c r="Y5" s="32">
        <f t="shared" si="7"/>
        <v>0</v>
      </c>
      <c r="Z5"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2828.5</v>
      </c>
      <c r="AA5"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2828.5</v>
      </c>
      <c r="AB5" s="90">
        <f t="shared" si="8"/>
        <v>0</v>
      </c>
    </row>
    <row r="6" spans="1:28">
      <c r="A6" s="89">
        <v>46219</v>
      </c>
      <c r="B6" s="30">
        <v>0</v>
      </c>
      <c r="C6" s="31">
        <v>249.07</v>
      </c>
      <c r="D6" s="32">
        <f t="shared" si="0"/>
        <v>249.07</v>
      </c>
      <c r="E6" s="30">
        <v>0</v>
      </c>
      <c r="F6" s="31">
        <v>48.62</v>
      </c>
      <c r="G6" s="32">
        <f t="shared" si="1"/>
        <v>48.62</v>
      </c>
      <c r="H6" s="30">
        <v>0</v>
      </c>
      <c r="I6" s="31">
        <v>0</v>
      </c>
      <c r="J6" s="32">
        <f t="shared" si="2"/>
        <v>0</v>
      </c>
      <c r="K6" s="30">
        <v>0</v>
      </c>
      <c r="L6" s="31">
        <v>0</v>
      </c>
      <c r="M6" s="32">
        <f t="shared" si="3"/>
        <v>0</v>
      </c>
      <c r="N6" s="30">
        <v>2350</v>
      </c>
      <c r="O6" s="31">
        <v>2350</v>
      </c>
      <c r="P6" s="32">
        <f t="shared" si="4"/>
        <v>0</v>
      </c>
      <c r="Q6" s="30">
        <v>478.5</v>
      </c>
      <c r="R6" s="31">
        <v>478.5</v>
      </c>
      <c r="S6" s="32">
        <f t="shared" si="5"/>
        <v>0</v>
      </c>
      <c r="T6" s="30"/>
      <c r="U6" s="31"/>
      <c r="V6" s="32">
        <f t="shared" si="6"/>
        <v>0</v>
      </c>
      <c r="W6" s="30">
        <v>0</v>
      </c>
      <c r="X6" s="31"/>
      <c r="Y6" s="32">
        <f t="shared" si="7"/>
        <v>0</v>
      </c>
      <c r="Z6"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2828.5</v>
      </c>
      <c r="AA6"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3126.19</v>
      </c>
      <c r="AB6" s="90">
        <f t="shared" si="8"/>
        <v>297.69000000000005</v>
      </c>
    </row>
    <row r="7" spans="1:28">
      <c r="A7" s="89">
        <v>46220</v>
      </c>
      <c r="B7" s="30">
        <v>0</v>
      </c>
      <c r="C7" s="31">
        <v>345.53</v>
      </c>
      <c r="D7" s="32">
        <f t="shared" si="0"/>
        <v>345.53</v>
      </c>
      <c r="E7" s="30">
        <v>0</v>
      </c>
      <c r="F7" s="31">
        <v>48.62</v>
      </c>
      <c r="G7" s="32">
        <f t="shared" si="1"/>
        <v>48.62</v>
      </c>
      <c r="H7" s="30">
        <v>896.7</v>
      </c>
      <c r="I7" s="31">
        <v>896.7</v>
      </c>
      <c r="J7" s="32">
        <f t="shared" si="2"/>
        <v>0</v>
      </c>
      <c r="K7" s="30">
        <v>0</v>
      </c>
      <c r="L7" s="31">
        <v>0</v>
      </c>
      <c r="M7" s="32">
        <f t="shared" si="3"/>
        <v>0</v>
      </c>
      <c r="N7" s="30">
        <v>2350</v>
      </c>
      <c r="O7" s="31">
        <v>2350</v>
      </c>
      <c r="P7" s="32">
        <f t="shared" si="4"/>
        <v>0</v>
      </c>
      <c r="Q7" s="30">
        <v>478.5</v>
      </c>
      <c r="R7" s="31">
        <v>478.5</v>
      </c>
      <c r="S7" s="32">
        <f t="shared" si="5"/>
        <v>0</v>
      </c>
      <c r="T7" s="30"/>
      <c r="U7" s="31"/>
      <c r="V7" s="32">
        <f t="shared" si="6"/>
        <v>0</v>
      </c>
      <c r="W7" s="30">
        <v>0</v>
      </c>
      <c r="X7" s="31"/>
      <c r="Y7" s="32">
        <f t="shared" si="7"/>
        <v>0</v>
      </c>
      <c r="Z7"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3725.2</v>
      </c>
      <c r="AA7"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4119.3500000000004</v>
      </c>
      <c r="AB7" s="90">
        <f t="shared" si="8"/>
        <v>394.15000000000055</v>
      </c>
    </row>
    <row r="8" spans="1:28">
      <c r="A8" s="89">
        <v>46221</v>
      </c>
      <c r="B8" s="30">
        <v>0</v>
      </c>
      <c r="C8" s="31">
        <v>345.53</v>
      </c>
      <c r="D8" s="32">
        <f t="shared" si="0"/>
        <v>345.53</v>
      </c>
      <c r="E8" s="30">
        <v>0</v>
      </c>
      <c r="F8" s="31">
        <v>48.62</v>
      </c>
      <c r="G8" s="32">
        <f t="shared" si="1"/>
        <v>48.62</v>
      </c>
      <c r="H8" s="30">
        <v>896.7</v>
      </c>
      <c r="I8" s="31">
        <v>896.7</v>
      </c>
      <c r="J8" s="32">
        <f t="shared" si="2"/>
        <v>0</v>
      </c>
      <c r="K8" s="30">
        <v>0</v>
      </c>
      <c r="L8" s="31">
        <v>0</v>
      </c>
      <c r="M8" s="32">
        <f t="shared" si="3"/>
        <v>0</v>
      </c>
      <c r="N8" s="30">
        <v>0</v>
      </c>
      <c r="O8" s="31">
        <v>0</v>
      </c>
      <c r="P8" s="32">
        <f t="shared" si="4"/>
        <v>0</v>
      </c>
      <c r="Q8" s="30">
        <v>478.5</v>
      </c>
      <c r="R8" s="31">
        <v>478.5</v>
      </c>
      <c r="S8" s="32">
        <f t="shared" si="5"/>
        <v>0</v>
      </c>
      <c r="T8" s="30"/>
      <c r="U8" s="31"/>
      <c r="V8" s="32">
        <f t="shared" si="6"/>
        <v>0</v>
      </c>
      <c r="W8" s="30">
        <v>0</v>
      </c>
      <c r="X8" s="31"/>
      <c r="Y8" s="32">
        <f t="shared" si="7"/>
        <v>0</v>
      </c>
      <c r="Z8"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1375.2</v>
      </c>
      <c r="AA8"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1769.35</v>
      </c>
      <c r="AB8" s="90">
        <f t="shared" si="8"/>
        <v>394.14999999999986</v>
      </c>
    </row>
    <row r="9" spans="1:28">
      <c r="A9" s="89">
        <v>46222</v>
      </c>
      <c r="B9" s="30">
        <v>0</v>
      </c>
      <c r="C9" s="31">
        <v>345.53</v>
      </c>
      <c r="D9" s="32">
        <f t="shared" si="0"/>
        <v>345.53</v>
      </c>
      <c r="E9" s="30">
        <v>0</v>
      </c>
      <c r="F9" s="31">
        <v>48.62</v>
      </c>
      <c r="G9" s="32">
        <f t="shared" si="1"/>
        <v>48.62</v>
      </c>
      <c r="H9" s="30">
        <v>896.7</v>
      </c>
      <c r="I9" s="31">
        <v>896.7</v>
      </c>
      <c r="J9" s="32">
        <f t="shared" si="2"/>
        <v>0</v>
      </c>
      <c r="K9" s="30">
        <v>0</v>
      </c>
      <c r="L9" s="31">
        <v>0</v>
      </c>
      <c r="M9" s="32">
        <f t="shared" si="3"/>
        <v>0</v>
      </c>
      <c r="N9" s="30">
        <v>600</v>
      </c>
      <c r="O9" s="31">
        <v>600</v>
      </c>
      <c r="P9" s="32">
        <f t="shared" si="4"/>
        <v>0</v>
      </c>
      <c r="Q9" s="30">
        <v>638</v>
      </c>
      <c r="R9" s="31">
        <v>638</v>
      </c>
      <c r="S9" s="32">
        <f t="shared" si="5"/>
        <v>0</v>
      </c>
      <c r="T9" s="30"/>
      <c r="U9" s="31"/>
      <c r="V9" s="32">
        <f t="shared" si="6"/>
        <v>0</v>
      </c>
      <c r="W9" s="30">
        <v>0</v>
      </c>
      <c r="X9" s="31"/>
      <c r="Y9" s="32">
        <f t="shared" si="7"/>
        <v>0</v>
      </c>
      <c r="Z9"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2134.6999999999998</v>
      </c>
      <c r="AA9"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2528.85</v>
      </c>
      <c r="AB9" s="90">
        <f t="shared" si="8"/>
        <v>394.15000000000009</v>
      </c>
    </row>
    <row r="10" spans="1:28">
      <c r="A10" s="89">
        <v>46223</v>
      </c>
      <c r="B10" s="30">
        <f>'Plant Equipment'!$C$178</f>
        <v>9916.7599999999984</v>
      </c>
      <c r="C10" s="31">
        <v>8385.66</v>
      </c>
      <c r="D10" s="32">
        <f t="shared" si="0"/>
        <v>-1531.0999999999985</v>
      </c>
      <c r="E10" s="30">
        <f>SUM('Tooling to Supply'!$H$2:$H$706)/23</f>
        <v>4247.3919999999507</v>
      </c>
      <c r="F10" s="31">
        <v>50.62</v>
      </c>
      <c r="G10" s="32">
        <f t="shared" si="1"/>
        <v>-4196.7719999999508</v>
      </c>
      <c r="H10" s="30">
        <v>896.7</v>
      </c>
      <c r="I10" s="31">
        <v>896.7</v>
      </c>
      <c r="J10" s="32">
        <f t="shared" si="2"/>
        <v>0</v>
      </c>
      <c r="K10" s="30">
        <v>0</v>
      </c>
      <c r="L10" s="31">
        <v>0</v>
      </c>
      <c r="M10" s="32">
        <f t="shared" si="3"/>
        <v>0</v>
      </c>
      <c r="N10" s="30">
        <v>2350</v>
      </c>
      <c r="O10" s="31">
        <v>2350</v>
      </c>
      <c r="P10" s="32">
        <f t="shared" si="4"/>
        <v>0</v>
      </c>
      <c r="Q10" s="30">
        <v>638</v>
      </c>
      <c r="R10" s="31">
        <v>638</v>
      </c>
      <c r="S10" s="32">
        <f t="shared" si="5"/>
        <v>0</v>
      </c>
      <c r="T10" s="30">
        <v>44849</v>
      </c>
      <c r="U10" s="31"/>
      <c r="V10" s="32">
        <f t="shared" si="6"/>
        <v>-44849</v>
      </c>
      <c r="W10" s="30">
        <v>0</v>
      </c>
      <c r="X10" s="31"/>
      <c r="Y10" s="32">
        <f t="shared" si="7"/>
        <v>0</v>
      </c>
      <c r="Z10"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62897.851999999948</v>
      </c>
      <c r="AA10"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12320.980000000001</v>
      </c>
      <c r="AB10" s="90">
        <f t="shared" si="8"/>
        <v>-50576.871999999945</v>
      </c>
    </row>
    <row r="11" spans="1:28">
      <c r="A11" s="89">
        <v>46224</v>
      </c>
      <c r="B11" s="30">
        <f>'Plant Equipment'!$C$178</f>
        <v>9916.7599999999984</v>
      </c>
      <c r="C11" s="31">
        <v>9647.51</v>
      </c>
      <c r="D11" s="32">
        <f t="shared" si="0"/>
        <v>-269.24999999999818</v>
      </c>
      <c r="E11" s="30">
        <f>SUM('Tooling to Supply'!$H$2:$H$706)/23</f>
        <v>4247.3919999999507</v>
      </c>
      <c r="F11" s="31">
        <v>270.33999999999997</v>
      </c>
      <c r="G11" s="32">
        <f t="shared" si="1"/>
        <v>-3977.0519999999506</v>
      </c>
      <c r="H11" s="30">
        <v>896.7</v>
      </c>
      <c r="I11" s="31">
        <v>896.7</v>
      </c>
      <c r="J11" s="32">
        <f t="shared" si="2"/>
        <v>0</v>
      </c>
      <c r="K11" s="30">
        <v>0</v>
      </c>
      <c r="L11" s="31">
        <v>0</v>
      </c>
      <c r="M11" s="32">
        <f t="shared" si="3"/>
        <v>0</v>
      </c>
      <c r="N11" s="30">
        <v>2350</v>
      </c>
      <c r="O11" s="31">
        <v>2350</v>
      </c>
      <c r="P11" s="32">
        <f t="shared" si="4"/>
        <v>0</v>
      </c>
      <c r="Q11" s="30">
        <v>638</v>
      </c>
      <c r="R11" s="31">
        <v>638</v>
      </c>
      <c r="S11" s="32">
        <f t="shared" si="5"/>
        <v>0</v>
      </c>
      <c r="T11" s="30"/>
      <c r="U11" s="31"/>
      <c r="V11" s="32">
        <f t="shared" si="6"/>
        <v>0</v>
      </c>
      <c r="W11" s="30">
        <v>0</v>
      </c>
      <c r="X11" s="31"/>
      <c r="Y11" s="32">
        <f t="shared" si="7"/>
        <v>0</v>
      </c>
      <c r="Z11"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18048.851999999948</v>
      </c>
      <c r="AA11"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13802.550000000001</v>
      </c>
      <c r="AB11" s="90">
        <f t="shared" si="8"/>
        <v>-4246.3019999999469</v>
      </c>
    </row>
    <row r="12" spans="1:28">
      <c r="A12" s="89">
        <v>46225</v>
      </c>
      <c r="B12" s="30">
        <f>'Plant Equipment'!$C$178</f>
        <v>9916.7599999999984</v>
      </c>
      <c r="C12" s="31">
        <v>7841.45</v>
      </c>
      <c r="D12" s="32">
        <f t="shared" si="0"/>
        <v>-2075.3099999999986</v>
      </c>
      <c r="E12" s="30">
        <f>SUM('Tooling to Supply'!$H$2:$H$706)/23</f>
        <v>4247.3919999999507</v>
      </c>
      <c r="F12" s="31">
        <v>246.34</v>
      </c>
      <c r="G12" s="32">
        <f t="shared" si="1"/>
        <v>-4001.0519999999506</v>
      </c>
      <c r="H12" s="30">
        <v>896.7</v>
      </c>
      <c r="I12" s="31">
        <v>896.7</v>
      </c>
      <c r="J12" s="32">
        <f t="shared" si="2"/>
        <v>0</v>
      </c>
      <c r="K12" s="30">
        <v>0</v>
      </c>
      <c r="L12" s="31">
        <v>0</v>
      </c>
      <c r="M12" s="32">
        <f t="shared" si="3"/>
        <v>0</v>
      </c>
      <c r="N12" s="30">
        <v>2950</v>
      </c>
      <c r="O12" s="31">
        <v>2950</v>
      </c>
      <c r="P12" s="32">
        <f t="shared" si="4"/>
        <v>0</v>
      </c>
      <c r="Q12" s="30">
        <v>797.5</v>
      </c>
      <c r="R12" s="31">
        <v>797.5</v>
      </c>
      <c r="S12" s="32">
        <f t="shared" si="5"/>
        <v>0</v>
      </c>
      <c r="T12" s="30"/>
      <c r="U12" s="31"/>
      <c r="V12" s="32">
        <f t="shared" si="6"/>
        <v>0</v>
      </c>
      <c r="W12" s="30">
        <v>0</v>
      </c>
      <c r="X12" s="31"/>
      <c r="Y12" s="32">
        <f t="shared" si="7"/>
        <v>0</v>
      </c>
      <c r="Z12"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18808.351999999948</v>
      </c>
      <c r="AA12"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12731.99</v>
      </c>
      <c r="AB12" s="90">
        <f t="shared" si="8"/>
        <v>-6076.3619999999482</v>
      </c>
    </row>
    <row r="13" spans="1:28">
      <c r="A13" s="89">
        <v>46226</v>
      </c>
      <c r="B13" s="30">
        <f>'Plant Equipment'!$C$178</f>
        <v>9916.7599999999984</v>
      </c>
      <c r="C13" s="31">
        <v>7787.53</v>
      </c>
      <c r="D13" s="32">
        <f t="shared" si="0"/>
        <v>-2129.2299999999987</v>
      </c>
      <c r="E13" s="30">
        <f>SUM('Tooling to Supply'!$H$2:$H$706)/23</f>
        <v>4247.3919999999507</v>
      </c>
      <c r="F13" s="31">
        <v>883.22</v>
      </c>
      <c r="G13" s="32">
        <f t="shared" si="1"/>
        <v>-3364.1719999999505</v>
      </c>
      <c r="H13" s="30">
        <v>896.7</v>
      </c>
      <c r="I13" s="31">
        <v>896.7</v>
      </c>
      <c r="J13" s="32">
        <f t="shared" si="2"/>
        <v>0</v>
      </c>
      <c r="K13" s="30">
        <v>0</v>
      </c>
      <c r="L13" s="31">
        <v>0</v>
      </c>
      <c r="M13" s="32">
        <f t="shared" si="3"/>
        <v>0</v>
      </c>
      <c r="N13" s="30">
        <v>2250</v>
      </c>
      <c r="O13" s="31">
        <v>2250</v>
      </c>
      <c r="P13" s="32">
        <f t="shared" si="4"/>
        <v>0</v>
      </c>
      <c r="Q13" s="30">
        <v>797.5</v>
      </c>
      <c r="R13" s="31">
        <v>797.5</v>
      </c>
      <c r="S13" s="32">
        <f>R13-Q13</f>
        <v>0</v>
      </c>
      <c r="T13" s="30"/>
      <c r="U13" s="31"/>
      <c r="V13" s="32">
        <f t="shared" si="6"/>
        <v>0</v>
      </c>
      <c r="W13" s="30">
        <v>0</v>
      </c>
      <c r="X13" s="31"/>
      <c r="Y13" s="32">
        <f t="shared" si="7"/>
        <v>0</v>
      </c>
      <c r="Z13"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18108.351999999948</v>
      </c>
      <c r="AA13"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12614.95</v>
      </c>
      <c r="AB13" s="90">
        <f t="shared" si="8"/>
        <v>-5493.4019999999473</v>
      </c>
    </row>
    <row r="14" spans="1:28">
      <c r="A14" s="89">
        <v>46227</v>
      </c>
      <c r="B14" s="30">
        <f>'Plant Equipment'!$C$178</f>
        <v>9916.7599999999984</v>
      </c>
      <c r="C14" s="31">
        <v>7787.53</v>
      </c>
      <c r="D14" s="32">
        <f t="shared" si="0"/>
        <v>-2129.2299999999987</v>
      </c>
      <c r="E14" s="30">
        <f>SUM('Tooling to Supply'!$H$2:$H$706)/23</f>
        <v>4247.3919999999507</v>
      </c>
      <c r="F14" s="31">
        <v>883.22</v>
      </c>
      <c r="G14" s="32">
        <f t="shared" si="1"/>
        <v>-3364.1719999999505</v>
      </c>
      <c r="H14" s="30">
        <v>896.7</v>
      </c>
      <c r="I14" s="31">
        <v>896.7</v>
      </c>
      <c r="J14" s="32">
        <f t="shared" si="2"/>
        <v>0</v>
      </c>
      <c r="K14" s="30">
        <v>892.5</v>
      </c>
      <c r="L14" s="31">
        <v>892.5</v>
      </c>
      <c r="M14" s="32">
        <f t="shared" si="3"/>
        <v>0</v>
      </c>
      <c r="N14" s="30">
        <v>2950</v>
      </c>
      <c r="O14" s="31">
        <v>2950</v>
      </c>
      <c r="P14" s="32">
        <f t="shared" si="4"/>
        <v>0</v>
      </c>
      <c r="Q14" s="30">
        <v>957</v>
      </c>
      <c r="R14" s="31">
        <v>957</v>
      </c>
      <c r="S14" s="32">
        <f t="shared" si="5"/>
        <v>0</v>
      </c>
      <c r="T14" s="30"/>
      <c r="U14" s="31"/>
      <c r="V14" s="32">
        <f t="shared" si="6"/>
        <v>0</v>
      </c>
      <c r="W14" s="30">
        <v>0</v>
      </c>
      <c r="X14" s="31"/>
      <c r="Y14" s="32">
        <f t="shared" si="7"/>
        <v>0</v>
      </c>
      <c r="Z14"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19860.351999999948</v>
      </c>
      <c r="AA14"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14366.95</v>
      </c>
      <c r="AB14" s="90">
        <f t="shared" si="8"/>
        <v>-5493.4019999999473</v>
      </c>
    </row>
    <row r="15" spans="1:28">
      <c r="A15" s="89">
        <v>46228</v>
      </c>
      <c r="B15" s="30">
        <f>'Plant Equipment'!$C$178</f>
        <v>9916.7599999999984</v>
      </c>
      <c r="C15" s="31">
        <v>7849.53</v>
      </c>
      <c r="D15" s="32">
        <f t="shared" si="0"/>
        <v>-2067.2299999999987</v>
      </c>
      <c r="E15" s="30">
        <f>SUM('Tooling to Supply'!$H$2:$H$706)/23</f>
        <v>4247.3919999999507</v>
      </c>
      <c r="F15" s="31">
        <v>1171.07</v>
      </c>
      <c r="G15" s="32">
        <f t="shared" si="1"/>
        <v>-3076.321999999951</v>
      </c>
      <c r="H15" s="30">
        <v>896.7</v>
      </c>
      <c r="I15" s="31">
        <v>896.7</v>
      </c>
      <c r="J15" s="32">
        <f t="shared" si="2"/>
        <v>0</v>
      </c>
      <c r="K15" s="30">
        <v>892.5</v>
      </c>
      <c r="L15" s="31">
        <v>892.5</v>
      </c>
      <c r="M15" s="32">
        <f t="shared" si="3"/>
        <v>0</v>
      </c>
      <c r="N15" s="30">
        <v>3720</v>
      </c>
      <c r="O15" s="31">
        <v>3720</v>
      </c>
      <c r="P15" s="32">
        <f t="shared" si="4"/>
        <v>0</v>
      </c>
      <c r="Q15" s="30">
        <v>957</v>
      </c>
      <c r="R15" s="31">
        <v>957</v>
      </c>
      <c r="S15" s="32">
        <f t="shared" si="5"/>
        <v>0</v>
      </c>
      <c r="T15" s="30"/>
      <c r="U15" s="31"/>
      <c r="V15" s="32">
        <f t="shared" si="6"/>
        <v>0</v>
      </c>
      <c r="W15" s="30">
        <v>0</v>
      </c>
      <c r="X15" s="31"/>
      <c r="Y15" s="32">
        <f t="shared" si="7"/>
        <v>0</v>
      </c>
      <c r="Z15"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20630.351999999948</v>
      </c>
      <c r="AA15"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15486.800000000001</v>
      </c>
      <c r="AB15" s="90">
        <f t="shared" si="8"/>
        <v>-5143.5519999999469</v>
      </c>
    </row>
    <row r="16" spans="1:28">
      <c r="A16" s="89">
        <v>46229</v>
      </c>
      <c r="B16" s="30">
        <f>'Plant Equipment'!$C$178</f>
        <v>9916.7599999999984</v>
      </c>
      <c r="C16" s="31">
        <v>7864.03</v>
      </c>
      <c r="D16" s="32">
        <f t="shared" si="0"/>
        <v>-2052.7299999999987</v>
      </c>
      <c r="E16" s="30">
        <f>SUM('Tooling to Supply'!$H$2:$H$706)/23</f>
        <v>4247.3919999999507</v>
      </c>
      <c r="F16" s="31">
        <v>1166.47</v>
      </c>
      <c r="G16" s="32">
        <f t="shared" si="1"/>
        <v>-3080.9219999999505</v>
      </c>
      <c r="H16" s="30">
        <v>896.7</v>
      </c>
      <c r="I16" s="31">
        <v>896.7</v>
      </c>
      <c r="J16" s="32">
        <f t="shared" si="2"/>
        <v>0</v>
      </c>
      <c r="K16" s="30">
        <v>892.5</v>
      </c>
      <c r="L16" s="31">
        <v>892.5</v>
      </c>
      <c r="M16" s="32">
        <f t="shared" si="3"/>
        <v>0</v>
      </c>
      <c r="N16" s="30">
        <v>4620</v>
      </c>
      <c r="O16" s="31">
        <v>4620</v>
      </c>
      <c r="P16" s="32">
        <f t="shared" si="4"/>
        <v>0</v>
      </c>
      <c r="Q16" s="30">
        <v>957</v>
      </c>
      <c r="R16" s="31">
        <v>957</v>
      </c>
      <c r="S16" s="32">
        <f t="shared" si="5"/>
        <v>0</v>
      </c>
      <c r="T16" s="30"/>
      <c r="U16" s="31"/>
      <c r="V16" s="32">
        <f t="shared" si="6"/>
        <v>0</v>
      </c>
      <c r="W16" s="30">
        <v>0</v>
      </c>
      <c r="X16" s="31"/>
      <c r="Y16" s="32">
        <f t="shared" si="7"/>
        <v>0</v>
      </c>
      <c r="Z16"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16"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16396.7</v>
      </c>
      <c r="AB16" s="90">
        <f t="shared" si="8"/>
        <v>-5133.6519999999473</v>
      </c>
    </row>
    <row r="17" spans="1:28">
      <c r="A17" s="89">
        <v>46230</v>
      </c>
      <c r="B17" s="30">
        <f>'Plant Equipment'!$C$178</f>
        <v>9916.7599999999984</v>
      </c>
      <c r="C17" s="31"/>
      <c r="D17" s="32">
        <f t="shared" si="0"/>
        <v>-9916.7599999999984</v>
      </c>
      <c r="E17" s="30">
        <f>SUM('Tooling to Supply'!$H$2:$H$706)/23</f>
        <v>4247.3919999999507</v>
      </c>
      <c r="F17" s="31"/>
      <c r="G17" s="32">
        <f t="shared" si="1"/>
        <v>-4247.3919999999507</v>
      </c>
      <c r="H17" s="30">
        <v>896.7</v>
      </c>
      <c r="I17" s="31"/>
      <c r="J17" s="32">
        <f t="shared" si="2"/>
        <v>-896.7</v>
      </c>
      <c r="K17" s="30">
        <v>892.5</v>
      </c>
      <c r="L17" s="31"/>
      <c r="M17" s="32">
        <f t="shared" si="3"/>
        <v>-892.5</v>
      </c>
      <c r="N17" s="30">
        <v>4620</v>
      </c>
      <c r="O17" s="31"/>
      <c r="P17" s="32">
        <f t="shared" si="4"/>
        <v>-4620</v>
      </c>
      <c r="Q17" s="30">
        <v>957</v>
      </c>
      <c r="R17" s="31"/>
      <c r="S17" s="32">
        <f t="shared" si="5"/>
        <v>-957</v>
      </c>
      <c r="T17" s="30"/>
      <c r="U17" s="31"/>
      <c r="V17" s="32">
        <f t="shared" si="6"/>
        <v>0</v>
      </c>
      <c r="W17" s="30">
        <v>0</v>
      </c>
      <c r="X17" s="31"/>
      <c r="Y17" s="32">
        <f t="shared" si="7"/>
        <v>0</v>
      </c>
      <c r="Z17"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17"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17" s="90">
        <f t="shared" si="8"/>
        <v>-21530.351999999948</v>
      </c>
    </row>
    <row r="18" spans="1:28">
      <c r="A18" s="89">
        <v>46231</v>
      </c>
      <c r="B18" s="30">
        <f>'Plant Equipment'!$C$178</f>
        <v>9916.7599999999984</v>
      </c>
      <c r="C18" s="31"/>
      <c r="D18" s="32">
        <f t="shared" si="0"/>
        <v>-9916.7599999999984</v>
      </c>
      <c r="E18" s="30">
        <f>SUM('Tooling to Supply'!$H$2:$H$706)/23</f>
        <v>4247.3919999999507</v>
      </c>
      <c r="F18" s="31"/>
      <c r="G18" s="32">
        <f t="shared" si="1"/>
        <v>-4247.3919999999507</v>
      </c>
      <c r="H18" s="30">
        <v>896.7</v>
      </c>
      <c r="I18" s="31"/>
      <c r="J18" s="32">
        <f t="shared" si="2"/>
        <v>-896.7</v>
      </c>
      <c r="K18" s="30">
        <v>892.5</v>
      </c>
      <c r="L18" s="31"/>
      <c r="M18" s="32">
        <f t="shared" si="3"/>
        <v>-892.5</v>
      </c>
      <c r="N18" s="30">
        <v>4620</v>
      </c>
      <c r="O18" s="31"/>
      <c r="P18" s="32">
        <f t="shared" si="4"/>
        <v>-4620</v>
      </c>
      <c r="Q18" s="30">
        <v>957</v>
      </c>
      <c r="R18" s="31"/>
      <c r="S18" s="32">
        <f t="shared" si="5"/>
        <v>-957</v>
      </c>
      <c r="T18" s="30"/>
      <c r="U18" s="31"/>
      <c r="V18" s="32">
        <f t="shared" si="6"/>
        <v>0</v>
      </c>
      <c r="W18" s="30">
        <v>0</v>
      </c>
      <c r="X18" s="31"/>
      <c r="Y18" s="32">
        <f t="shared" si="7"/>
        <v>0</v>
      </c>
      <c r="Z18"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18"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18" s="90">
        <f t="shared" si="8"/>
        <v>-21530.351999999948</v>
      </c>
    </row>
    <row r="19" spans="1:28">
      <c r="A19" s="89">
        <v>46232</v>
      </c>
      <c r="B19" s="30">
        <f>'Plant Equipment'!$C$178</f>
        <v>9916.7599999999984</v>
      </c>
      <c r="C19" s="31"/>
      <c r="D19" s="32">
        <f t="shared" si="0"/>
        <v>-9916.7599999999984</v>
      </c>
      <c r="E19" s="30">
        <f>SUM('Tooling to Supply'!$H$2:$H$706)/23</f>
        <v>4247.3919999999507</v>
      </c>
      <c r="F19" s="31"/>
      <c r="G19" s="32">
        <f t="shared" si="1"/>
        <v>-4247.3919999999507</v>
      </c>
      <c r="H19" s="30">
        <v>896.7</v>
      </c>
      <c r="I19" s="31"/>
      <c r="J19" s="32">
        <f t="shared" si="2"/>
        <v>-896.7</v>
      </c>
      <c r="K19" s="30">
        <v>892.5</v>
      </c>
      <c r="L19" s="31"/>
      <c r="M19" s="32">
        <f t="shared" si="3"/>
        <v>-892.5</v>
      </c>
      <c r="N19" s="30">
        <v>4620</v>
      </c>
      <c r="O19" s="31"/>
      <c r="P19" s="32">
        <f t="shared" si="4"/>
        <v>-4620</v>
      </c>
      <c r="Q19" s="30">
        <v>957</v>
      </c>
      <c r="R19" s="31"/>
      <c r="S19" s="32">
        <f t="shared" si="5"/>
        <v>-957</v>
      </c>
      <c r="T19" s="30"/>
      <c r="U19" s="31"/>
      <c r="V19" s="32">
        <f t="shared" si="6"/>
        <v>0</v>
      </c>
      <c r="W19" s="30">
        <v>0</v>
      </c>
      <c r="X19" s="31"/>
      <c r="Y19" s="32">
        <f t="shared" si="7"/>
        <v>0</v>
      </c>
      <c r="Z19"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19"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19" s="90">
        <f t="shared" si="8"/>
        <v>-21530.351999999948</v>
      </c>
    </row>
    <row r="20" spans="1:28">
      <c r="A20" s="89">
        <v>46233</v>
      </c>
      <c r="B20" s="30">
        <f>'Plant Equipment'!$C$178</f>
        <v>9916.7599999999984</v>
      </c>
      <c r="C20" s="31"/>
      <c r="D20" s="32">
        <f t="shared" si="0"/>
        <v>-9916.7599999999984</v>
      </c>
      <c r="E20" s="30">
        <f>SUM('Tooling to Supply'!$H$2:$H$706)/23</f>
        <v>4247.3919999999507</v>
      </c>
      <c r="F20" s="31"/>
      <c r="G20" s="32">
        <f t="shared" si="1"/>
        <v>-4247.3919999999507</v>
      </c>
      <c r="H20" s="30">
        <v>896.7</v>
      </c>
      <c r="I20" s="31"/>
      <c r="J20" s="32">
        <f t="shared" si="2"/>
        <v>-896.7</v>
      </c>
      <c r="K20" s="30">
        <v>892.5</v>
      </c>
      <c r="L20" s="31"/>
      <c r="M20" s="32">
        <f t="shared" si="3"/>
        <v>-892.5</v>
      </c>
      <c r="N20" s="30">
        <v>4620</v>
      </c>
      <c r="O20" s="31"/>
      <c r="P20" s="32">
        <f t="shared" si="4"/>
        <v>-4620</v>
      </c>
      <c r="Q20" s="30">
        <v>957</v>
      </c>
      <c r="R20" s="31"/>
      <c r="S20" s="32">
        <f t="shared" si="5"/>
        <v>-957</v>
      </c>
      <c r="T20" s="30"/>
      <c r="U20" s="31"/>
      <c r="V20" s="32">
        <f t="shared" si="6"/>
        <v>0</v>
      </c>
      <c r="W20" s="30">
        <v>0</v>
      </c>
      <c r="X20" s="31"/>
      <c r="Y20" s="32">
        <f t="shared" si="7"/>
        <v>0</v>
      </c>
      <c r="Z20"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20"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0" s="90">
        <f t="shared" si="8"/>
        <v>-21530.351999999948</v>
      </c>
    </row>
    <row r="21" spans="1:28">
      <c r="A21" s="89">
        <v>46234</v>
      </c>
      <c r="B21" s="30">
        <f>'Plant Equipment'!$C$178</f>
        <v>9916.7599999999984</v>
      </c>
      <c r="C21" s="31"/>
      <c r="D21" s="32">
        <f t="shared" si="0"/>
        <v>-9916.7599999999984</v>
      </c>
      <c r="E21" s="30">
        <f>SUM('Tooling to Supply'!$H$2:$H$706)/23</f>
        <v>4247.3919999999507</v>
      </c>
      <c r="F21" s="31"/>
      <c r="G21" s="32">
        <f t="shared" si="1"/>
        <v>-4247.3919999999507</v>
      </c>
      <c r="H21" s="30">
        <v>896.7</v>
      </c>
      <c r="I21" s="31"/>
      <c r="J21" s="32">
        <f t="shared" si="2"/>
        <v>-896.7</v>
      </c>
      <c r="K21" s="30">
        <v>892.5</v>
      </c>
      <c r="L21" s="31"/>
      <c r="M21" s="32">
        <f t="shared" si="3"/>
        <v>-892.5</v>
      </c>
      <c r="N21" s="30">
        <v>4620</v>
      </c>
      <c r="O21" s="31"/>
      <c r="P21" s="32">
        <f t="shared" si="4"/>
        <v>-4620</v>
      </c>
      <c r="Q21" s="30">
        <v>957</v>
      </c>
      <c r="R21" s="31"/>
      <c r="S21" s="32">
        <f t="shared" si="5"/>
        <v>-957</v>
      </c>
      <c r="T21" s="30"/>
      <c r="U21" s="31"/>
      <c r="V21" s="32">
        <f t="shared" si="6"/>
        <v>0</v>
      </c>
      <c r="W21" s="30">
        <v>0</v>
      </c>
      <c r="X21" s="31"/>
      <c r="Y21" s="32">
        <f t="shared" si="7"/>
        <v>0</v>
      </c>
      <c r="Z21"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21"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1" s="90">
        <f t="shared" si="8"/>
        <v>-21530.351999999948</v>
      </c>
    </row>
    <row r="22" spans="1:28">
      <c r="A22" s="89">
        <v>46235</v>
      </c>
      <c r="B22" s="30">
        <f>'Plant Equipment'!$C$178</f>
        <v>9916.7599999999984</v>
      </c>
      <c r="C22" s="31"/>
      <c r="D22" s="32">
        <f t="shared" si="0"/>
        <v>-9916.7599999999984</v>
      </c>
      <c r="E22" s="30">
        <f>SUM('Tooling to Supply'!$H$2:$H$706)/23</f>
        <v>4247.3919999999507</v>
      </c>
      <c r="F22" s="31"/>
      <c r="G22" s="32">
        <f t="shared" si="1"/>
        <v>-4247.3919999999507</v>
      </c>
      <c r="H22" s="30">
        <v>896.7</v>
      </c>
      <c r="I22" s="31"/>
      <c r="J22" s="32">
        <f t="shared" si="2"/>
        <v>-896.7</v>
      </c>
      <c r="K22" s="30">
        <v>892.5</v>
      </c>
      <c r="L22" s="31"/>
      <c r="M22" s="32">
        <f t="shared" si="3"/>
        <v>-892.5</v>
      </c>
      <c r="N22" s="30">
        <v>3720</v>
      </c>
      <c r="O22" s="31"/>
      <c r="P22" s="32">
        <f t="shared" si="4"/>
        <v>-3720</v>
      </c>
      <c r="Q22" s="30">
        <v>957</v>
      </c>
      <c r="R22" s="31"/>
      <c r="S22" s="32">
        <f t="shared" si="5"/>
        <v>-957</v>
      </c>
      <c r="T22" s="30"/>
      <c r="U22" s="31"/>
      <c r="V22" s="32">
        <f t="shared" si="6"/>
        <v>0</v>
      </c>
      <c r="W22" s="30">
        <v>0</v>
      </c>
      <c r="X22" s="31"/>
      <c r="Y22" s="32">
        <f t="shared" si="7"/>
        <v>0</v>
      </c>
      <c r="Z22"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20630.351999999948</v>
      </c>
      <c r="AA22"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2" s="90">
        <f t="shared" si="8"/>
        <v>-20630.351999999948</v>
      </c>
    </row>
    <row r="23" spans="1:28">
      <c r="A23" s="89">
        <v>46236</v>
      </c>
      <c r="B23" s="30">
        <f>'Plant Equipment'!$C$178</f>
        <v>9916.7599999999984</v>
      </c>
      <c r="C23" s="31"/>
      <c r="D23" s="32">
        <f t="shared" si="0"/>
        <v>-9916.7599999999984</v>
      </c>
      <c r="E23" s="30">
        <f>SUM('Tooling to Supply'!$H$2:$H$706)/23</f>
        <v>4247.3919999999507</v>
      </c>
      <c r="F23" s="31"/>
      <c r="G23" s="32">
        <f t="shared" si="1"/>
        <v>-4247.3919999999507</v>
      </c>
      <c r="H23" s="30">
        <v>896.7</v>
      </c>
      <c r="I23" s="31"/>
      <c r="J23" s="32">
        <f t="shared" si="2"/>
        <v>-896.7</v>
      </c>
      <c r="K23" s="30">
        <v>892.5</v>
      </c>
      <c r="L23" s="31"/>
      <c r="M23" s="32">
        <f t="shared" si="3"/>
        <v>-892.5</v>
      </c>
      <c r="N23" s="30">
        <v>3720</v>
      </c>
      <c r="O23" s="31"/>
      <c r="P23" s="32">
        <f t="shared" si="4"/>
        <v>-3720</v>
      </c>
      <c r="Q23" s="30">
        <v>957</v>
      </c>
      <c r="R23" s="31"/>
      <c r="S23" s="32">
        <f t="shared" si="5"/>
        <v>-957</v>
      </c>
      <c r="T23" s="30"/>
      <c r="U23" s="31"/>
      <c r="V23" s="32">
        <f t="shared" si="6"/>
        <v>0</v>
      </c>
      <c r="W23" s="30">
        <v>0</v>
      </c>
      <c r="X23" s="31"/>
      <c r="Y23" s="32">
        <f t="shared" si="7"/>
        <v>0</v>
      </c>
      <c r="Z23"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20630.351999999948</v>
      </c>
      <c r="AA23"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3" s="90">
        <f t="shared" si="8"/>
        <v>-20630.351999999948</v>
      </c>
    </row>
    <row r="24" spans="1:28">
      <c r="A24" s="89">
        <v>46237</v>
      </c>
      <c r="B24" s="30">
        <f>'Plant Equipment'!$C$178</f>
        <v>9916.7599999999984</v>
      </c>
      <c r="C24" s="31"/>
      <c r="D24" s="32">
        <f t="shared" si="0"/>
        <v>-9916.7599999999984</v>
      </c>
      <c r="E24" s="30">
        <f>SUM('Tooling to Supply'!$H$2:$H$706)/23</f>
        <v>4247.3919999999507</v>
      </c>
      <c r="F24" s="31"/>
      <c r="G24" s="32">
        <f t="shared" si="1"/>
        <v>-4247.3919999999507</v>
      </c>
      <c r="H24" s="30">
        <v>896.7</v>
      </c>
      <c r="I24" s="31"/>
      <c r="J24" s="32">
        <f t="shared" si="2"/>
        <v>-896.7</v>
      </c>
      <c r="K24" s="30">
        <v>892.5</v>
      </c>
      <c r="L24" s="31"/>
      <c r="M24" s="32">
        <f t="shared" si="3"/>
        <v>-892.5</v>
      </c>
      <c r="N24" s="30">
        <v>4620</v>
      </c>
      <c r="O24" s="31"/>
      <c r="P24" s="32">
        <f t="shared" si="4"/>
        <v>-4620</v>
      </c>
      <c r="Q24" s="30">
        <v>957</v>
      </c>
      <c r="R24" s="31"/>
      <c r="S24" s="32">
        <f t="shared" si="5"/>
        <v>-957</v>
      </c>
      <c r="T24" s="30"/>
      <c r="U24" s="31"/>
      <c r="V24" s="32">
        <f t="shared" si="6"/>
        <v>0</v>
      </c>
      <c r="W24" s="30">
        <v>0</v>
      </c>
      <c r="X24" s="31"/>
      <c r="Y24" s="32">
        <f t="shared" si="7"/>
        <v>0</v>
      </c>
      <c r="Z24"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24"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4" s="90">
        <f t="shared" si="8"/>
        <v>-21530.351999999948</v>
      </c>
    </row>
    <row r="25" spans="1:28">
      <c r="A25" s="89">
        <v>46238</v>
      </c>
      <c r="B25" s="30">
        <f>'Plant Equipment'!$C$178</f>
        <v>9916.7599999999984</v>
      </c>
      <c r="C25" s="31"/>
      <c r="D25" s="32">
        <f t="shared" si="0"/>
        <v>-9916.7599999999984</v>
      </c>
      <c r="E25" s="30">
        <f>SUM('Tooling to Supply'!$H$2:$H$706)/23</f>
        <v>4247.3919999999507</v>
      </c>
      <c r="F25" s="31"/>
      <c r="G25" s="32">
        <f t="shared" si="1"/>
        <v>-4247.3919999999507</v>
      </c>
      <c r="H25" s="30">
        <v>896.7</v>
      </c>
      <c r="I25" s="31"/>
      <c r="J25" s="32">
        <f t="shared" si="2"/>
        <v>-896.7</v>
      </c>
      <c r="K25" s="30">
        <v>892.5</v>
      </c>
      <c r="L25" s="31"/>
      <c r="M25" s="32">
        <f t="shared" si="3"/>
        <v>-892.5</v>
      </c>
      <c r="N25" s="30">
        <v>4620</v>
      </c>
      <c r="O25" s="31"/>
      <c r="P25" s="32">
        <f t="shared" si="4"/>
        <v>-4620</v>
      </c>
      <c r="Q25" s="30">
        <v>957</v>
      </c>
      <c r="R25" s="31"/>
      <c r="S25" s="32">
        <f t="shared" si="5"/>
        <v>-957</v>
      </c>
      <c r="T25" s="30"/>
      <c r="U25" s="31"/>
      <c r="V25" s="32">
        <f t="shared" si="6"/>
        <v>0</v>
      </c>
      <c r="W25" s="30">
        <v>0</v>
      </c>
      <c r="X25" s="31"/>
      <c r="Y25" s="32">
        <f t="shared" si="7"/>
        <v>0</v>
      </c>
      <c r="Z25"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25"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5" s="90">
        <f t="shared" si="8"/>
        <v>-21530.351999999948</v>
      </c>
    </row>
    <row r="26" spans="1:28">
      <c r="A26" s="89">
        <v>46239</v>
      </c>
      <c r="B26" s="30">
        <f>'Plant Equipment'!$C$178</f>
        <v>9916.7599999999984</v>
      </c>
      <c r="C26" s="31"/>
      <c r="D26" s="32">
        <f t="shared" si="0"/>
        <v>-9916.7599999999984</v>
      </c>
      <c r="E26" s="30">
        <f>SUM('Tooling to Supply'!$H$2:$H$706)/23</f>
        <v>4247.3919999999507</v>
      </c>
      <c r="F26" s="31"/>
      <c r="G26" s="32">
        <f t="shared" si="1"/>
        <v>-4247.3919999999507</v>
      </c>
      <c r="H26" s="30">
        <v>896.7</v>
      </c>
      <c r="I26" s="31"/>
      <c r="J26" s="32">
        <f t="shared" si="2"/>
        <v>-896.7</v>
      </c>
      <c r="K26" s="30">
        <v>892.5</v>
      </c>
      <c r="L26" s="31"/>
      <c r="M26" s="32">
        <f t="shared" si="3"/>
        <v>-892.5</v>
      </c>
      <c r="N26" s="30">
        <v>4620</v>
      </c>
      <c r="O26" s="31"/>
      <c r="P26" s="32">
        <f t="shared" si="4"/>
        <v>-4620</v>
      </c>
      <c r="Q26" s="30">
        <v>957</v>
      </c>
      <c r="R26" s="31"/>
      <c r="S26" s="32">
        <f t="shared" si="5"/>
        <v>-957</v>
      </c>
      <c r="T26" s="30"/>
      <c r="U26" s="31"/>
      <c r="V26" s="32">
        <f t="shared" si="6"/>
        <v>0</v>
      </c>
      <c r="W26" s="30">
        <v>0</v>
      </c>
      <c r="X26" s="31"/>
      <c r="Y26" s="32">
        <f t="shared" si="7"/>
        <v>0</v>
      </c>
      <c r="Z26"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26"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6" s="90">
        <f t="shared" si="8"/>
        <v>-21530.351999999948</v>
      </c>
    </row>
    <row r="27" spans="1:28">
      <c r="A27" s="89">
        <v>46240</v>
      </c>
      <c r="B27" s="30">
        <f>'Plant Equipment'!$C$178</f>
        <v>9916.7599999999984</v>
      </c>
      <c r="C27" s="31"/>
      <c r="D27" s="32">
        <f t="shared" si="0"/>
        <v>-9916.7599999999984</v>
      </c>
      <c r="E27" s="30">
        <f>SUM('Tooling to Supply'!$H$2:$H$706)/23</f>
        <v>4247.3919999999507</v>
      </c>
      <c r="F27" s="31"/>
      <c r="G27" s="32">
        <f t="shared" si="1"/>
        <v>-4247.3919999999507</v>
      </c>
      <c r="H27" s="30">
        <v>896.7</v>
      </c>
      <c r="I27" s="31"/>
      <c r="J27" s="32">
        <f t="shared" si="2"/>
        <v>-896.7</v>
      </c>
      <c r="K27" s="30">
        <v>892.5</v>
      </c>
      <c r="L27" s="31"/>
      <c r="M27" s="32">
        <f t="shared" si="3"/>
        <v>-892.5</v>
      </c>
      <c r="N27" s="30">
        <v>4620</v>
      </c>
      <c r="O27" s="31"/>
      <c r="P27" s="32">
        <f t="shared" si="4"/>
        <v>-4620</v>
      </c>
      <c r="Q27" s="30">
        <v>957</v>
      </c>
      <c r="R27" s="31"/>
      <c r="S27" s="32">
        <f t="shared" si="5"/>
        <v>-957</v>
      </c>
      <c r="T27" s="30"/>
      <c r="U27" s="31"/>
      <c r="V27" s="32">
        <f t="shared" si="6"/>
        <v>0</v>
      </c>
      <c r="W27" s="30">
        <v>0</v>
      </c>
      <c r="X27" s="31"/>
      <c r="Y27" s="32">
        <f t="shared" si="7"/>
        <v>0</v>
      </c>
      <c r="Z27"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27"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7" s="90">
        <f t="shared" si="8"/>
        <v>-21530.351999999948</v>
      </c>
    </row>
    <row r="28" spans="1:28">
      <c r="A28" s="89">
        <v>46241</v>
      </c>
      <c r="B28" s="30">
        <f>'Plant Equipment'!$C$178</f>
        <v>9916.7599999999984</v>
      </c>
      <c r="C28" s="31"/>
      <c r="D28" s="32">
        <f t="shared" si="0"/>
        <v>-9916.7599999999984</v>
      </c>
      <c r="E28" s="30">
        <f>SUM('Tooling to Supply'!$H$2:$H$706)/23</f>
        <v>4247.3919999999507</v>
      </c>
      <c r="F28" s="31"/>
      <c r="G28" s="32">
        <f t="shared" si="1"/>
        <v>-4247.3919999999507</v>
      </c>
      <c r="H28" s="30">
        <v>896.7</v>
      </c>
      <c r="I28" s="31"/>
      <c r="J28" s="32">
        <f t="shared" si="2"/>
        <v>-896.7</v>
      </c>
      <c r="K28" s="30">
        <v>892.5</v>
      </c>
      <c r="L28" s="31"/>
      <c r="M28" s="32">
        <f t="shared" si="3"/>
        <v>-892.5</v>
      </c>
      <c r="N28" s="30">
        <v>4620</v>
      </c>
      <c r="O28" s="31"/>
      <c r="P28" s="32">
        <f t="shared" si="4"/>
        <v>-4620</v>
      </c>
      <c r="Q28" s="30">
        <v>957</v>
      </c>
      <c r="R28" s="31"/>
      <c r="S28" s="32">
        <f t="shared" si="5"/>
        <v>-957</v>
      </c>
      <c r="T28" s="30"/>
      <c r="U28" s="31"/>
      <c r="V28" s="32">
        <f t="shared" si="6"/>
        <v>0</v>
      </c>
      <c r="W28" s="30">
        <v>0</v>
      </c>
      <c r="X28" s="31"/>
      <c r="Y28" s="32">
        <f t="shared" si="7"/>
        <v>0</v>
      </c>
      <c r="Z28"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28"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8" s="90">
        <f t="shared" si="8"/>
        <v>-21530.351999999948</v>
      </c>
    </row>
    <row r="29" spans="1:28">
      <c r="A29" s="89">
        <v>46242</v>
      </c>
      <c r="B29" s="30">
        <f>'Plant Equipment'!$C$178</f>
        <v>9916.7599999999984</v>
      </c>
      <c r="C29" s="31"/>
      <c r="D29" s="32">
        <f t="shared" si="0"/>
        <v>-9916.7599999999984</v>
      </c>
      <c r="E29" s="30">
        <f>SUM('Tooling to Supply'!$H$2:$H$706)/23</f>
        <v>4247.3919999999507</v>
      </c>
      <c r="F29" s="31"/>
      <c r="G29" s="32">
        <f t="shared" si="1"/>
        <v>-4247.3919999999507</v>
      </c>
      <c r="H29" s="30">
        <v>896.7</v>
      </c>
      <c r="I29" s="31"/>
      <c r="J29" s="32">
        <f t="shared" si="2"/>
        <v>-896.7</v>
      </c>
      <c r="K29" s="30">
        <v>892.5</v>
      </c>
      <c r="L29" s="31"/>
      <c r="M29" s="32">
        <f t="shared" si="3"/>
        <v>-892.5</v>
      </c>
      <c r="N29" s="30">
        <v>4620</v>
      </c>
      <c r="O29" s="31"/>
      <c r="P29" s="32">
        <f t="shared" si="4"/>
        <v>-4620</v>
      </c>
      <c r="Q29" s="30">
        <v>957</v>
      </c>
      <c r="R29" s="31"/>
      <c r="S29" s="32">
        <f t="shared" si="5"/>
        <v>-957</v>
      </c>
      <c r="T29" s="30"/>
      <c r="U29" s="31"/>
      <c r="V29" s="32">
        <f t="shared" si="6"/>
        <v>0</v>
      </c>
      <c r="W29" s="30">
        <v>0</v>
      </c>
      <c r="X29" s="31"/>
      <c r="Y29" s="32">
        <f t="shared" si="7"/>
        <v>0</v>
      </c>
      <c r="Z29"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29"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29" s="90">
        <f t="shared" si="8"/>
        <v>-21530.351999999948</v>
      </c>
    </row>
    <row r="30" spans="1:28">
      <c r="A30" s="89">
        <v>46243</v>
      </c>
      <c r="B30" s="30">
        <f>'Plant Equipment'!$C$178</f>
        <v>9916.7599999999984</v>
      </c>
      <c r="C30" s="31"/>
      <c r="D30" s="32">
        <f t="shared" si="0"/>
        <v>-9916.7599999999984</v>
      </c>
      <c r="E30" s="30">
        <f>SUM('Tooling to Supply'!$H$2:$H$706)/23</f>
        <v>4247.3919999999507</v>
      </c>
      <c r="F30" s="31"/>
      <c r="G30" s="32">
        <f t="shared" si="1"/>
        <v>-4247.3919999999507</v>
      </c>
      <c r="H30" s="30">
        <v>896.7</v>
      </c>
      <c r="I30" s="31"/>
      <c r="J30" s="32">
        <f t="shared" si="2"/>
        <v>-896.7</v>
      </c>
      <c r="K30" s="30">
        <v>892.5</v>
      </c>
      <c r="L30" s="31"/>
      <c r="M30" s="32">
        <f t="shared" si="3"/>
        <v>-892.5</v>
      </c>
      <c r="N30" s="30">
        <v>4620</v>
      </c>
      <c r="O30" s="31"/>
      <c r="P30" s="32">
        <f t="shared" si="4"/>
        <v>-4620</v>
      </c>
      <c r="Q30" s="30">
        <v>957</v>
      </c>
      <c r="R30" s="31"/>
      <c r="S30" s="32">
        <f t="shared" si="5"/>
        <v>-957</v>
      </c>
      <c r="T30" s="30"/>
      <c r="U30" s="31"/>
      <c r="V30" s="32">
        <f t="shared" si="6"/>
        <v>0</v>
      </c>
      <c r="W30" s="30">
        <v>0</v>
      </c>
      <c r="X30" s="31"/>
      <c r="Y30" s="32">
        <f t="shared" si="7"/>
        <v>0</v>
      </c>
      <c r="Z30"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30"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30" s="90">
        <f t="shared" si="8"/>
        <v>-21530.351999999948</v>
      </c>
    </row>
    <row r="31" spans="1:28">
      <c r="A31" s="89">
        <v>46244</v>
      </c>
      <c r="B31" s="30">
        <f>'Plant Equipment'!$C$178</f>
        <v>9916.7599999999984</v>
      </c>
      <c r="C31" s="31"/>
      <c r="D31" s="32">
        <f t="shared" si="0"/>
        <v>-9916.7599999999984</v>
      </c>
      <c r="E31" s="30">
        <f>SUM('Tooling to Supply'!$H$2:$H$706)/23</f>
        <v>4247.3919999999507</v>
      </c>
      <c r="F31" s="31"/>
      <c r="G31" s="32">
        <f t="shared" si="1"/>
        <v>-4247.3919999999507</v>
      </c>
      <c r="H31" s="30">
        <v>896.7</v>
      </c>
      <c r="I31" s="31"/>
      <c r="J31" s="32">
        <f t="shared" si="2"/>
        <v>-896.7</v>
      </c>
      <c r="K31" s="30">
        <v>892.5</v>
      </c>
      <c r="L31" s="31"/>
      <c r="M31" s="32">
        <f t="shared" si="3"/>
        <v>-892.5</v>
      </c>
      <c r="N31" s="30">
        <v>4620</v>
      </c>
      <c r="O31" s="31"/>
      <c r="P31" s="32">
        <f t="shared" si="4"/>
        <v>-4620</v>
      </c>
      <c r="Q31" s="30">
        <v>957</v>
      </c>
      <c r="R31" s="31"/>
      <c r="S31" s="32">
        <f t="shared" si="5"/>
        <v>-957</v>
      </c>
      <c r="T31" s="30"/>
      <c r="U31" s="31"/>
      <c r="V31" s="32">
        <f t="shared" si="6"/>
        <v>0</v>
      </c>
      <c r="W31" s="30">
        <v>0</v>
      </c>
      <c r="X31" s="31"/>
      <c r="Y31" s="32">
        <f t="shared" si="7"/>
        <v>0</v>
      </c>
      <c r="Z31"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31"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31" s="90">
        <f t="shared" si="8"/>
        <v>-21530.351999999948</v>
      </c>
    </row>
    <row r="32" spans="1:28">
      <c r="A32" s="89">
        <v>46245</v>
      </c>
      <c r="B32" s="30">
        <f>'Plant Equipment'!$C$178</f>
        <v>9916.7599999999984</v>
      </c>
      <c r="C32" s="31"/>
      <c r="D32" s="32">
        <f t="shared" si="0"/>
        <v>-9916.7599999999984</v>
      </c>
      <c r="E32" s="30">
        <f>SUM('Tooling to Supply'!$H$2:$H$706)/23</f>
        <v>4247.3919999999507</v>
      </c>
      <c r="F32" s="31"/>
      <c r="G32" s="32">
        <f t="shared" si="1"/>
        <v>-4247.3919999999507</v>
      </c>
      <c r="H32" s="30">
        <v>896.7</v>
      </c>
      <c r="I32" s="31"/>
      <c r="J32" s="32">
        <f t="shared" si="2"/>
        <v>-896.7</v>
      </c>
      <c r="K32" s="30">
        <v>892.5</v>
      </c>
      <c r="L32" s="31"/>
      <c r="M32" s="32">
        <f t="shared" si="3"/>
        <v>-892.5</v>
      </c>
      <c r="N32" s="30">
        <v>4620</v>
      </c>
      <c r="O32" s="31"/>
      <c r="P32" s="32">
        <f t="shared" si="4"/>
        <v>-4620</v>
      </c>
      <c r="Q32" s="30">
        <v>957</v>
      </c>
      <c r="R32" s="31"/>
      <c r="S32" s="32">
        <f t="shared" si="5"/>
        <v>-957</v>
      </c>
      <c r="T32" s="30"/>
      <c r="U32" s="31"/>
      <c r="V32" s="32">
        <f t="shared" si="6"/>
        <v>0</v>
      </c>
      <c r="W32" s="30">
        <v>0</v>
      </c>
      <c r="X32" s="31"/>
      <c r="Y32" s="32">
        <f t="shared" si="7"/>
        <v>0</v>
      </c>
      <c r="Z32"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21530.351999999948</v>
      </c>
      <c r="AA32"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32" s="90">
        <f t="shared" si="8"/>
        <v>-21530.351999999948</v>
      </c>
    </row>
    <row r="33" spans="1:28">
      <c r="A33" s="89">
        <v>46246</v>
      </c>
      <c r="B33" s="30">
        <v>0</v>
      </c>
      <c r="C33" s="31"/>
      <c r="D33" s="32">
        <f t="shared" si="0"/>
        <v>0</v>
      </c>
      <c r="E33" s="30">
        <v>0</v>
      </c>
      <c r="F33" s="31"/>
      <c r="G33" s="32">
        <f t="shared" si="1"/>
        <v>0</v>
      </c>
      <c r="H33" s="30">
        <v>896.7</v>
      </c>
      <c r="I33" s="31"/>
      <c r="J33" s="32">
        <f t="shared" si="2"/>
        <v>-896.7</v>
      </c>
      <c r="K33" s="30">
        <v>892.5</v>
      </c>
      <c r="L33" s="31"/>
      <c r="M33" s="32">
        <f t="shared" si="3"/>
        <v>-892.5</v>
      </c>
      <c r="N33" s="30">
        <v>4020</v>
      </c>
      <c r="O33" s="31"/>
      <c r="P33" s="32">
        <f t="shared" si="4"/>
        <v>-4020</v>
      </c>
      <c r="Q33" s="30">
        <v>957</v>
      </c>
      <c r="R33" s="31"/>
      <c r="S33" s="32">
        <f t="shared" si="5"/>
        <v>-957</v>
      </c>
      <c r="T33" s="30"/>
      <c r="U33" s="31"/>
      <c r="V33" s="32">
        <f t="shared" si="6"/>
        <v>0</v>
      </c>
      <c r="W33" s="30">
        <v>0</v>
      </c>
      <c r="X33" s="31"/>
      <c r="Y33" s="32">
        <f t="shared" si="7"/>
        <v>0</v>
      </c>
      <c r="Z33"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6766.2</v>
      </c>
      <c r="AA33"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33" s="90">
        <f t="shared" si="8"/>
        <v>-6766.2</v>
      </c>
    </row>
    <row r="34" spans="1:28">
      <c r="A34" s="89">
        <v>46247</v>
      </c>
      <c r="B34" s="30">
        <v>0</v>
      </c>
      <c r="C34" s="31"/>
      <c r="D34" s="32">
        <f t="shared" si="0"/>
        <v>0</v>
      </c>
      <c r="E34" s="30">
        <v>0</v>
      </c>
      <c r="F34" s="31"/>
      <c r="G34" s="32">
        <f t="shared" si="1"/>
        <v>0</v>
      </c>
      <c r="H34" s="30">
        <v>896.7</v>
      </c>
      <c r="I34" s="31"/>
      <c r="J34" s="32">
        <f t="shared" si="2"/>
        <v>-896.7</v>
      </c>
      <c r="K34" s="30">
        <v>892.5</v>
      </c>
      <c r="L34" s="31"/>
      <c r="M34" s="32">
        <f t="shared" si="3"/>
        <v>-892.5</v>
      </c>
      <c r="N34" s="30">
        <v>2820</v>
      </c>
      <c r="O34" s="31"/>
      <c r="P34" s="32">
        <f t="shared" si="4"/>
        <v>-2820</v>
      </c>
      <c r="Q34" s="30">
        <v>638</v>
      </c>
      <c r="R34" s="31"/>
      <c r="S34" s="32">
        <f t="shared" si="5"/>
        <v>-638</v>
      </c>
      <c r="T34" s="30"/>
      <c r="U34" s="31"/>
      <c r="V34" s="32">
        <f t="shared" si="6"/>
        <v>0</v>
      </c>
      <c r="W34" s="30">
        <v>0</v>
      </c>
      <c r="X34" s="31"/>
      <c r="Y34" s="32">
        <f t="shared" si="7"/>
        <v>0</v>
      </c>
      <c r="Z34"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5247.2</v>
      </c>
      <c r="AA34"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34" s="90">
        <f t="shared" si="8"/>
        <v>-5247.2</v>
      </c>
    </row>
    <row r="35" spans="1:28">
      <c r="A35" s="89">
        <v>46248</v>
      </c>
      <c r="B35" s="30">
        <v>0</v>
      </c>
      <c r="C35" s="31"/>
      <c r="D35" s="32">
        <f t="shared" ref="D35" si="9">C35-B35</f>
        <v>0</v>
      </c>
      <c r="E35" s="30">
        <v>0</v>
      </c>
      <c r="F35" s="31"/>
      <c r="G35" s="32">
        <f t="shared" ref="G35" si="10">F35-E35</f>
        <v>0</v>
      </c>
      <c r="H35" s="30">
        <v>0</v>
      </c>
      <c r="I35" s="31"/>
      <c r="J35" s="32">
        <f t="shared" si="2"/>
        <v>0</v>
      </c>
      <c r="K35" s="30">
        <v>0</v>
      </c>
      <c r="L35" s="31"/>
      <c r="M35" s="32">
        <f t="shared" si="3"/>
        <v>0</v>
      </c>
      <c r="N35" s="30">
        <v>2820</v>
      </c>
      <c r="O35" s="31"/>
      <c r="P35" s="32">
        <f t="shared" si="4"/>
        <v>-2820</v>
      </c>
      <c r="Q35" s="30">
        <v>638</v>
      </c>
      <c r="R35" s="31"/>
      <c r="S35" s="32">
        <f t="shared" si="5"/>
        <v>-638</v>
      </c>
      <c r="T35" s="30"/>
      <c r="U35" s="31"/>
      <c r="V35" s="32">
        <f t="shared" si="6"/>
        <v>0</v>
      </c>
      <c r="W35" s="30">
        <v>0</v>
      </c>
      <c r="X35" s="31"/>
      <c r="Y35" s="32">
        <f t="shared" si="7"/>
        <v>0</v>
      </c>
      <c r="Z35"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3458</v>
      </c>
      <c r="AA35"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35" s="90">
        <f t="shared" si="8"/>
        <v>-3458</v>
      </c>
    </row>
    <row r="36" spans="1:28">
      <c r="A36" s="89">
        <v>46249</v>
      </c>
      <c r="B36" s="30">
        <v>0</v>
      </c>
      <c r="C36" s="31"/>
      <c r="D36" s="32">
        <f t="shared" si="0"/>
        <v>0</v>
      </c>
      <c r="E36" s="30">
        <v>0</v>
      </c>
      <c r="F36" s="31"/>
      <c r="G36" s="32">
        <f t="shared" si="1"/>
        <v>0</v>
      </c>
      <c r="H36" s="30">
        <v>0</v>
      </c>
      <c r="I36" s="31"/>
      <c r="J36" s="32">
        <f t="shared" si="2"/>
        <v>0</v>
      </c>
      <c r="K36" s="30">
        <v>0</v>
      </c>
      <c r="L36" s="31"/>
      <c r="M36" s="32">
        <f t="shared" si="3"/>
        <v>0</v>
      </c>
      <c r="N36" s="30">
        <v>2480</v>
      </c>
      <c r="O36" s="31"/>
      <c r="P36" s="32">
        <f t="shared" si="4"/>
        <v>-2480</v>
      </c>
      <c r="Q36" s="30">
        <v>638</v>
      </c>
      <c r="R36" s="31"/>
      <c r="S36" s="32">
        <f t="shared" si="5"/>
        <v>-638</v>
      </c>
      <c r="T36" s="30">
        <v>44849</v>
      </c>
      <c r="U36" s="31"/>
      <c r="V36" s="32">
        <f t="shared" si="6"/>
        <v>-44849</v>
      </c>
      <c r="W36" s="30">
        <v>0</v>
      </c>
      <c r="X36" s="31"/>
      <c r="Y36" s="32">
        <f t="shared" si="7"/>
        <v>0</v>
      </c>
      <c r="Z36" s="33">
        <f>SUM(DailyTrackingTable[[#This Row],[Plant Equipment Hire F/C]]+DailyTrackingTable[[#This Row],[Tooling Hire F/C]]+DailyTrackingTable[[#This Row],[Radio Hire F/C]]+DailyTrackingTable[[#This Row],[Gas Monitor Hire F/C]]+DailyTrackingTable[[#This Row],[Personnel / Labour F/C]]+DailyTrackingTable[[#This Row],[Accommodation F/C]]+DailyTrackingTable[[#This Row],[Transport F/C]]+DailyTrackingTable[[#This Row],[Damage Recovery F/C]])</f>
        <v>47967</v>
      </c>
      <c r="AA36" s="33">
        <f>SUM(DailyTrackingTable[[#This Row],[Plant Equipment Hire Actual]]+DailyTrackingTable[[#This Row],[Tooling Hire Actual]]+DailyTrackingTable[[#This Row],[Radio Hire Actual]]+DailyTrackingTable[[#This Row],[Gas Monitor Hire Actual]]+DailyTrackingTable[[#This Row],[Personnel / Labour Actual]]+DailyTrackingTable[[#This Row],[Accommodation Actual]]+DailyTrackingTable[[#This Row],[Transport Actual]]+DailyTrackingTable[[#This Row],[Damage Recovery Actual]])</f>
        <v>0</v>
      </c>
      <c r="AB36" s="90">
        <f t="shared" si="8"/>
        <v>-47967</v>
      </c>
    </row>
    <row r="37" spans="1:28">
      <c r="A37" s="89"/>
      <c r="B37" s="30"/>
      <c r="C37" s="31"/>
      <c r="D37" s="32"/>
      <c r="E37" s="30"/>
      <c r="F37" s="31"/>
      <c r="G37" s="32"/>
      <c r="H37" s="30"/>
      <c r="I37" s="31"/>
      <c r="J37" s="32"/>
      <c r="K37" s="30"/>
      <c r="L37" s="31"/>
      <c r="M37" s="32"/>
      <c r="N37" s="30"/>
      <c r="O37" s="31"/>
      <c r="P37" s="32"/>
      <c r="Q37" s="30"/>
      <c r="R37" s="31"/>
      <c r="S37" s="32"/>
      <c r="T37" s="30"/>
      <c r="U37" s="31"/>
      <c r="V37" s="32"/>
      <c r="W37" s="30"/>
      <c r="X37" s="31"/>
      <c r="Y37" s="32"/>
      <c r="Z37" s="33"/>
      <c r="AA37" s="33"/>
      <c r="AB37" s="90"/>
    </row>
    <row r="38" spans="1:28" s="233" customFormat="1" ht="27" customHeight="1">
      <c r="A38" s="234" t="s">
        <v>619</v>
      </c>
      <c r="B38" s="235">
        <f t="shared" ref="B38:AA38" si="11">SUM(B2:B36)</f>
        <v>228085.48000000004</v>
      </c>
      <c r="C38" s="235">
        <f t="shared" si="11"/>
        <v>58448.9</v>
      </c>
      <c r="D38" s="235">
        <f t="shared" si="11"/>
        <v>-169636.57999999996</v>
      </c>
      <c r="E38" s="235">
        <f t="shared" si="11"/>
        <v>97690.015999998839</v>
      </c>
      <c r="F38" s="235">
        <f t="shared" si="11"/>
        <v>4865.76</v>
      </c>
      <c r="G38" s="235">
        <f t="shared" si="11"/>
        <v>-92824.255999998844</v>
      </c>
      <c r="H38" s="235">
        <f t="shared" ref="H38:M38" si="12">SUM(H2:H36)</f>
        <v>25107.600000000013</v>
      </c>
      <c r="I38" s="235">
        <f t="shared" si="12"/>
        <v>8967</v>
      </c>
      <c r="J38" s="235">
        <f t="shared" si="12"/>
        <v>-16140.600000000006</v>
      </c>
      <c r="K38" s="235">
        <f t="shared" si="12"/>
        <v>18742.5</v>
      </c>
      <c r="L38" s="235">
        <f t="shared" si="12"/>
        <v>2677.5</v>
      </c>
      <c r="M38" s="235">
        <f t="shared" si="12"/>
        <v>-16065</v>
      </c>
      <c r="N38" s="235">
        <f t="shared" si="11"/>
        <v>119680</v>
      </c>
      <c r="O38" s="235">
        <f t="shared" si="11"/>
        <v>35420</v>
      </c>
      <c r="P38" s="235">
        <f t="shared" si="11"/>
        <v>-84260</v>
      </c>
      <c r="Q38" s="235">
        <f t="shared" si="11"/>
        <v>27912.5</v>
      </c>
      <c r="R38" s="235">
        <f t="shared" si="11"/>
        <v>9729.5</v>
      </c>
      <c r="S38" s="235">
        <f t="shared" si="11"/>
        <v>-18183</v>
      </c>
      <c r="T38" s="235">
        <f t="shared" si="11"/>
        <v>89698</v>
      </c>
      <c r="U38" s="235">
        <f t="shared" si="11"/>
        <v>0</v>
      </c>
      <c r="V38" s="235">
        <f t="shared" si="11"/>
        <v>-89698</v>
      </c>
      <c r="W38" s="235">
        <f t="shared" si="11"/>
        <v>0</v>
      </c>
      <c r="X38" s="235">
        <f t="shared" si="11"/>
        <v>0</v>
      </c>
      <c r="Y38" s="235">
        <f t="shared" si="11"/>
        <v>0</v>
      </c>
      <c r="Z38" s="235">
        <f t="shared" si="11"/>
        <v>606916.09599999886</v>
      </c>
      <c r="AA38" s="235">
        <f t="shared" si="11"/>
        <v>120108.66</v>
      </c>
      <c r="AB38" s="272">
        <f>SUM(AB2:AB36)</f>
        <v>-486807.43599999894</v>
      </c>
    </row>
  </sheetData>
  <conditionalFormatting sqref="D2:D36">
    <cfRule type="cellIs" dxfId="21" priority="23" operator="lessThan">
      <formula>0</formula>
    </cfRule>
    <cfRule type="cellIs" dxfId="20" priority="24" operator="greaterThan">
      <formula>0</formula>
    </cfRule>
  </conditionalFormatting>
  <conditionalFormatting sqref="G2:G36">
    <cfRule type="cellIs" dxfId="19" priority="25" operator="lessThan">
      <formula>0</formula>
    </cfRule>
    <cfRule type="cellIs" dxfId="18" priority="26" operator="greaterThan">
      <formula>0</formula>
    </cfRule>
  </conditionalFormatting>
  <conditionalFormatting sqref="G2:G38 D2:D38 P2:P38 S2:S38 V2:V38 Y2:Y38 J2:J38 M2:M38 AB2:AB38">
    <cfRule type="cellIs" dxfId="17" priority="900" operator="greaterThan">
      <formula>0</formula>
    </cfRule>
    <cfRule type="cellIs" dxfId="16" priority="901" operator="lessThan">
      <formula>0</formula>
    </cfRule>
  </conditionalFormatting>
  <conditionalFormatting sqref="J2:J36">
    <cfRule type="cellIs" dxfId="15" priority="5" operator="lessThan">
      <formula>0</formula>
    </cfRule>
    <cfRule type="cellIs" dxfId="14" priority="6" operator="greaterThan">
      <formula>0</formula>
    </cfRule>
  </conditionalFormatting>
  <conditionalFormatting sqref="M2:M36">
    <cfRule type="cellIs" dxfId="13" priority="3" operator="lessThan">
      <formula>0</formula>
    </cfRule>
    <cfRule type="cellIs" dxfId="12" priority="4" operator="greaterThan">
      <formula>0</formula>
    </cfRule>
  </conditionalFormatting>
  <conditionalFormatting sqref="P2:P36">
    <cfRule type="cellIs" dxfId="11" priority="13" operator="lessThan">
      <formula>0</formula>
    </cfRule>
    <cfRule type="cellIs" dxfId="10" priority="14" operator="greaterThan">
      <formula>0</formula>
    </cfRule>
  </conditionalFormatting>
  <conditionalFormatting sqref="S2:S36">
    <cfRule type="cellIs" dxfId="9" priority="11" operator="lessThan">
      <formula>0</formula>
    </cfRule>
    <cfRule type="cellIs" dxfId="8" priority="12" operator="greaterThan">
      <formula>0</formula>
    </cfRule>
  </conditionalFormatting>
  <conditionalFormatting sqref="V2:V36">
    <cfRule type="cellIs" dxfId="7" priority="9" operator="lessThan">
      <formula>0</formula>
    </cfRule>
    <cfRule type="cellIs" dxfId="6" priority="10" operator="greaterThan">
      <formula>0</formula>
    </cfRule>
  </conditionalFormatting>
  <conditionalFormatting sqref="Y2:Y36">
    <cfRule type="cellIs" dxfId="5" priority="7" operator="lessThan">
      <formula>0</formula>
    </cfRule>
    <cfRule type="cellIs" dxfId="4" priority="8" operator="greaterThan">
      <formula>0</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E7F58-C65C-4342-A0A6-E16C1BD36EA8}">
  <sheetPr>
    <tabColor rgb="FFFA4600"/>
  </sheetPr>
  <dimension ref="A1:S193"/>
  <sheetViews>
    <sheetView showGridLines="0" zoomScaleNormal="100" workbookViewId="0">
      <pane ySplit="1" topLeftCell="A100" activePane="bottomLeft" state="frozen"/>
      <selection activeCell="C1" sqref="C1"/>
      <selection pane="bottomLeft" activeCell="C2" sqref="C2:C164"/>
    </sheetView>
  </sheetViews>
  <sheetFormatPr defaultColWidth="8.69921875" defaultRowHeight="12"/>
  <cols>
    <col min="1" max="1" width="26" style="124" customWidth="1"/>
    <col min="2" max="2" width="28" style="130" customWidth="1"/>
    <col min="3" max="3" width="29.19921875" style="124" customWidth="1"/>
    <col min="4" max="4" width="9.19921875" style="124" customWidth="1"/>
    <col min="5" max="5" width="18.59765625" style="130" customWidth="1"/>
    <col min="6" max="6" width="8.69921875" style="130" customWidth="1"/>
    <col min="7" max="7" width="7.8984375" style="124" customWidth="1"/>
    <col min="8" max="8" width="18.3984375" style="157" customWidth="1"/>
    <col min="9" max="9" width="17" style="124" customWidth="1"/>
    <col min="10" max="10" width="15.59765625" style="130" customWidth="1"/>
    <col min="11" max="12" width="14" style="130" customWidth="1"/>
    <col min="13" max="13" width="10" style="130" customWidth="1"/>
    <col min="14" max="14" width="16" style="130" customWidth="1"/>
    <col min="15" max="15" width="16" style="124" customWidth="1"/>
    <col min="16" max="19" width="14" style="130" customWidth="1"/>
    <col min="20" max="16384" width="8.69921875" style="124"/>
  </cols>
  <sheetData>
    <row r="1" spans="1:19" s="142" customFormat="1" ht="24">
      <c r="A1" s="151" t="s">
        <v>549</v>
      </c>
      <c r="B1" s="152" t="s">
        <v>656</v>
      </c>
      <c r="C1" s="152" t="s">
        <v>636</v>
      </c>
      <c r="D1" s="140" t="s">
        <v>687</v>
      </c>
      <c r="E1" s="140" t="s">
        <v>635</v>
      </c>
      <c r="F1" s="152" t="s">
        <v>634</v>
      </c>
      <c r="G1" s="154" t="s">
        <v>633</v>
      </c>
      <c r="H1" s="152" t="s">
        <v>2184</v>
      </c>
      <c r="I1" s="140" t="s">
        <v>632</v>
      </c>
      <c r="J1" s="140" t="s">
        <v>631</v>
      </c>
      <c r="K1" s="140" t="s">
        <v>630</v>
      </c>
      <c r="L1" s="140" t="s">
        <v>629</v>
      </c>
      <c r="M1" s="140" t="s">
        <v>628</v>
      </c>
      <c r="N1" s="152" t="s">
        <v>573</v>
      </c>
      <c r="O1" s="140" t="s">
        <v>627</v>
      </c>
      <c r="P1" s="140" t="s">
        <v>626</v>
      </c>
      <c r="Q1" s="140" t="s">
        <v>625</v>
      </c>
      <c r="R1" s="141" t="s">
        <v>624</v>
      </c>
    </row>
    <row r="2" spans="1:19">
      <c r="A2" s="119" t="s">
        <v>2242</v>
      </c>
      <c r="B2" s="120" t="s">
        <v>3113</v>
      </c>
      <c r="C2" s="120" t="s">
        <v>145</v>
      </c>
      <c r="D2" s="121">
        <v>40</v>
      </c>
      <c r="E2" s="121" t="s">
        <v>3113</v>
      </c>
      <c r="F2" s="120"/>
      <c r="G2" s="155">
        <v>0.8</v>
      </c>
      <c r="H2" s="120" t="s">
        <v>2186</v>
      </c>
      <c r="I2" s="121"/>
      <c r="J2" s="143">
        <v>46223</v>
      </c>
      <c r="K2" s="143">
        <v>46245</v>
      </c>
      <c r="L2" s="121">
        <f t="shared" ref="L2:L32" si="0">K2-J2+1</f>
        <v>23</v>
      </c>
      <c r="M2" s="122">
        <f t="shared" ref="M2:M32" si="1">D2*G2*L2</f>
        <v>736</v>
      </c>
      <c r="N2" s="120" t="s">
        <v>621</v>
      </c>
      <c r="O2" s="121"/>
      <c r="P2" s="121"/>
      <c r="Q2" s="121"/>
      <c r="R2" s="132"/>
      <c r="S2" s="124"/>
    </row>
    <row r="3" spans="1:19">
      <c r="A3" s="119" t="s">
        <v>2242</v>
      </c>
      <c r="B3" s="120" t="s">
        <v>706</v>
      </c>
      <c r="C3" s="120" t="s">
        <v>151</v>
      </c>
      <c r="D3" s="121">
        <v>70</v>
      </c>
      <c r="E3" s="121" t="s">
        <v>706</v>
      </c>
      <c r="F3" s="120"/>
      <c r="G3" s="155">
        <v>1.04</v>
      </c>
      <c r="H3" s="120" t="s">
        <v>2186</v>
      </c>
      <c r="I3" s="121"/>
      <c r="J3" s="143">
        <v>46223</v>
      </c>
      <c r="K3" s="143">
        <v>46245</v>
      </c>
      <c r="L3" s="121">
        <f t="shared" si="0"/>
        <v>23</v>
      </c>
      <c r="M3" s="122">
        <f t="shared" si="1"/>
        <v>1674.3999999999999</v>
      </c>
      <c r="N3" s="120" t="s">
        <v>621</v>
      </c>
      <c r="O3" s="121"/>
      <c r="P3" s="121"/>
      <c r="Q3" s="121"/>
      <c r="R3" s="132"/>
      <c r="S3" s="124"/>
    </row>
    <row r="4" spans="1:19">
      <c r="A4" s="119" t="s">
        <v>2242</v>
      </c>
      <c r="B4" s="120" t="s">
        <v>3115</v>
      </c>
      <c r="C4" s="120" t="s">
        <v>150</v>
      </c>
      <c r="D4" s="121">
        <v>8</v>
      </c>
      <c r="E4" s="121" t="s">
        <v>3115</v>
      </c>
      <c r="F4" s="120"/>
      <c r="G4" s="155">
        <v>1.04</v>
      </c>
      <c r="H4" s="120" t="s">
        <v>2186</v>
      </c>
      <c r="I4" s="121"/>
      <c r="J4" s="143">
        <v>46223</v>
      </c>
      <c r="K4" s="143">
        <v>46245</v>
      </c>
      <c r="L4" s="121">
        <f t="shared" si="0"/>
        <v>23</v>
      </c>
      <c r="M4" s="122">
        <f t="shared" si="1"/>
        <v>191.36</v>
      </c>
      <c r="N4" s="120" t="s">
        <v>621</v>
      </c>
      <c r="O4" s="121"/>
      <c r="P4" s="121"/>
      <c r="Q4" s="121"/>
      <c r="R4" s="132"/>
      <c r="S4" s="124"/>
    </row>
    <row r="5" spans="1:19">
      <c r="A5" s="119" t="s">
        <v>2242</v>
      </c>
      <c r="B5" s="120" t="s">
        <v>3114</v>
      </c>
      <c r="C5" s="120" t="s">
        <v>152</v>
      </c>
      <c r="D5" s="121">
        <v>8</v>
      </c>
      <c r="E5" s="121" t="s">
        <v>3114</v>
      </c>
      <c r="F5" s="120"/>
      <c r="G5" s="155">
        <v>1.04</v>
      </c>
      <c r="H5" s="120" t="s">
        <v>2186</v>
      </c>
      <c r="I5" s="121"/>
      <c r="J5" s="143">
        <v>46223</v>
      </c>
      <c r="K5" s="143">
        <v>46245</v>
      </c>
      <c r="L5" s="121">
        <f t="shared" si="0"/>
        <v>23</v>
      </c>
      <c r="M5" s="122">
        <f t="shared" si="1"/>
        <v>191.36</v>
      </c>
      <c r="N5" s="120" t="s">
        <v>621</v>
      </c>
      <c r="O5" s="121"/>
      <c r="P5" s="121"/>
      <c r="Q5" s="121"/>
      <c r="R5" s="132"/>
      <c r="S5" s="124"/>
    </row>
    <row r="6" spans="1:19">
      <c r="A6" s="119" t="s">
        <v>2242</v>
      </c>
      <c r="B6" s="120" t="s">
        <v>707</v>
      </c>
      <c r="C6" s="120" t="s">
        <v>2252</v>
      </c>
      <c r="D6" s="121">
        <v>50</v>
      </c>
      <c r="E6" s="121" t="s">
        <v>707</v>
      </c>
      <c r="F6" s="120"/>
      <c r="G6" s="155">
        <v>2.0699999999999998</v>
      </c>
      <c r="H6" s="120" t="s">
        <v>2186</v>
      </c>
      <c r="I6" s="121"/>
      <c r="J6" s="143">
        <v>46223</v>
      </c>
      <c r="K6" s="143">
        <v>46245</v>
      </c>
      <c r="L6" s="121">
        <f t="shared" si="0"/>
        <v>23</v>
      </c>
      <c r="M6" s="122">
        <f t="shared" si="1"/>
        <v>2380.4999999999995</v>
      </c>
      <c r="N6" s="120" t="s">
        <v>621</v>
      </c>
      <c r="O6" s="121"/>
      <c r="P6" s="121"/>
      <c r="Q6" s="121"/>
      <c r="R6" s="132"/>
      <c r="S6" s="124"/>
    </row>
    <row r="7" spans="1:19">
      <c r="A7" s="119" t="s">
        <v>688</v>
      </c>
      <c r="B7" s="120" t="s">
        <v>662</v>
      </c>
      <c r="C7" s="120" t="s">
        <v>2185</v>
      </c>
      <c r="D7" s="121">
        <v>1</v>
      </c>
      <c r="E7" s="121">
        <v>1221712</v>
      </c>
      <c r="F7" s="120"/>
      <c r="G7" s="155">
        <v>414.8</v>
      </c>
      <c r="H7" s="120" t="s">
        <v>2186</v>
      </c>
      <c r="I7" s="121"/>
      <c r="J7" s="143">
        <v>46223</v>
      </c>
      <c r="K7" s="143">
        <v>46245</v>
      </c>
      <c r="L7" s="121">
        <f t="shared" si="0"/>
        <v>23</v>
      </c>
      <c r="M7" s="122">
        <f t="shared" si="1"/>
        <v>9540.4</v>
      </c>
      <c r="N7" s="120" t="s">
        <v>2187</v>
      </c>
      <c r="O7" s="121"/>
      <c r="P7" s="121"/>
      <c r="Q7" s="121"/>
      <c r="R7" s="132"/>
      <c r="S7" s="124"/>
    </row>
    <row r="8" spans="1:19">
      <c r="A8" s="119" t="s">
        <v>688</v>
      </c>
      <c r="B8" s="120" t="s">
        <v>696</v>
      </c>
      <c r="C8" s="120" t="s">
        <v>692</v>
      </c>
      <c r="D8" s="121">
        <v>1</v>
      </c>
      <c r="E8" s="121">
        <v>1312859</v>
      </c>
      <c r="F8" s="120"/>
      <c r="G8" s="155">
        <v>127</v>
      </c>
      <c r="H8" s="120" t="s">
        <v>2186</v>
      </c>
      <c r="I8" s="121"/>
      <c r="J8" s="143">
        <v>46223</v>
      </c>
      <c r="K8" s="143">
        <v>46245</v>
      </c>
      <c r="L8" s="121">
        <f t="shared" si="0"/>
        <v>23</v>
      </c>
      <c r="M8" s="122">
        <f t="shared" si="1"/>
        <v>2921</v>
      </c>
      <c r="N8" s="120" t="s">
        <v>2187</v>
      </c>
      <c r="O8" s="121"/>
      <c r="P8" s="121"/>
      <c r="Q8" s="121"/>
      <c r="R8" s="132"/>
      <c r="S8" s="124"/>
    </row>
    <row r="9" spans="1:19">
      <c r="A9" s="119" t="s">
        <v>688</v>
      </c>
      <c r="B9" s="120" t="s">
        <v>696</v>
      </c>
      <c r="C9" s="120" t="s">
        <v>692</v>
      </c>
      <c r="D9" s="121">
        <v>1</v>
      </c>
      <c r="E9" s="121">
        <v>1312860</v>
      </c>
      <c r="F9" s="120"/>
      <c r="G9" s="155">
        <v>127</v>
      </c>
      <c r="H9" s="120" t="s">
        <v>2186</v>
      </c>
      <c r="I9" s="121"/>
      <c r="J9" s="143">
        <v>46223</v>
      </c>
      <c r="K9" s="143">
        <v>46245</v>
      </c>
      <c r="L9" s="121">
        <f t="shared" si="0"/>
        <v>23</v>
      </c>
      <c r="M9" s="122">
        <f t="shared" si="1"/>
        <v>2921</v>
      </c>
      <c r="N9" s="120" t="s">
        <v>2187</v>
      </c>
      <c r="O9" s="121"/>
      <c r="P9" s="121"/>
      <c r="Q9" s="121"/>
      <c r="R9" s="132"/>
      <c r="S9" s="124"/>
    </row>
    <row r="10" spans="1:19">
      <c r="A10" s="119" t="s">
        <v>688</v>
      </c>
      <c r="B10" s="120" t="s">
        <v>697</v>
      </c>
      <c r="C10" s="120" t="s">
        <v>693</v>
      </c>
      <c r="D10" s="121">
        <v>1</v>
      </c>
      <c r="E10" s="121">
        <v>1312869</v>
      </c>
      <c r="F10" s="120"/>
      <c r="G10" s="155">
        <v>192.04</v>
      </c>
      <c r="H10" s="120" t="s">
        <v>2186</v>
      </c>
      <c r="I10" s="143">
        <v>46219</v>
      </c>
      <c r="J10" s="143">
        <v>46223</v>
      </c>
      <c r="K10" s="143">
        <v>46245</v>
      </c>
      <c r="L10" s="121">
        <f t="shared" si="0"/>
        <v>23</v>
      </c>
      <c r="M10" s="122">
        <f t="shared" si="1"/>
        <v>4416.92</v>
      </c>
      <c r="N10" s="120" t="s">
        <v>2187</v>
      </c>
      <c r="O10" s="121"/>
      <c r="P10" s="121"/>
      <c r="Q10" s="121"/>
      <c r="R10" s="132"/>
      <c r="S10" s="124"/>
    </row>
    <row r="11" spans="1:19">
      <c r="A11" s="119" t="s">
        <v>688</v>
      </c>
      <c r="B11" s="120" t="s">
        <v>698</v>
      </c>
      <c r="C11" s="120" t="s">
        <v>694</v>
      </c>
      <c r="D11" s="121">
        <v>1</v>
      </c>
      <c r="E11" s="121">
        <v>1313102</v>
      </c>
      <c r="F11" s="120"/>
      <c r="G11" s="155">
        <v>263.72000000000003</v>
      </c>
      <c r="H11" s="120" t="s">
        <v>2186</v>
      </c>
      <c r="I11" s="121"/>
      <c r="J11" s="143">
        <v>46223</v>
      </c>
      <c r="K11" s="143">
        <v>46245</v>
      </c>
      <c r="L11" s="121">
        <f t="shared" si="0"/>
        <v>23</v>
      </c>
      <c r="M11" s="122">
        <f t="shared" si="1"/>
        <v>6065.56</v>
      </c>
      <c r="N11" s="120" t="s">
        <v>2187</v>
      </c>
      <c r="O11" s="121"/>
      <c r="P11" s="121"/>
      <c r="Q11" s="121"/>
      <c r="R11" s="132"/>
      <c r="S11" s="124"/>
    </row>
    <row r="12" spans="1:19">
      <c r="A12" s="119" t="s">
        <v>688</v>
      </c>
      <c r="B12" s="120" t="s">
        <v>698</v>
      </c>
      <c r="C12" s="120" t="s">
        <v>694</v>
      </c>
      <c r="D12" s="121">
        <v>1</v>
      </c>
      <c r="E12" s="121">
        <v>1313105</v>
      </c>
      <c r="F12" s="120"/>
      <c r="G12" s="155">
        <v>263.72000000000003</v>
      </c>
      <c r="H12" s="120" t="s">
        <v>2186</v>
      </c>
      <c r="I12" s="121"/>
      <c r="J12" s="143">
        <v>46223</v>
      </c>
      <c r="K12" s="143">
        <v>46245</v>
      </c>
      <c r="L12" s="121">
        <f t="shared" si="0"/>
        <v>23</v>
      </c>
      <c r="M12" s="122">
        <f t="shared" si="1"/>
        <v>6065.56</v>
      </c>
      <c r="N12" s="120" t="s">
        <v>2187</v>
      </c>
      <c r="O12" s="121"/>
      <c r="P12" s="121"/>
      <c r="Q12" s="121"/>
      <c r="R12" s="132"/>
      <c r="S12" s="124"/>
    </row>
    <row r="13" spans="1:19">
      <c r="A13" s="119" t="s">
        <v>688</v>
      </c>
      <c r="B13" s="120" t="s">
        <v>660</v>
      </c>
      <c r="C13" s="120" t="s">
        <v>695</v>
      </c>
      <c r="D13" s="121">
        <v>1</v>
      </c>
      <c r="E13" s="121">
        <v>1298795</v>
      </c>
      <c r="F13" s="120"/>
      <c r="G13" s="155">
        <v>98.52</v>
      </c>
      <c r="H13" s="120" t="s">
        <v>2186</v>
      </c>
      <c r="I13" s="121"/>
      <c r="J13" s="143">
        <v>46223</v>
      </c>
      <c r="K13" s="143">
        <v>46245</v>
      </c>
      <c r="L13" s="121">
        <f t="shared" si="0"/>
        <v>23</v>
      </c>
      <c r="M13" s="122">
        <f t="shared" si="1"/>
        <v>2265.96</v>
      </c>
      <c r="N13" s="120" t="s">
        <v>2187</v>
      </c>
      <c r="O13" s="121"/>
      <c r="P13" s="121"/>
      <c r="Q13" s="121"/>
      <c r="R13" s="132"/>
      <c r="S13" s="124"/>
    </row>
    <row r="14" spans="1:19">
      <c r="A14" s="119" t="s">
        <v>688</v>
      </c>
      <c r="B14" s="120" t="s">
        <v>660</v>
      </c>
      <c r="C14" s="120" t="s">
        <v>695</v>
      </c>
      <c r="D14" s="121">
        <v>1</v>
      </c>
      <c r="E14" s="121">
        <v>1298793</v>
      </c>
      <c r="F14" s="120"/>
      <c r="G14" s="155">
        <v>98.52</v>
      </c>
      <c r="H14" s="120" t="s">
        <v>2186</v>
      </c>
      <c r="I14" s="121"/>
      <c r="J14" s="143">
        <v>46223</v>
      </c>
      <c r="K14" s="143">
        <v>46245</v>
      </c>
      <c r="L14" s="121">
        <f t="shared" si="0"/>
        <v>23</v>
      </c>
      <c r="M14" s="122">
        <f t="shared" si="1"/>
        <v>2265.96</v>
      </c>
      <c r="N14" s="120" t="s">
        <v>2187</v>
      </c>
      <c r="O14" s="121"/>
      <c r="P14" s="121"/>
      <c r="Q14" s="121"/>
      <c r="R14" s="132"/>
      <c r="S14" s="124"/>
    </row>
    <row r="15" spans="1:19">
      <c r="A15" s="119" t="s">
        <v>2188</v>
      </c>
      <c r="B15" s="120" t="s">
        <v>657</v>
      </c>
      <c r="C15" s="120" t="s">
        <v>2189</v>
      </c>
      <c r="D15" s="121">
        <v>1</v>
      </c>
      <c r="E15" s="121">
        <v>1220928</v>
      </c>
      <c r="F15" s="120"/>
      <c r="G15" s="155">
        <v>8.3000000000000007</v>
      </c>
      <c r="H15" s="120" t="s">
        <v>2186</v>
      </c>
      <c r="I15" s="121"/>
      <c r="J15" s="143">
        <v>46223</v>
      </c>
      <c r="K15" s="143">
        <v>46245</v>
      </c>
      <c r="L15" s="121">
        <f t="shared" si="0"/>
        <v>23</v>
      </c>
      <c r="M15" s="122">
        <f t="shared" si="1"/>
        <v>190.9</v>
      </c>
      <c r="N15" s="120" t="s">
        <v>2187</v>
      </c>
      <c r="O15" s="121"/>
      <c r="P15" s="121"/>
      <c r="Q15" s="121"/>
      <c r="R15" s="132"/>
      <c r="S15" s="124"/>
    </row>
    <row r="16" spans="1:19">
      <c r="A16" s="119" t="s">
        <v>2188</v>
      </c>
      <c r="B16" s="120" t="s">
        <v>657</v>
      </c>
      <c r="C16" s="120" t="s">
        <v>2189</v>
      </c>
      <c r="D16" s="121">
        <v>1</v>
      </c>
      <c r="E16" s="121">
        <v>1224327</v>
      </c>
      <c r="F16" s="120"/>
      <c r="G16" s="155">
        <v>8.3000000000000007</v>
      </c>
      <c r="H16" s="120" t="s">
        <v>2186</v>
      </c>
      <c r="I16" s="121"/>
      <c r="J16" s="143">
        <v>46223</v>
      </c>
      <c r="K16" s="143">
        <v>46245</v>
      </c>
      <c r="L16" s="121">
        <f t="shared" si="0"/>
        <v>23</v>
      </c>
      <c r="M16" s="122">
        <f t="shared" si="1"/>
        <v>190.9</v>
      </c>
      <c r="N16" s="120" t="s">
        <v>2187</v>
      </c>
      <c r="O16" s="121"/>
      <c r="P16" s="121"/>
      <c r="Q16" s="121"/>
      <c r="R16" s="132"/>
      <c r="S16" s="124"/>
    </row>
    <row r="17" spans="1:19">
      <c r="A17" s="119" t="s">
        <v>2188</v>
      </c>
      <c r="B17" s="120" t="s">
        <v>657</v>
      </c>
      <c r="C17" s="120" t="s">
        <v>2189</v>
      </c>
      <c r="D17" s="121">
        <v>1</v>
      </c>
      <c r="E17" s="121">
        <v>1142988</v>
      </c>
      <c r="F17" s="120"/>
      <c r="G17" s="155">
        <v>8.3000000000000007</v>
      </c>
      <c r="H17" s="120" t="s">
        <v>2186</v>
      </c>
      <c r="I17" s="121"/>
      <c r="J17" s="143">
        <v>46223</v>
      </c>
      <c r="K17" s="143">
        <v>46245</v>
      </c>
      <c r="L17" s="121">
        <f t="shared" si="0"/>
        <v>23</v>
      </c>
      <c r="M17" s="122">
        <f t="shared" si="1"/>
        <v>190.9</v>
      </c>
      <c r="N17" s="120" t="s">
        <v>2187</v>
      </c>
      <c r="O17" s="121"/>
      <c r="P17" s="121"/>
      <c r="Q17" s="121"/>
      <c r="R17" s="132"/>
      <c r="S17" s="124"/>
    </row>
    <row r="18" spans="1:19">
      <c r="A18" s="119" t="s">
        <v>2188</v>
      </c>
      <c r="B18" s="120" t="s">
        <v>657</v>
      </c>
      <c r="C18" s="120" t="s">
        <v>2189</v>
      </c>
      <c r="D18" s="121">
        <v>1</v>
      </c>
      <c r="E18" s="121">
        <v>1142981</v>
      </c>
      <c r="F18" s="120"/>
      <c r="G18" s="155">
        <v>8.3000000000000007</v>
      </c>
      <c r="H18" s="120" t="s">
        <v>2186</v>
      </c>
      <c r="I18" s="121"/>
      <c r="J18" s="143">
        <v>46223</v>
      </c>
      <c r="K18" s="143">
        <v>46245</v>
      </c>
      <c r="L18" s="121">
        <f t="shared" si="0"/>
        <v>23</v>
      </c>
      <c r="M18" s="122">
        <f t="shared" si="1"/>
        <v>190.9</v>
      </c>
      <c r="N18" s="120" t="s">
        <v>2187</v>
      </c>
      <c r="O18" s="121"/>
      <c r="P18" s="121"/>
      <c r="Q18" s="121"/>
      <c r="R18" s="132"/>
      <c r="S18" s="124"/>
    </row>
    <row r="19" spans="1:19">
      <c r="A19" s="119" t="s">
        <v>2188</v>
      </c>
      <c r="B19" s="120" t="s">
        <v>657</v>
      </c>
      <c r="C19" s="120" t="s">
        <v>2189</v>
      </c>
      <c r="D19" s="121">
        <v>1</v>
      </c>
      <c r="E19" s="121">
        <v>1142982</v>
      </c>
      <c r="F19" s="120"/>
      <c r="G19" s="155">
        <v>8.3000000000000007</v>
      </c>
      <c r="H19" s="120" t="s">
        <v>2186</v>
      </c>
      <c r="I19" s="121"/>
      <c r="J19" s="143">
        <v>46223</v>
      </c>
      <c r="K19" s="143">
        <v>46245</v>
      </c>
      <c r="L19" s="121">
        <f t="shared" si="0"/>
        <v>23</v>
      </c>
      <c r="M19" s="122">
        <f t="shared" si="1"/>
        <v>190.9</v>
      </c>
      <c r="N19" s="120" t="s">
        <v>2187</v>
      </c>
      <c r="O19" s="121"/>
      <c r="P19" s="121"/>
      <c r="Q19" s="121"/>
      <c r="R19" s="132"/>
      <c r="S19" s="124"/>
    </row>
    <row r="20" spans="1:19">
      <c r="A20" s="119" t="s">
        <v>2188</v>
      </c>
      <c r="B20" s="120" t="s">
        <v>2190</v>
      </c>
      <c r="C20" s="120" t="s">
        <v>2191</v>
      </c>
      <c r="D20" s="121">
        <v>1</v>
      </c>
      <c r="E20" s="121">
        <v>1189303</v>
      </c>
      <c r="F20" s="120"/>
      <c r="G20" s="155">
        <v>311.10000000000002</v>
      </c>
      <c r="H20" s="120" t="s">
        <v>2186</v>
      </c>
      <c r="I20" s="121"/>
      <c r="J20" s="143">
        <v>46223</v>
      </c>
      <c r="K20" s="143">
        <v>46245</v>
      </c>
      <c r="L20" s="121">
        <f t="shared" si="0"/>
        <v>23</v>
      </c>
      <c r="M20" s="122">
        <f t="shared" si="1"/>
        <v>7155.3</v>
      </c>
      <c r="N20" s="120" t="s">
        <v>2187</v>
      </c>
      <c r="O20" s="121"/>
      <c r="P20" s="121"/>
      <c r="Q20" s="121"/>
      <c r="R20" s="132"/>
      <c r="S20" s="124"/>
    </row>
    <row r="21" spans="1:19">
      <c r="A21" s="119" t="s">
        <v>2188</v>
      </c>
      <c r="B21" s="120" t="s">
        <v>658</v>
      </c>
      <c r="C21" s="120" t="s">
        <v>157</v>
      </c>
      <c r="D21" s="121">
        <v>1</v>
      </c>
      <c r="E21" s="121">
        <v>1297777</v>
      </c>
      <c r="F21" s="120"/>
      <c r="G21" s="155">
        <v>62.22</v>
      </c>
      <c r="H21" s="120" t="s">
        <v>2186</v>
      </c>
      <c r="I21" s="121"/>
      <c r="J21" s="143">
        <v>46223</v>
      </c>
      <c r="K21" s="143">
        <v>46245</v>
      </c>
      <c r="L21" s="121">
        <f t="shared" si="0"/>
        <v>23</v>
      </c>
      <c r="M21" s="122">
        <f t="shared" si="1"/>
        <v>1431.06</v>
      </c>
      <c r="N21" s="120" t="s">
        <v>2187</v>
      </c>
      <c r="O21" s="121"/>
      <c r="P21" s="121"/>
      <c r="Q21" s="121"/>
      <c r="R21" s="132"/>
      <c r="S21" s="124"/>
    </row>
    <row r="22" spans="1:19">
      <c r="A22" s="119" t="s">
        <v>2192</v>
      </c>
      <c r="B22" s="120" t="s">
        <v>2193</v>
      </c>
      <c r="C22" s="120" t="s">
        <v>158</v>
      </c>
      <c r="D22" s="121">
        <v>1</v>
      </c>
      <c r="E22" s="121">
        <v>535217</v>
      </c>
      <c r="F22" s="120"/>
      <c r="G22" s="155">
        <v>25.1</v>
      </c>
      <c r="H22" s="120" t="s">
        <v>2194</v>
      </c>
      <c r="I22" s="121"/>
      <c r="J22" s="143">
        <v>46223</v>
      </c>
      <c r="K22" s="143">
        <v>46245</v>
      </c>
      <c r="L22" s="121">
        <f t="shared" si="0"/>
        <v>23</v>
      </c>
      <c r="M22" s="122">
        <f t="shared" si="1"/>
        <v>577.30000000000007</v>
      </c>
      <c r="N22" s="120" t="s">
        <v>2187</v>
      </c>
      <c r="O22" s="121"/>
      <c r="P22" s="121"/>
      <c r="Q22" s="121"/>
      <c r="R22" s="132"/>
      <c r="S22" s="124"/>
    </row>
    <row r="23" spans="1:19">
      <c r="A23" s="119" t="s">
        <v>2192</v>
      </c>
      <c r="B23" s="120" t="s">
        <v>663</v>
      </c>
      <c r="C23" s="120" t="s">
        <v>2195</v>
      </c>
      <c r="D23" s="121">
        <v>1</v>
      </c>
      <c r="E23" s="121">
        <v>1200718</v>
      </c>
      <c r="F23" s="120"/>
      <c r="G23" s="155">
        <v>17.64</v>
      </c>
      <c r="H23" s="120" t="s">
        <v>2186</v>
      </c>
      <c r="I23" s="121"/>
      <c r="J23" s="143">
        <v>46223</v>
      </c>
      <c r="K23" s="143">
        <v>46245</v>
      </c>
      <c r="L23" s="121">
        <f t="shared" si="0"/>
        <v>23</v>
      </c>
      <c r="M23" s="122">
        <f t="shared" si="1"/>
        <v>405.72</v>
      </c>
      <c r="N23" s="120" t="s">
        <v>2187</v>
      </c>
      <c r="O23" s="121"/>
      <c r="P23" s="121"/>
      <c r="Q23" s="121"/>
      <c r="R23" s="132"/>
      <c r="S23" s="124"/>
    </row>
    <row r="24" spans="1:19">
      <c r="A24" s="119" t="s">
        <v>2192</v>
      </c>
      <c r="B24" s="120" t="s">
        <v>663</v>
      </c>
      <c r="C24" s="120" t="s">
        <v>2195</v>
      </c>
      <c r="D24" s="121">
        <v>1</v>
      </c>
      <c r="E24" s="121">
        <v>1200726</v>
      </c>
      <c r="F24" s="120"/>
      <c r="G24" s="155">
        <v>17.64</v>
      </c>
      <c r="H24" s="120" t="s">
        <v>2186</v>
      </c>
      <c r="I24" s="121"/>
      <c r="J24" s="143">
        <v>46223</v>
      </c>
      <c r="K24" s="143">
        <v>46245</v>
      </c>
      <c r="L24" s="121">
        <f t="shared" si="0"/>
        <v>23</v>
      </c>
      <c r="M24" s="122">
        <f t="shared" si="1"/>
        <v>405.72</v>
      </c>
      <c r="N24" s="120" t="s">
        <v>2187</v>
      </c>
      <c r="O24" s="121"/>
      <c r="P24" s="121"/>
      <c r="Q24" s="121"/>
      <c r="R24" s="132"/>
      <c r="S24" s="124"/>
    </row>
    <row r="25" spans="1:19">
      <c r="A25" s="119" t="s">
        <v>2192</v>
      </c>
      <c r="B25" s="120" t="s">
        <v>663</v>
      </c>
      <c r="C25" s="120" t="s">
        <v>2195</v>
      </c>
      <c r="D25" s="121">
        <v>1</v>
      </c>
      <c r="E25" s="121">
        <v>1200744</v>
      </c>
      <c r="F25" s="120"/>
      <c r="G25" s="155">
        <v>17.64</v>
      </c>
      <c r="H25" s="120" t="s">
        <v>2186</v>
      </c>
      <c r="I25" s="121"/>
      <c r="J25" s="143">
        <v>46223</v>
      </c>
      <c r="K25" s="143">
        <v>46245</v>
      </c>
      <c r="L25" s="121">
        <f t="shared" si="0"/>
        <v>23</v>
      </c>
      <c r="M25" s="122">
        <f t="shared" si="1"/>
        <v>405.72</v>
      </c>
      <c r="N25" s="120" t="s">
        <v>2187</v>
      </c>
      <c r="O25" s="121"/>
      <c r="P25" s="121"/>
      <c r="Q25" s="121"/>
      <c r="R25" s="132"/>
      <c r="S25" s="124"/>
    </row>
    <row r="26" spans="1:19">
      <c r="A26" s="119" t="s">
        <v>2192</v>
      </c>
      <c r="B26" s="120" t="s">
        <v>663</v>
      </c>
      <c r="C26" s="120" t="s">
        <v>2195</v>
      </c>
      <c r="D26" s="121">
        <v>1</v>
      </c>
      <c r="E26" s="121">
        <v>1200747</v>
      </c>
      <c r="F26" s="120"/>
      <c r="G26" s="155">
        <v>17.64</v>
      </c>
      <c r="H26" s="120" t="s">
        <v>2186</v>
      </c>
      <c r="I26" s="121"/>
      <c r="J26" s="143">
        <v>46223</v>
      </c>
      <c r="K26" s="143">
        <v>46245</v>
      </c>
      <c r="L26" s="121">
        <f t="shared" si="0"/>
        <v>23</v>
      </c>
      <c r="M26" s="122">
        <f t="shared" si="1"/>
        <v>405.72</v>
      </c>
      <c r="N26" s="120" t="s">
        <v>2187</v>
      </c>
      <c r="O26" s="121"/>
      <c r="P26" s="121"/>
      <c r="Q26" s="121"/>
      <c r="R26" s="132"/>
      <c r="S26" s="124"/>
    </row>
    <row r="27" spans="1:19">
      <c r="A27" s="119" t="s">
        <v>2192</v>
      </c>
      <c r="B27" s="120" t="s">
        <v>663</v>
      </c>
      <c r="C27" s="120" t="s">
        <v>2195</v>
      </c>
      <c r="D27" s="121">
        <v>1</v>
      </c>
      <c r="E27" s="121">
        <v>1206954</v>
      </c>
      <c r="F27" s="120"/>
      <c r="G27" s="155">
        <v>17.64</v>
      </c>
      <c r="H27" s="120" t="s">
        <v>2186</v>
      </c>
      <c r="I27" s="121"/>
      <c r="J27" s="143">
        <v>46223</v>
      </c>
      <c r="K27" s="143">
        <v>46245</v>
      </c>
      <c r="L27" s="121">
        <f t="shared" si="0"/>
        <v>23</v>
      </c>
      <c r="M27" s="122">
        <f t="shared" si="1"/>
        <v>405.72</v>
      </c>
      <c r="N27" s="120" t="s">
        <v>2187</v>
      </c>
      <c r="O27" s="121"/>
      <c r="P27" s="121"/>
      <c r="Q27" s="121"/>
      <c r="R27" s="132"/>
      <c r="S27" s="124"/>
    </row>
    <row r="28" spans="1:19">
      <c r="A28" s="119" t="s">
        <v>2192</v>
      </c>
      <c r="B28" s="120" t="s">
        <v>663</v>
      </c>
      <c r="C28" s="120" t="s">
        <v>2195</v>
      </c>
      <c r="D28" s="121">
        <v>1</v>
      </c>
      <c r="E28" s="121">
        <v>1207010</v>
      </c>
      <c r="F28" s="120"/>
      <c r="G28" s="155">
        <v>17.64</v>
      </c>
      <c r="H28" s="120" t="s">
        <v>2186</v>
      </c>
      <c r="I28" s="121"/>
      <c r="J28" s="143">
        <v>46223</v>
      </c>
      <c r="K28" s="143">
        <v>46245</v>
      </c>
      <c r="L28" s="121">
        <f t="shared" si="0"/>
        <v>23</v>
      </c>
      <c r="M28" s="122">
        <f t="shared" si="1"/>
        <v>405.72</v>
      </c>
      <c r="N28" s="120" t="s">
        <v>2187</v>
      </c>
      <c r="O28" s="121"/>
      <c r="P28" s="121"/>
      <c r="Q28" s="121"/>
      <c r="R28" s="132"/>
      <c r="S28" s="124"/>
    </row>
    <row r="29" spans="1:19">
      <c r="A29" s="119" t="s">
        <v>2192</v>
      </c>
      <c r="B29" s="120" t="s">
        <v>663</v>
      </c>
      <c r="C29" s="120" t="s">
        <v>2195</v>
      </c>
      <c r="D29" s="121">
        <v>1</v>
      </c>
      <c r="E29" s="121">
        <v>1207017</v>
      </c>
      <c r="F29" s="120"/>
      <c r="G29" s="155">
        <v>17.64</v>
      </c>
      <c r="H29" s="120" t="s">
        <v>2186</v>
      </c>
      <c r="I29" s="121"/>
      <c r="J29" s="143">
        <v>46223</v>
      </c>
      <c r="K29" s="143">
        <v>46245</v>
      </c>
      <c r="L29" s="121">
        <f t="shared" si="0"/>
        <v>23</v>
      </c>
      <c r="M29" s="122">
        <f t="shared" si="1"/>
        <v>405.72</v>
      </c>
      <c r="N29" s="120" t="s">
        <v>2187</v>
      </c>
      <c r="O29" s="121"/>
      <c r="P29" s="121"/>
      <c r="Q29" s="121"/>
      <c r="R29" s="132"/>
      <c r="S29" s="124"/>
    </row>
    <row r="30" spans="1:19">
      <c r="A30" s="119" t="s">
        <v>2192</v>
      </c>
      <c r="B30" s="120" t="s">
        <v>663</v>
      </c>
      <c r="C30" s="120" t="s">
        <v>2195</v>
      </c>
      <c r="D30" s="121">
        <v>1</v>
      </c>
      <c r="E30" s="121">
        <v>1207018</v>
      </c>
      <c r="F30" s="120"/>
      <c r="G30" s="155">
        <v>17.64</v>
      </c>
      <c r="H30" s="120" t="s">
        <v>2186</v>
      </c>
      <c r="I30" s="121"/>
      <c r="J30" s="143">
        <v>46223</v>
      </c>
      <c r="K30" s="143">
        <v>46245</v>
      </c>
      <c r="L30" s="121">
        <f t="shared" si="0"/>
        <v>23</v>
      </c>
      <c r="M30" s="122">
        <f t="shared" si="1"/>
        <v>405.72</v>
      </c>
      <c r="N30" s="120" t="s">
        <v>2187</v>
      </c>
      <c r="O30" s="121"/>
      <c r="P30" s="121"/>
      <c r="Q30" s="121"/>
      <c r="R30" s="132"/>
      <c r="S30" s="124"/>
    </row>
    <row r="31" spans="1:19">
      <c r="A31" s="119" t="s">
        <v>2192</v>
      </c>
      <c r="B31" s="120" t="s">
        <v>663</v>
      </c>
      <c r="C31" s="120" t="s">
        <v>2195</v>
      </c>
      <c r="D31" s="121">
        <v>1</v>
      </c>
      <c r="E31" s="121">
        <v>1207008</v>
      </c>
      <c r="F31" s="120"/>
      <c r="G31" s="155">
        <v>17.64</v>
      </c>
      <c r="H31" s="120" t="s">
        <v>2186</v>
      </c>
      <c r="I31" s="121"/>
      <c r="J31" s="143">
        <v>46223</v>
      </c>
      <c r="K31" s="143">
        <v>46245</v>
      </c>
      <c r="L31" s="121">
        <f t="shared" si="0"/>
        <v>23</v>
      </c>
      <c r="M31" s="122">
        <f t="shared" si="1"/>
        <v>405.72</v>
      </c>
      <c r="N31" s="120" t="s">
        <v>2187</v>
      </c>
      <c r="O31" s="121"/>
      <c r="P31" s="121"/>
      <c r="Q31" s="121"/>
      <c r="R31" s="132"/>
      <c r="S31" s="124"/>
    </row>
    <row r="32" spans="1:19">
      <c r="A32" s="119" t="s">
        <v>2192</v>
      </c>
      <c r="B32" s="120" t="s">
        <v>664</v>
      </c>
      <c r="C32" s="120" t="s">
        <v>148</v>
      </c>
      <c r="D32" s="121">
        <v>1</v>
      </c>
      <c r="E32" s="121">
        <v>1155277</v>
      </c>
      <c r="F32" s="120"/>
      <c r="G32" s="155">
        <v>25.21</v>
      </c>
      <c r="H32" s="120" t="s">
        <v>2196</v>
      </c>
      <c r="I32" s="121"/>
      <c r="J32" s="143">
        <v>46223</v>
      </c>
      <c r="K32" s="143">
        <v>46245</v>
      </c>
      <c r="L32" s="121">
        <f t="shared" si="0"/>
        <v>23</v>
      </c>
      <c r="M32" s="122">
        <f t="shared" si="1"/>
        <v>579.83000000000004</v>
      </c>
      <c r="N32" s="120" t="s">
        <v>2187</v>
      </c>
      <c r="O32" s="121"/>
      <c r="P32" s="121"/>
      <c r="Q32" s="121"/>
      <c r="R32" s="132"/>
      <c r="S32" s="124"/>
    </row>
    <row r="33" spans="1:19">
      <c r="A33" s="119" t="s">
        <v>2192</v>
      </c>
      <c r="B33" s="120" t="s">
        <v>664</v>
      </c>
      <c r="C33" s="120" t="s">
        <v>148</v>
      </c>
      <c r="D33" s="121">
        <v>1</v>
      </c>
      <c r="E33" s="121">
        <v>1207049</v>
      </c>
      <c r="F33" s="120"/>
      <c r="G33" s="155">
        <v>25.21</v>
      </c>
      <c r="H33" s="120" t="s">
        <v>2196</v>
      </c>
      <c r="I33" s="121"/>
      <c r="J33" s="143">
        <v>46223</v>
      </c>
      <c r="K33" s="143">
        <v>46245</v>
      </c>
      <c r="L33" s="121">
        <f t="shared" ref="L33:L64" si="2">K33-J33+1</f>
        <v>23</v>
      </c>
      <c r="M33" s="122">
        <f t="shared" ref="M33:M64" si="3">D33*G33*L33</f>
        <v>579.83000000000004</v>
      </c>
      <c r="N33" s="120" t="s">
        <v>2187</v>
      </c>
      <c r="O33" s="121"/>
      <c r="P33" s="121"/>
      <c r="Q33" s="121"/>
      <c r="R33" s="132"/>
      <c r="S33" s="124"/>
    </row>
    <row r="34" spans="1:19">
      <c r="A34" s="119" t="s">
        <v>2192</v>
      </c>
      <c r="B34" s="120" t="s">
        <v>664</v>
      </c>
      <c r="C34" s="120" t="s">
        <v>148</v>
      </c>
      <c r="D34" s="121">
        <v>1</v>
      </c>
      <c r="E34" s="121">
        <v>1189072</v>
      </c>
      <c r="F34" s="120"/>
      <c r="G34" s="155">
        <v>25.21</v>
      </c>
      <c r="H34" s="120" t="s">
        <v>2196</v>
      </c>
      <c r="I34" s="121"/>
      <c r="J34" s="143">
        <v>46223</v>
      </c>
      <c r="K34" s="143">
        <v>46245</v>
      </c>
      <c r="L34" s="121">
        <f t="shared" si="2"/>
        <v>23</v>
      </c>
      <c r="M34" s="122">
        <f t="shared" si="3"/>
        <v>579.83000000000004</v>
      </c>
      <c r="N34" s="120" t="s">
        <v>2187</v>
      </c>
      <c r="O34" s="121"/>
      <c r="P34" s="121"/>
      <c r="Q34" s="121"/>
      <c r="R34" s="132"/>
      <c r="S34" s="124"/>
    </row>
    <row r="35" spans="1:19">
      <c r="A35" s="119" t="s">
        <v>2192</v>
      </c>
      <c r="B35" s="120" t="s">
        <v>664</v>
      </c>
      <c r="C35" s="120" t="s">
        <v>148</v>
      </c>
      <c r="D35" s="121">
        <v>1</v>
      </c>
      <c r="E35" s="121">
        <v>1189060</v>
      </c>
      <c r="F35" s="120"/>
      <c r="G35" s="155">
        <v>25.21</v>
      </c>
      <c r="H35" s="120" t="s">
        <v>2196</v>
      </c>
      <c r="I35" s="121"/>
      <c r="J35" s="143">
        <v>46223</v>
      </c>
      <c r="K35" s="143">
        <v>46245</v>
      </c>
      <c r="L35" s="121">
        <f t="shared" si="2"/>
        <v>23</v>
      </c>
      <c r="M35" s="122">
        <f t="shared" si="3"/>
        <v>579.83000000000004</v>
      </c>
      <c r="N35" s="120" t="s">
        <v>2187</v>
      </c>
      <c r="O35" s="121"/>
      <c r="P35" s="121"/>
      <c r="Q35" s="121"/>
      <c r="R35" s="132"/>
      <c r="S35" s="124"/>
    </row>
    <row r="36" spans="1:19">
      <c r="A36" s="119" t="s">
        <v>2192</v>
      </c>
      <c r="B36" s="120" t="s">
        <v>664</v>
      </c>
      <c r="C36" s="120" t="s">
        <v>148</v>
      </c>
      <c r="D36" s="121">
        <v>1</v>
      </c>
      <c r="E36" s="121">
        <v>1217884</v>
      </c>
      <c r="F36" s="120"/>
      <c r="G36" s="155">
        <v>25.21</v>
      </c>
      <c r="H36" s="120" t="s">
        <v>2186</v>
      </c>
      <c r="I36" s="121"/>
      <c r="J36" s="143">
        <v>46223</v>
      </c>
      <c r="K36" s="143">
        <v>46245</v>
      </c>
      <c r="L36" s="121">
        <f t="shared" si="2"/>
        <v>23</v>
      </c>
      <c r="M36" s="122">
        <f t="shared" si="3"/>
        <v>579.83000000000004</v>
      </c>
      <c r="N36" s="120" t="s">
        <v>2187</v>
      </c>
      <c r="O36" s="121"/>
      <c r="P36" s="121"/>
      <c r="Q36" s="121"/>
      <c r="R36" s="132"/>
      <c r="S36" s="124"/>
    </row>
    <row r="37" spans="1:19">
      <c r="A37" s="119" t="s">
        <v>2192</v>
      </c>
      <c r="B37" s="120" t="s">
        <v>664</v>
      </c>
      <c r="C37" s="120" t="s">
        <v>148</v>
      </c>
      <c r="D37" s="121">
        <v>1</v>
      </c>
      <c r="E37" s="121">
        <v>1217882</v>
      </c>
      <c r="F37" s="120"/>
      <c r="G37" s="155">
        <v>25.21</v>
      </c>
      <c r="H37" s="120" t="s">
        <v>2186</v>
      </c>
      <c r="I37" s="121"/>
      <c r="J37" s="143">
        <v>46223</v>
      </c>
      <c r="K37" s="143">
        <v>46245</v>
      </c>
      <c r="L37" s="121">
        <f t="shared" si="2"/>
        <v>23</v>
      </c>
      <c r="M37" s="122">
        <f t="shared" si="3"/>
        <v>579.83000000000004</v>
      </c>
      <c r="N37" s="120" t="s">
        <v>2187</v>
      </c>
      <c r="O37" s="121"/>
      <c r="P37" s="121"/>
      <c r="Q37" s="121"/>
      <c r="R37" s="132"/>
      <c r="S37" s="124"/>
    </row>
    <row r="38" spans="1:19">
      <c r="A38" s="119" t="s">
        <v>2192</v>
      </c>
      <c r="B38" s="120" t="s">
        <v>664</v>
      </c>
      <c r="C38" s="120" t="s">
        <v>148</v>
      </c>
      <c r="D38" s="121">
        <v>1</v>
      </c>
      <c r="E38" s="121">
        <v>1217883</v>
      </c>
      <c r="F38" s="120"/>
      <c r="G38" s="155">
        <v>25.21</v>
      </c>
      <c r="H38" s="120" t="s">
        <v>2186</v>
      </c>
      <c r="I38" s="121"/>
      <c r="J38" s="143">
        <v>46223</v>
      </c>
      <c r="K38" s="143">
        <v>46245</v>
      </c>
      <c r="L38" s="121">
        <f t="shared" si="2"/>
        <v>23</v>
      </c>
      <c r="M38" s="122">
        <f t="shared" si="3"/>
        <v>579.83000000000004</v>
      </c>
      <c r="N38" s="120" t="s">
        <v>2187</v>
      </c>
      <c r="O38" s="121"/>
      <c r="P38" s="121"/>
      <c r="Q38" s="121"/>
      <c r="R38" s="132"/>
      <c r="S38" s="124"/>
    </row>
    <row r="39" spans="1:19">
      <c r="A39" s="119" t="s">
        <v>2192</v>
      </c>
      <c r="B39" s="120" t="s">
        <v>664</v>
      </c>
      <c r="C39" s="120" t="s">
        <v>148</v>
      </c>
      <c r="D39" s="121">
        <v>1</v>
      </c>
      <c r="E39" s="121">
        <v>1217879</v>
      </c>
      <c r="F39" s="120"/>
      <c r="G39" s="155">
        <v>25.21</v>
      </c>
      <c r="H39" s="120" t="s">
        <v>2186</v>
      </c>
      <c r="I39" s="121"/>
      <c r="J39" s="143">
        <v>46223</v>
      </c>
      <c r="K39" s="143">
        <v>46245</v>
      </c>
      <c r="L39" s="121">
        <f t="shared" si="2"/>
        <v>23</v>
      </c>
      <c r="M39" s="122">
        <f t="shared" si="3"/>
        <v>579.83000000000004</v>
      </c>
      <c r="N39" s="120" t="s">
        <v>2187</v>
      </c>
      <c r="O39" s="121"/>
      <c r="P39" s="121"/>
      <c r="Q39" s="121"/>
      <c r="R39" s="132"/>
      <c r="S39" s="124"/>
    </row>
    <row r="40" spans="1:19">
      <c r="A40" s="119" t="s">
        <v>2192</v>
      </c>
      <c r="B40" s="120" t="s">
        <v>664</v>
      </c>
      <c r="C40" s="120" t="s">
        <v>148</v>
      </c>
      <c r="D40" s="121">
        <v>1</v>
      </c>
      <c r="E40" s="121">
        <v>1207042</v>
      </c>
      <c r="F40" s="120"/>
      <c r="G40" s="155">
        <v>25.21</v>
      </c>
      <c r="H40" s="120" t="s">
        <v>2186</v>
      </c>
      <c r="I40" s="121"/>
      <c r="J40" s="143">
        <v>46223</v>
      </c>
      <c r="K40" s="143">
        <v>46245</v>
      </c>
      <c r="L40" s="121">
        <f t="shared" si="2"/>
        <v>23</v>
      </c>
      <c r="M40" s="122">
        <f t="shared" si="3"/>
        <v>579.83000000000004</v>
      </c>
      <c r="N40" s="120" t="s">
        <v>2187</v>
      </c>
      <c r="O40" s="121"/>
      <c r="P40" s="121"/>
      <c r="Q40" s="121"/>
      <c r="R40" s="132"/>
      <c r="S40" s="124"/>
    </row>
    <row r="41" spans="1:19">
      <c r="A41" s="119" t="s">
        <v>2192</v>
      </c>
      <c r="B41" s="120" t="s">
        <v>664</v>
      </c>
      <c r="C41" s="120" t="s">
        <v>148</v>
      </c>
      <c r="D41" s="121">
        <v>1</v>
      </c>
      <c r="E41" s="121">
        <v>1207043</v>
      </c>
      <c r="F41" s="120"/>
      <c r="G41" s="155">
        <v>25.21</v>
      </c>
      <c r="H41" s="120" t="s">
        <v>2186</v>
      </c>
      <c r="I41" s="121"/>
      <c r="J41" s="143">
        <v>46223</v>
      </c>
      <c r="K41" s="143">
        <v>46245</v>
      </c>
      <c r="L41" s="121">
        <f t="shared" si="2"/>
        <v>23</v>
      </c>
      <c r="M41" s="122">
        <f t="shared" si="3"/>
        <v>579.83000000000004</v>
      </c>
      <c r="N41" s="120" t="s">
        <v>2187</v>
      </c>
      <c r="O41" s="121"/>
      <c r="P41" s="121"/>
      <c r="Q41" s="121"/>
      <c r="R41" s="132"/>
      <c r="S41" s="124"/>
    </row>
    <row r="42" spans="1:19">
      <c r="A42" s="119" t="s">
        <v>2192</v>
      </c>
      <c r="B42" s="120" t="s">
        <v>664</v>
      </c>
      <c r="C42" s="120" t="s">
        <v>148</v>
      </c>
      <c r="D42" s="121">
        <v>1</v>
      </c>
      <c r="E42" s="121">
        <v>1207045</v>
      </c>
      <c r="F42" s="120"/>
      <c r="G42" s="155">
        <v>25.21</v>
      </c>
      <c r="H42" s="120" t="s">
        <v>2186</v>
      </c>
      <c r="I42" s="121"/>
      <c r="J42" s="143">
        <v>46223</v>
      </c>
      <c r="K42" s="143">
        <v>46245</v>
      </c>
      <c r="L42" s="121">
        <f t="shared" si="2"/>
        <v>23</v>
      </c>
      <c r="M42" s="122">
        <f t="shared" si="3"/>
        <v>579.83000000000004</v>
      </c>
      <c r="N42" s="120" t="s">
        <v>2187</v>
      </c>
      <c r="O42" s="121"/>
      <c r="P42" s="121"/>
      <c r="Q42" s="121"/>
      <c r="R42" s="132"/>
      <c r="S42" s="124"/>
    </row>
    <row r="43" spans="1:19">
      <c r="A43" s="119" t="s">
        <v>2192</v>
      </c>
      <c r="B43" s="120" t="s">
        <v>664</v>
      </c>
      <c r="C43" s="120" t="s">
        <v>148</v>
      </c>
      <c r="D43" s="121">
        <v>1</v>
      </c>
      <c r="E43" s="121">
        <v>1207019</v>
      </c>
      <c r="F43" s="120"/>
      <c r="G43" s="155">
        <v>25.21</v>
      </c>
      <c r="H43" s="120" t="s">
        <v>2186</v>
      </c>
      <c r="I43" s="121"/>
      <c r="J43" s="143">
        <v>46223</v>
      </c>
      <c r="K43" s="143">
        <v>46245</v>
      </c>
      <c r="L43" s="121">
        <f t="shared" si="2"/>
        <v>23</v>
      </c>
      <c r="M43" s="122">
        <f t="shared" si="3"/>
        <v>579.83000000000004</v>
      </c>
      <c r="N43" s="120" t="s">
        <v>2187</v>
      </c>
      <c r="O43" s="121"/>
      <c r="P43" s="121"/>
      <c r="Q43" s="121"/>
      <c r="R43" s="132"/>
      <c r="S43" s="124"/>
    </row>
    <row r="44" spans="1:19">
      <c r="A44" s="119" t="s">
        <v>2192</v>
      </c>
      <c r="B44" s="120" t="s">
        <v>664</v>
      </c>
      <c r="C44" s="120" t="s">
        <v>148</v>
      </c>
      <c r="D44" s="121">
        <v>1</v>
      </c>
      <c r="E44" s="121">
        <v>1189073</v>
      </c>
      <c r="F44" s="120"/>
      <c r="G44" s="155">
        <v>25.21</v>
      </c>
      <c r="H44" s="120" t="s">
        <v>2186</v>
      </c>
      <c r="I44" s="121"/>
      <c r="J44" s="143">
        <v>46223</v>
      </c>
      <c r="K44" s="143">
        <v>46245</v>
      </c>
      <c r="L44" s="121">
        <f t="shared" si="2"/>
        <v>23</v>
      </c>
      <c r="M44" s="122">
        <f t="shared" si="3"/>
        <v>579.83000000000004</v>
      </c>
      <c r="N44" s="120" t="s">
        <v>2187</v>
      </c>
      <c r="O44" s="121"/>
      <c r="P44" s="121"/>
      <c r="Q44" s="121"/>
      <c r="R44" s="132"/>
      <c r="S44" s="124"/>
    </row>
    <row r="45" spans="1:19">
      <c r="A45" s="119" t="s">
        <v>2192</v>
      </c>
      <c r="B45" s="120" t="s">
        <v>2197</v>
      </c>
      <c r="C45" s="120" t="s">
        <v>2198</v>
      </c>
      <c r="D45" s="121">
        <v>1</v>
      </c>
      <c r="E45" s="121">
        <v>1180409</v>
      </c>
      <c r="F45" s="120"/>
      <c r="G45" s="155">
        <v>17.64</v>
      </c>
      <c r="H45" s="120" t="s">
        <v>2194</v>
      </c>
      <c r="I45" s="121"/>
      <c r="J45" s="143">
        <v>46223</v>
      </c>
      <c r="K45" s="143">
        <v>46245</v>
      </c>
      <c r="L45" s="121">
        <f t="shared" si="2"/>
        <v>23</v>
      </c>
      <c r="M45" s="122">
        <f t="shared" si="3"/>
        <v>405.72</v>
      </c>
      <c r="N45" s="120" t="s">
        <v>2187</v>
      </c>
      <c r="O45" s="121"/>
      <c r="P45" s="121"/>
      <c r="Q45" s="121"/>
      <c r="R45" s="132"/>
      <c r="S45" s="124"/>
    </row>
    <row r="46" spans="1:19">
      <c r="A46" s="119" t="s">
        <v>2192</v>
      </c>
      <c r="B46" s="120" t="s">
        <v>2199</v>
      </c>
      <c r="C46" s="120" t="s">
        <v>226</v>
      </c>
      <c r="D46" s="121">
        <v>1</v>
      </c>
      <c r="E46" s="121">
        <v>1207169</v>
      </c>
      <c r="F46" s="120"/>
      <c r="G46" s="155">
        <v>9.33</v>
      </c>
      <c r="H46" s="120" t="s">
        <v>2186</v>
      </c>
      <c r="I46" s="121"/>
      <c r="J46" s="143">
        <v>46223</v>
      </c>
      <c r="K46" s="143">
        <v>46245</v>
      </c>
      <c r="L46" s="121">
        <f t="shared" si="2"/>
        <v>23</v>
      </c>
      <c r="M46" s="122">
        <f t="shared" si="3"/>
        <v>214.59</v>
      </c>
      <c r="N46" s="120" t="s">
        <v>2187</v>
      </c>
      <c r="O46" s="121"/>
      <c r="P46" s="121"/>
      <c r="Q46" s="121"/>
      <c r="R46" s="132"/>
      <c r="S46" s="124"/>
    </row>
    <row r="47" spans="1:19">
      <c r="A47" s="119" t="s">
        <v>2192</v>
      </c>
      <c r="B47" s="120" t="s">
        <v>2199</v>
      </c>
      <c r="C47" s="120" t="s">
        <v>226</v>
      </c>
      <c r="D47" s="121">
        <v>1</v>
      </c>
      <c r="E47" s="121">
        <v>1207148</v>
      </c>
      <c r="F47" s="120"/>
      <c r="G47" s="155">
        <v>9.33</v>
      </c>
      <c r="H47" s="120" t="s">
        <v>2186</v>
      </c>
      <c r="I47" s="121"/>
      <c r="J47" s="143">
        <v>46223</v>
      </c>
      <c r="K47" s="143">
        <v>46245</v>
      </c>
      <c r="L47" s="121">
        <f t="shared" si="2"/>
        <v>23</v>
      </c>
      <c r="M47" s="122">
        <f t="shared" si="3"/>
        <v>214.59</v>
      </c>
      <c r="N47" s="120" t="s">
        <v>2187</v>
      </c>
      <c r="O47" s="121"/>
      <c r="P47" s="121"/>
      <c r="Q47" s="121"/>
      <c r="R47" s="132"/>
      <c r="S47" s="124"/>
    </row>
    <row r="48" spans="1:19">
      <c r="A48" s="119" t="s">
        <v>2192</v>
      </c>
      <c r="B48" s="120" t="s">
        <v>2199</v>
      </c>
      <c r="C48" s="120" t="s">
        <v>226</v>
      </c>
      <c r="D48" s="121">
        <v>1</v>
      </c>
      <c r="E48" s="121">
        <v>1207147</v>
      </c>
      <c r="F48" s="120"/>
      <c r="G48" s="155">
        <v>9.33</v>
      </c>
      <c r="H48" s="120" t="s">
        <v>2186</v>
      </c>
      <c r="I48" s="121"/>
      <c r="J48" s="143">
        <v>46223</v>
      </c>
      <c r="K48" s="143">
        <v>46245</v>
      </c>
      <c r="L48" s="121">
        <f t="shared" si="2"/>
        <v>23</v>
      </c>
      <c r="M48" s="122">
        <f t="shared" si="3"/>
        <v>214.59</v>
      </c>
      <c r="N48" s="120" t="s">
        <v>2187</v>
      </c>
      <c r="O48" s="121"/>
      <c r="P48" s="121"/>
      <c r="Q48" s="121"/>
      <c r="R48" s="132"/>
      <c r="S48" s="124"/>
    </row>
    <row r="49" spans="1:19">
      <c r="A49" s="119" t="s">
        <v>2192</v>
      </c>
      <c r="B49" s="120" t="s">
        <v>2199</v>
      </c>
      <c r="C49" s="120" t="s">
        <v>226</v>
      </c>
      <c r="D49" s="121">
        <v>1</v>
      </c>
      <c r="E49" s="121">
        <v>1207218</v>
      </c>
      <c r="F49" s="120"/>
      <c r="G49" s="155">
        <v>9.33</v>
      </c>
      <c r="H49" s="120" t="s">
        <v>2186</v>
      </c>
      <c r="I49" s="121"/>
      <c r="J49" s="143">
        <v>46223</v>
      </c>
      <c r="K49" s="143">
        <v>46245</v>
      </c>
      <c r="L49" s="121">
        <f t="shared" si="2"/>
        <v>23</v>
      </c>
      <c r="M49" s="122">
        <f t="shared" si="3"/>
        <v>214.59</v>
      </c>
      <c r="N49" s="120" t="s">
        <v>2187</v>
      </c>
      <c r="O49" s="121"/>
      <c r="P49" s="121"/>
      <c r="Q49" s="121"/>
      <c r="R49" s="132"/>
      <c r="S49" s="124"/>
    </row>
    <row r="50" spans="1:19">
      <c r="A50" s="119" t="s">
        <v>2192</v>
      </c>
      <c r="B50" s="120" t="s">
        <v>2199</v>
      </c>
      <c r="C50" s="120" t="s">
        <v>226</v>
      </c>
      <c r="D50" s="121">
        <v>1</v>
      </c>
      <c r="E50" s="121">
        <v>1207216</v>
      </c>
      <c r="F50" s="120"/>
      <c r="G50" s="155">
        <v>9.33</v>
      </c>
      <c r="H50" s="120" t="s">
        <v>2186</v>
      </c>
      <c r="I50" s="121"/>
      <c r="J50" s="143">
        <v>46223</v>
      </c>
      <c r="K50" s="143">
        <v>46245</v>
      </c>
      <c r="L50" s="121">
        <f t="shared" si="2"/>
        <v>23</v>
      </c>
      <c r="M50" s="122">
        <f t="shared" si="3"/>
        <v>214.59</v>
      </c>
      <c r="N50" s="120" t="s">
        <v>2187</v>
      </c>
      <c r="O50" s="121"/>
      <c r="P50" s="121"/>
      <c r="Q50" s="121"/>
      <c r="R50" s="132"/>
      <c r="S50" s="124"/>
    </row>
    <row r="51" spans="1:19">
      <c r="A51" s="119" t="s">
        <v>2192</v>
      </c>
      <c r="B51" s="120" t="s">
        <v>2199</v>
      </c>
      <c r="C51" s="120" t="s">
        <v>226</v>
      </c>
      <c r="D51" s="121">
        <v>1</v>
      </c>
      <c r="E51" s="121">
        <v>1234134</v>
      </c>
      <c r="F51" s="120"/>
      <c r="G51" s="155">
        <v>18.670000000000002</v>
      </c>
      <c r="H51" s="120" t="s">
        <v>2186</v>
      </c>
      <c r="I51" s="121"/>
      <c r="J51" s="143">
        <v>46223</v>
      </c>
      <c r="K51" s="143">
        <v>46245</v>
      </c>
      <c r="L51" s="121">
        <f t="shared" si="2"/>
        <v>23</v>
      </c>
      <c r="M51" s="122">
        <f t="shared" si="3"/>
        <v>429.41</v>
      </c>
      <c r="N51" s="120" t="s">
        <v>2187</v>
      </c>
      <c r="O51" s="121"/>
      <c r="P51" s="121"/>
      <c r="Q51" s="121"/>
      <c r="R51" s="132"/>
      <c r="S51" s="124"/>
    </row>
    <row r="52" spans="1:19">
      <c r="A52" s="119" t="s">
        <v>2192</v>
      </c>
      <c r="B52" s="120" t="s">
        <v>673</v>
      </c>
      <c r="C52" s="120" t="s">
        <v>144</v>
      </c>
      <c r="D52" s="121">
        <v>1</v>
      </c>
      <c r="E52" s="121">
        <v>1200964</v>
      </c>
      <c r="F52" s="120"/>
      <c r="G52" s="155">
        <v>9.33</v>
      </c>
      <c r="H52" s="120" t="s">
        <v>2186</v>
      </c>
      <c r="I52" s="121"/>
      <c r="J52" s="143">
        <v>46223</v>
      </c>
      <c r="K52" s="143">
        <v>46245</v>
      </c>
      <c r="L52" s="121">
        <f t="shared" si="2"/>
        <v>23</v>
      </c>
      <c r="M52" s="122">
        <f t="shared" si="3"/>
        <v>214.59</v>
      </c>
      <c r="N52" s="120" t="s">
        <v>2187</v>
      </c>
      <c r="O52" s="121"/>
      <c r="P52" s="121"/>
      <c r="Q52" s="121"/>
      <c r="R52" s="132"/>
      <c r="S52" s="124"/>
    </row>
    <row r="53" spans="1:19">
      <c r="A53" s="119" t="s">
        <v>2192</v>
      </c>
      <c r="B53" s="120" t="s">
        <v>673</v>
      </c>
      <c r="C53" s="120" t="s">
        <v>144</v>
      </c>
      <c r="D53" s="121">
        <v>1</v>
      </c>
      <c r="E53" s="121">
        <v>1200961</v>
      </c>
      <c r="F53" s="120"/>
      <c r="G53" s="155">
        <v>9.33</v>
      </c>
      <c r="H53" s="120" t="s">
        <v>2186</v>
      </c>
      <c r="I53" s="121"/>
      <c r="J53" s="143">
        <v>46223</v>
      </c>
      <c r="K53" s="143">
        <v>46245</v>
      </c>
      <c r="L53" s="121">
        <f t="shared" si="2"/>
        <v>23</v>
      </c>
      <c r="M53" s="122">
        <f t="shared" si="3"/>
        <v>214.59</v>
      </c>
      <c r="N53" s="120" t="s">
        <v>2187</v>
      </c>
      <c r="O53" s="121"/>
      <c r="P53" s="121"/>
      <c r="Q53" s="121"/>
      <c r="R53" s="132"/>
      <c r="S53" s="124"/>
    </row>
    <row r="54" spans="1:19">
      <c r="A54" s="119" t="s">
        <v>2192</v>
      </c>
      <c r="B54" s="120" t="s">
        <v>673</v>
      </c>
      <c r="C54" s="120" t="s">
        <v>144</v>
      </c>
      <c r="D54" s="121">
        <v>1</v>
      </c>
      <c r="E54" s="121">
        <v>1052180</v>
      </c>
      <c r="F54" s="120"/>
      <c r="G54" s="155">
        <v>9.33</v>
      </c>
      <c r="H54" s="120" t="s">
        <v>2186</v>
      </c>
      <c r="I54" s="121"/>
      <c r="J54" s="143">
        <v>46223</v>
      </c>
      <c r="K54" s="143">
        <v>46245</v>
      </c>
      <c r="L54" s="121">
        <f t="shared" si="2"/>
        <v>23</v>
      </c>
      <c r="M54" s="122">
        <f t="shared" si="3"/>
        <v>214.59</v>
      </c>
      <c r="N54" s="120" t="s">
        <v>2187</v>
      </c>
      <c r="O54" s="121"/>
      <c r="P54" s="121"/>
      <c r="Q54" s="121"/>
      <c r="R54" s="132"/>
      <c r="S54" s="124"/>
    </row>
    <row r="55" spans="1:19">
      <c r="A55" s="119" t="s">
        <v>2192</v>
      </c>
      <c r="B55" s="120" t="s">
        <v>673</v>
      </c>
      <c r="C55" s="120" t="s">
        <v>144</v>
      </c>
      <c r="D55" s="121">
        <v>1</v>
      </c>
      <c r="E55" s="121">
        <v>1200729</v>
      </c>
      <c r="F55" s="120"/>
      <c r="G55" s="155">
        <v>9.33</v>
      </c>
      <c r="H55" s="120" t="s">
        <v>2186</v>
      </c>
      <c r="I55" s="121"/>
      <c r="J55" s="143">
        <v>46223</v>
      </c>
      <c r="K55" s="143">
        <v>46245</v>
      </c>
      <c r="L55" s="121">
        <f t="shared" si="2"/>
        <v>23</v>
      </c>
      <c r="M55" s="122">
        <f t="shared" si="3"/>
        <v>214.59</v>
      </c>
      <c r="N55" s="120" t="s">
        <v>2187</v>
      </c>
      <c r="O55" s="121"/>
      <c r="P55" s="121"/>
      <c r="Q55" s="121"/>
      <c r="R55" s="132"/>
      <c r="S55" s="124"/>
    </row>
    <row r="56" spans="1:19">
      <c r="A56" s="119" t="s">
        <v>2192</v>
      </c>
      <c r="B56" s="120" t="s">
        <v>673</v>
      </c>
      <c r="C56" s="120" t="s">
        <v>144</v>
      </c>
      <c r="D56" s="121">
        <v>1</v>
      </c>
      <c r="E56" s="121">
        <v>1200734</v>
      </c>
      <c r="F56" s="120"/>
      <c r="G56" s="155">
        <v>9.33</v>
      </c>
      <c r="H56" s="120" t="s">
        <v>2186</v>
      </c>
      <c r="I56" s="121"/>
      <c r="J56" s="143">
        <v>46223</v>
      </c>
      <c r="K56" s="143">
        <v>46245</v>
      </c>
      <c r="L56" s="121">
        <f t="shared" si="2"/>
        <v>23</v>
      </c>
      <c r="M56" s="122">
        <f t="shared" si="3"/>
        <v>214.59</v>
      </c>
      <c r="N56" s="120" t="s">
        <v>2187</v>
      </c>
      <c r="O56" s="121"/>
      <c r="P56" s="121"/>
      <c r="Q56" s="121"/>
      <c r="R56" s="132"/>
      <c r="S56" s="124"/>
    </row>
    <row r="57" spans="1:19">
      <c r="A57" s="119" t="s">
        <v>2192</v>
      </c>
      <c r="B57" s="120" t="s">
        <v>673</v>
      </c>
      <c r="C57" s="120" t="s">
        <v>144</v>
      </c>
      <c r="D57" s="121">
        <v>1</v>
      </c>
      <c r="E57" s="121">
        <v>1099976</v>
      </c>
      <c r="F57" s="120"/>
      <c r="G57" s="155">
        <v>9.33</v>
      </c>
      <c r="H57" s="120" t="s">
        <v>2186</v>
      </c>
      <c r="I57" s="121"/>
      <c r="J57" s="143">
        <v>46223</v>
      </c>
      <c r="K57" s="143">
        <v>46245</v>
      </c>
      <c r="L57" s="121">
        <f t="shared" si="2"/>
        <v>23</v>
      </c>
      <c r="M57" s="122">
        <f t="shared" si="3"/>
        <v>214.59</v>
      </c>
      <c r="N57" s="120" t="s">
        <v>2187</v>
      </c>
      <c r="O57" s="121"/>
      <c r="P57" s="121"/>
      <c r="Q57" s="121"/>
      <c r="R57" s="132"/>
      <c r="S57" s="124"/>
    </row>
    <row r="58" spans="1:19">
      <c r="A58" s="119" t="s">
        <v>2192</v>
      </c>
      <c r="B58" s="120" t="s">
        <v>673</v>
      </c>
      <c r="C58" s="120" t="s">
        <v>144</v>
      </c>
      <c r="D58" s="121">
        <v>1</v>
      </c>
      <c r="E58" s="121">
        <v>1128726</v>
      </c>
      <c r="F58" s="120"/>
      <c r="G58" s="155">
        <v>9.33</v>
      </c>
      <c r="H58" s="120" t="s">
        <v>2186</v>
      </c>
      <c r="I58" s="121"/>
      <c r="J58" s="143">
        <v>46223</v>
      </c>
      <c r="K58" s="143">
        <v>46245</v>
      </c>
      <c r="L58" s="121">
        <f t="shared" si="2"/>
        <v>23</v>
      </c>
      <c r="M58" s="122">
        <f t="shared" si="3"/>
        <v>214.59</v>
      </c>
      <c r="N58" s="120" t="s">
        <v>2187</v>
      </c>
      <c r="O58" s="121"/>
      <c r="P58" s="121"/>
      <c r="Q58" s="121"/>
      <c r="R58" s="132"/>
      <c r="S58" s="124"/>
    </row>
    <row r="59" spans="1:19">
      <c r="A59" s="119" t="s">
        <v>2192</v>
      </c>
      <c r="B59" s="120" t="s">
        <v>673</v>
      </c>
      <c r="C59" s="120" t="s">
        <v>144</v>
      </c>
      <c r="D59" s="121">
        <v>1</v>
      </c>
      <c r="E59" s="121">
        <v>1128738</v>
      </c>
      <c r="F59" s="120"/>
      <c r="G59" s="155">
        <v>9.33</v>
      </c>
      <c r="H59" s="120" t="s">
        <v>2186</v>
      </c>
      <c r="I59" s="121"/>
      <c r="J59" s="143">
        <v>46223</v>
      </c>
      <c r="K59" s="143">
        <v>46245</v>
      </c>
      <c r="L59" s="121">
        <f t="shared" si="2"/>
        <v>23</v>
      </c>
      <c r="M59" s="122">
        <f t="shared" si="3"/>
        <v>214.59</v>
      </c>
      <c r="N59" s="120" t="s">
        <v>2187</v>
      </c>
      <c r="O59" s="121"/>
      <c r="P59" s="121"/>
      <c r="Q59" s="121"/>
      <c r="R59" s="132"/>
      <c r="S59" s="124"/>
    </row>
    <row r="60" spans="1:19">
      <c r="A60" s="119" t="s">
        <v>2192</v>
      </c>
      <c r="B60" s="120" t="s">
        <v>673</v>
      </c>
      <c r="C60" s="120" t="s">
        <v>144</v>
      </c>
      <c r="D60" s="121">
        <v>1</v>
      </c>
      <c r="E60" s="121">
        <v>1220664</v>
      </c>
      <c r="F60" s="120"/>
      <c r="G60" s="155">
        <v>9.33</v>
      </c>
      <c r="H60" s="120" t="s">
        <v>2186</v>
      </c>
      <c r="I60" s="121"/>
      <c r="J60" s="143">
        <v>46223</v>
      </c>
      <c r="K60" s="143">
        <v>46245</v>
      </c>
      <c r="L60" s="121">
        <f t="shared" si="2"/>
        <v>23</v>
      </c>
      <c r="M60" s="122">
        <f t="shared" si="3"/>
        <v>214.59</v>
      </c>
      <c r="N60" s="120" t="s">
        <v>2187</v>
      </c>
      <c r="O60" s="121"/>
      <c r="P60" s="121"/>
      <c r="Q60" s="121"/>
      <c r="R60" s="132"/>
      <c r="S60" s="124"/>
    </row>
    <row r="61" spans="1:19">
      <c r="A61" s="119" t="s">
        <v>2192</v>
      </c>
      <c r="B61" s="120" t="s">
        <v>673</v>
      </c>
      <c r="C61" s="120" t="s">
        <v>144</v>
      </c>
      <c r="D61" s="121">
        <v>1</v>
      </c>
      <c r="E61" s="121">
        <v>1167307</v>
      </c>
      <c r="F61" s="120"/>
      <c r="G61" s="155">
        <v>9.33</v>
      </c>
      <c r="H61" s="120" t="s">
        <v>2186</v>
      </c>
      <c r="I61" s="121"/>
      <c r="J61" s="143">
        <v>46223</v>
      </c>
      <c r="K61" s="143">
        <v>46245</v>
      </c>
      <c r="L61" s="121">
        <f t="shared" si="2"/>
        <v>23</v>
      </c>
      <c r="M61" s="122">
        <f t="shared" si="3"/>
        <v>214.59</v>
      </c>
      <c r="N61" s="120" t="s">
        <v>2187</v>
      </c>
      <c r="O61" s="121"/>
      <c r="P61" s="121"/>
      <c r="Q61" s="121"/>
      <c r="R61" s="132"/>
      <c r="S61" s="124"/>
    </row>
    <row r="62" spans="1:19">
      <c r="A62" s="119" t="s">
        <v>2192</v>
      </c>
      <c r="B62" s="120" t="s">
        <v>673</v>
      </c>
      <c r="C62" s="120" t="s">
        <v>144</v>
      </c>
      <c r="D62" s="121">
        <v>1</v>
      </c>
      <c r="E62" s="121">
        <v>1284817</v>
      </c>
      <c r="F62" s="120"/>
      <c r="G62" s="155">
        <v>9.33</v>
      </c>
      <c r="H62" s="120" t="s">
        <v>2186</v>
      </c>
      <c r="I62" s="121"/>
      <c r="J62" s="143">
        <v>46223</v>
      </c>
      <c r="K62" s="143">
        <v>46245</v>
      </c>
      <c r="L62" s="121">
        <f t="shared" si="2"/>
        <v>23</v>
      </c>
      <c r="M62" s="122">
        <f t="shared" si="3"/>
        <v>214.59</v>
      </c>
      <c r="N62" s="120" t="s">
        <v>2187</v>
      </c>
      <c r="O62" s="121"/>
      <c r="P62" s="121"/>
      <c r="Q62" s="121"/>
      <c r="R62" s="132"/>
      <c r="S62" s="124"/>
    </row>
    <row r="63" spans="1:19">
      <c r="A63" s="119" t="s">
        <v>2192</v>
      </c>
      <c r="B63" s="120" t="s">
        <v>673</v>
      </c>
      <c r="C63" s="120" t="s">
        <v>144</v>
      </c>
      <c r="D63" s="121">
        <v>1</v>
      </c>
      <c r="E63" s="121">
        <v>1291615</v>
      </c>
      <c r="F63" s="120"/>
      <c r="G63" s="155">
        <v>9.33</v>
      </c>
      <c r="H63" s="120" t="s">
        <v>2186</v>
      </c>
      <c r="I63" s="121"/>
      <c r="J63" s="143">
        <v>46223</v>
      </c>
      <c r="K63" s="143">
        <v>46245</v>
      </c>
      <c r="L63" s="121">
        <f t="shared" si="2"/>
        <v>23</v>
      </c>
      <c r="M63" s="122">
        <f t="shared" si="3"/>
        <v>214.59</v>
      </c>
      <c r="N63" s="120" t="s">
        <v>2187</v>
      </c>
      <c r="O63" s="121"/>
      <c r="P63" s="121"/>
      <c r="Q63" s="121"/>
      <c r="R63" s="132"/>
      <c r="S63" s="124"/>
    </row>
    <row r="64" spans="1:19">
      <c r="A64" s="119" t="s">
        <v>2192</v>
      </c>
      <c r="B64" s="120" t="s">
        <v>673</v>
      </c>
      <c r="C64" s="120" t="s">
        <v>144</v>
      </c>
      <c r="D64" s="121">
        <v>1</v>
      </c>
      <c r="E64" s="121">
        <v>1291613</v>
      </c>
      <c r="F64" s="120"/>
      <c r="G64" s="155">
        <v>9.33</v>
      </c>
      <c r="H64" s="120" t="s">
        <v>2186</v>
      </c>
      <c r="I64" s="121"/>
      <c r="J64" s="143">
        <v>46223</v>
      </c>
      <c r="K64" s="143">
        <v>46245</v>
      </c>
      <c r="L64" s="121">
        <f t="shared" si="2"/>
        <v>23</v>
      </c>
      <c r="M64" s="122">
        <f t="shared" si="3"/>
        <v>214.59</v>
      </c>
      <c r="N64" s="120" t="s">
        <v>2187</v>
      </c>
      <c r="O64" s="121"/>
      <c r="P64" s="121"/>
      <c r="Q64" s="121"/>
      <c r="R64" s="132"/>
      <c r="S64" s="124"/>
    </row>
    <row r="65" spans="1:19">
      <c r="A65" s="119" t="s">
        <v>2192</v>
      </c>
      <c r="B65" s="120" t="s">
        <v>673</v>
      </c>
      <c r="C65" s="120" t="s">
        <v>144</v>
      </c>
      <c r="D65" s="121">
        <v>1</v>
      </c>
      <c r="E65" s="121">
        <v>1291607</v>
      </c>
      <c r="F65" s="120"/>
      <c r="G65" s="155">
        <v>9.33</v>
      </c>
      <c r="H65" s="120" t="s">
        <v>2186</v>
      </c>
      <c r="I65" s="121"/>
      <c r="J65" s="143">
        <v>46223</v>
      </c>
      <c r="K65" s="143">
        <v>46245</v>
      </c>
      <c r="L65" s="121">
        <f t="shared" ref="L65:L95" si="4">K65-J65+1</f>
        <v>23</v>
      </c>
      <c r="M65" s="122">
        <f t="shared" ref="M65:M95" si="5">D65*G65*L65</f>
        <v>214.59</v>
      </c>
      <c r="N65" s="120" t="s">
        <v>2187</v>
      </c>
      <c r="O65" s="121"/>
      <c r="P65" s="121"/>
      <c r="Q65" s="121"/>
      <c r="R65" s="132"/>
      <c r="S65" s="124"/>
    </row>
    <row r="66" spans="1:19">
      <c r="A66" s="119" t="s">
        <v>2192</v>
      </c>
      <c r="B66" s="120" t="s">
        <v>673</v>
      </c>
      <c r="C66" s="120" t="s">
        <v>144</v>
      </c>
      <c r="D66" s="121">
        <v>1</v>
      </c>
      <c r="E66" s="121">
        <v>1291630</v>
      </c>
      <c r="F66" s="120"/>
      <c r="G66" s="155">
        <v>9.33</v>
      </c>
      <c r="H66" s="120" t="s">
        <v>2186</v>
      </c>
      <c r="I66" s="121"/>
      <c r="J66" s="143">
        <v>46223</v>
      </c>
      <c r="K66" s="143">
        <v>46245</v>
      </c>
      <c r="L66" s="121">
        <f t="shared" si="4"/>
        <v>23</v>
      </c>
      <c r="M66" s="122">
        <f t="shared" si="5"/>
        <v>214.59</v>
      </c>
      <c r="N66" s="120" t="s">
        <v>2187</v>
      </c>
      <c r="O66" s="121"/>
      <c r="P66" s="121"/>
      <c r="Q66" s="121"/>
      <c r="R66" s="132"/>
      <c r="S66" s="124"/>
    </row>
    <row r="67" spans="1:19">
      <c r="A67" s="119" t="s">
        <v>2192</v>
      </c>
      <c r="B67" s="120" t="s">
        <v>2200</v>
      </c>
      <c r="C67" s="120" t="s">
        <v>1945</v>
      </c>
      <c r="D67" s="121">
        <v>1</v>
      </c>
      <c r="E67" s="121">
        <v>10307</v>
      </c>
      <c r="F67" s="120"/>
      <c r="G67" s="155">
        <v>9.33</v>
      </c>
      <c r="H67" s="120" t="s">
        <v>2186</v>
      </c>
      <c r="I67" s="121"/>
      <c r="J67" s="143">
        <v>46223</v>
      </c>
      <c r="K67" s="143">
        <v>46245</v>
      </c>
      <c r="L67" s="121">
        <f t="shared" si="4"/>
        <v>23</v>
      </c>
      <c r="M67" s="122">
        <f t="shared" si="5"/>
        <v>214.59</v>
      </c>
      <c r="N67" s="120" t="s">
        <v>2187</v>
      </c>
      <c r="O67" s="121"/>
      <c r="P67" s="121"/>
      <c r="Q67" s="121"/>
      <c r="R67" s="132"/>
      <c r="S67" s="124"/>
    </row>
    <row r="68" spans="1:19">
      <c r="A68" s="119" t="s">
        <v>2192</v>
      </c>
      <c r="B68" s="120" t="s">
        <v>674</v>
      </c>
      <c r="C68" s="120" t="s">
        <v>149</v>
      </c>
      <c r="D68" s="121">
        <v>1</v>
      </c>
      <c r="E68" s="121">
        <v>1166232</v>
      </c>
      <c r="F68" s="120"/>
      <c r="G68" s="155">
        <v>18.670000000000002</v>
      </c>
      <c r="H68" s="120" t="s">
        <v>2186</v>
      </c>
      <c r="I68" s="121"/>
      <c r="J68" s="143">
        <v>46223</v>
      </c>
      <c r="K68" s="143">
        <v>46245</v>
      </c>
      <c r="L68" s="121">
        <f t="shared" si="4"/>
        <v>23</v>
      </c>
      <c r="M68" s="122">
        <f t="shared" si="5"/>
        <v>429.41</v>
      </c>
      <c r="N68" s="120" t="s">
        <v>2187</v>
      </c>
      <c r="O68" s="121"/>
      <c r="P68" s="121"/>
      <c r="Q68" s="121"/>
      <c r="R68" s="132"/>
      <c r="S68" s="124"/>
    </row>
    <row r="69" spans="1:19">
      <c r="A69" s="119" t="s">
        <v>2192</v>
      </c>
      <c r="B69" s="120" t="s">
        <v>674</v>
      </c>
      <c r="C69" s="120" t="s">
        <v>149</v>
      </c>
      <c r="D69" s="121">
        <v>1</v>
      </c>
      <c r="E69" s="121">
        <v>1234140</v>
      </c>
      <c r="F69" s="120"/>
      <c r="G69" s="155">
        <v>18.670000000000002</v>
      </c>
      <c r="H69" s="120" t="s">
        <v>2186</v>
      </c>
      <c r="I69" s="121"/>
      <c r="J69" s="143">
        <v>46223</v>
      </c>
      <c r="K69" s="143">
        <v>46245</v>
      </c>
      <c r="L69" s="121">
        <f t="shared" si="4"/>
        <v>23</v>
      </c>
      <c r="M69" s="122">
        <f t="shared" si="5"/>
        <v>429.41</v>
      </c>
      <c r="N69" s="120" t="s">
        <v>2187</v>
      </c>
      <c r="O69" s="121"/>
      <c r="P69" s="121"/>
      <c r="Q69" s="121"/>
      <c r="R69" s="132"/>
      <c r="S69" s="124"/>
    </row>
    <row r="70" spans="1:19">
      <c r="A70" s="119" t="s">
        <v>2192</v>
      </c>
      <c r="B70" s="120" t="s">
        <v>674</v>
      </c>
      <c r="C70" s="120" t="s">
        <v>149</v>
      </c>
      <c r="D70" s="121">
        <v>1</v>
      </c>
      <c r="E70" s="121">
        <v>1234141</v>
      </c>
      <c r="F70" s="120"/>
      <c r="G70" s="155">
        <v>18.670000000000002</v>
      </c>
      <c r="H70" s="120" t="s">
        <v>2186</v>
      </c>
      <c r="I70" s="121"/>
      <c r="J70" s="143">
        <v>46223</v>
      </c>
      <c r="K70" s="143">
        <v>46245</v>
      </c>
      <c r="L70" s="121">
        <f t="shared" si="4"/>
        <v>23</v>
      </c>
      <c r="M70" s="122">
        <f t="shared" si="5"/>
        <v>429.41</v>
      </c>
      <c r="N70" s="120" t="s">
        <v>2187</v>
      </c>
      <c r="O70" s="121"/>
      <c r="P70" s="121"/>
      <c r="Q70" s="121"/>
      <c r="R70" s="132"/>
      <c r="S70" s="124"/>
    </row>
    <row r="71" spans="1:19">
      <c r="A71" s="119" t="s">
        <v>2192</v>
      </c>
      <c r="B71" s="120" t="s">
        <v>2201</v>
      </c>
      <c r="C71" s="120" t="s">
        <v>149</v>
      </c>
      <c r="D71" s="121">
        <v>1</v>
      </c>
      <c r="E71" s="121">
        <v>1234146</v>
      </c>
      <c r="F71" s="121">
        <v>1234146</v>
      </c>
      <c r="G71" s="155">
        <v>9.33</v>
      </c>
      <c r="H71" s="120" t="s">
        <v>2186</v>
      </c>
      <c r="I71" s="121"/>
      <c r="J71" s="143">
        <v>46223</v>
      </c>
      <c r="K71" s="143">
        <v>46245</v>
      </c>
      <c r="L71" s="121">
        <f t="shared" si="4"/>
        <v>23</v>
      </c>
      <c r="M71" s="122">
        <f t="shared" si="5"/>
        <v>214.59</v>
      </c>
      <c r="N71" s="120" t="s">
        <v>2187</v>
      </c>
      <c r="O71" s="121"/>
      <c r="P71" s="121"/>
      <c r="Q71" s="121"/>
      <c r="R71" s="132"/>
      <c r="S71" s="124"/>
    </row>
    <row r="72" spans="1:19">
      <c r="A72" s="119" t="s">
        <v>2192</v>
      </c>
      <c r="B72" s="120" t="s">
        <v>674</v>
      </c>
      <c r="C72" s="120" t="s">
        <v>149</v>
      </c>
      <c r="D72" s="121">
        <v>1</v>
      </c>
      <c r="E72" s="121">
        <v>1207259</v>
      </c>
      <c r="F72" s="120"/>
      <c r="G72" s="155">
        <v>18.670000000000002</v>
      </c>
      <c r="H72" s="120" t="s">
        <v>2186</v>
      </c>
      <c r="I72" s="121"/>
      <c r="J72" s="143">
        <v>46223</v>
      </c>
      <c r="K72" s="143">
        <v>46245</v>
      </c>
      <c r="L72" s="121">
        <f t="shared" si="4"/>
        <v>23</v>
      </c>
      <c r="M72" s="122">
        <f t="shared" si="5"/>
        <v>429.41</v>
      </c>
      <c r="N72" s="120" t="s">
        <v>2187</v>
      </c>
      <c r="O72" s="121"/>
      <c r="P72" s="121"/>
      <c r="Q72" s="121"/>
      <c r="R72" s="132"/>
      <c r="S72" s="124"/>
    </row>
    <row r="73" spans="1:19">
      <c r="A73" s="119" t="s">
        <v>2192</v>
      </c>
      <c r="B73" s="120" t="s">
        <v>674</v>
      </c>
      <c r="C73" s="120" t="s">
        <v>149</v>
      </c>
      <c r="D73" s="121">
        <v>1</v>
      </c>
      <c r="E73" s="121">
        <v>1207262</v>
      </c>
      <c r="F73" s="120"/>
      <c r="G73" s="155">
        <v>18.670000000000002</v>
      </c>
      <c r="H73" s="120" t="s">
        <v>2186</v>
      </c>
      <c r="I73" s="121"/>
      <c r="J73" s="143">
        <v>46223</v>
      </c>
      <c r="K73" s="143">
        <v>46245</v>
      </c>
      <c r="L73" s="121">
        <f t="shared" si="4"/>
        <v>23</v>
      </c>
      <c r="M73" s="122">
        <f t="shared" si="5"/>
        <v>429.41</v>
      </c>
      <c r="N73" s="120" t="s">
        <v>2187</v>
      </c>
      <c r="O73" s="121"/>
      <c r="P73" s="121"/>
      <c r="Q73" s="121"/>
      <c r="R73" s="132"/>
      <c r="S73" s="124"/>
    </row>
    <row r="74" spans="1:19">
      <c r="A74" s="119" t="s">
        <v>2192</v>
      </c>
      <c r="B74" s="120" t="s">
        <v>674</v>
      </c>
      <c r="C74" s="120" t="s">
        <v>149</v>
      </c>
      <c r="D74" s="121">
        <v>1</v>
      </c>
      <c r="E74" s="121">
        <v>1232776</v>
      </c>
      <c r="F74" s="120"/>
      <c r="G74" s="155">
        <v>9.33</v>
      </c>
      <c r="H74" s="120" t="s">
        <v>2186</v>
      </c>
      <c r="I74" s="121"/>
      <c r="J74" s="143">
        <v>46223</v>
      </c>
      <c r="K74" s="143">
        <v>46245</v>
      </c>
      <c r="L74" s="121">
        <f t="shared" si="4"/>
        <v>23</v>
      </c>
      <c r="M74" s="122">
        <f t="shared" si="5"/>
        <v>214.59</v>
      </c>
      <c r="N74" s="120" t="s">
        <v>2187</v>
      </c>
      <c r="O74" s="121"/>
      <c r="P74" s="121"/>
      <c r="Q74" s="121"/>
      <c r="R74" s="132"/>
      <c r="S74" s="124"/>
    </row>
    <row r="75" spans="1:19">
      <c r="A75" s="119" t="s">
        <v>2192</v>
      </c>
      <c r="B75" s="120" t="s">
        <v>674</v>
      </c>
      <c r="C75" s="120" t="s">
        <v>149</v>
      </c>
      <c r="D75" s="121">
        <v>1</v>
      </c>
      <c r="E75" s="121">
        <v>1148350</v>
      </c>
      <c r="F75" s="120"/>
      <c r="G75" s="155">
        <v>18.670000000000002</v>
      </c>
      <c r="H75" s="120" t="s">
        <v>2186</v>
      </c>
      <c r="I75" s="121"/>
      <c r="J75" s="143">
        <v>46223</v>
      </c>
      <c r="K75" s="143">
        <v>46245</v>
      </c>
      <c r="L75" s="121">
        <f t="shared" si="4"/>
        <v>23</v>
      </c>
      <c r="M75" s="122">
        <f t="shared" si="5"/>
        <v>429.41</v>
      </c>
      <c r="N75" s="120" t="s">
        <v>2187</v>
      </c>
      <c r="O75" s="121"/>
      <c r="P75" s="121"/>
      <c r="Q75" s="121"/>
      <c r="R75" s="132"/>
      <c r="S75" s="124"/>
    </row>
    <row r="76" spans="1:19">
      <c r="A76" s="119" t="s">
        <v>2192</v>
      </c>
      <c r="B76" s="120" t="s">
        <v>674</v>
      </c>
      <c r="C76" s="120" t="s">
        <v>149</v>
      </c>
      <c r="D76" s="121">
        <v>1</v>
      </c>
      <c r="E76" s="121">
        <v>1283968</v>
      </c>
      <c r="F76" s="120"/>
      <c r="G76" s="155">
        <v>18.670000000000002</v>
      </c>
      <c r="H76" s="120" t="s">
        <v>2186</v>
      </c>
      <c r="I76" s="121"/>
      <c r="J76" s="143">
        <v>46223</v>
      </c>
      <c r="K76" s="143">
        <v>46245</v>
      </c>
      <c r="L76" s="121">
        <f t="shared" si="4"/>
        <v>23</v>
      </c>
      <c r="M76" s="122">
        <f t="shared" si="5"/>
        <v>429.41</v>
      </c>
      <c r="N76" s="120" t="s">
        <v>2187</v>
      </c>
      <c r="O76" s="121"/>
      <c r="P76" s="121"/>
      <c r="Q76" s="121"/>
      <c r="R76" s="132"/>
      <c r="S76" s="124"/>
    </row>
    <row r="77" spans="1:19">
      <c r="A77" s="119" t="s">
        <v>2192</v>
      </c>
      <c r="B77" s="120" t="s">
        <v>674</v>
      </c>
      <c r="C77" s="120" t="s">
        <v>149</v>
      </c>
      <c r="D77" s="121">
        <v>1</v>
      </c>
      <c r="E77" s="121">
        <v>1311559</v>
      </c>
      <c r="F77" s="120"/>
      <c r="G77" s="155">
        <v>18.670000000000002</v>
      </c>
      <c r="H77" s="120" t="s">
        <v>2186</v>
      </c>
      <c r="I77" s="121"/>
      <c r="J77" s="143">
        <v>46223</v>
      </c>
      <c r="K77" s="143">
        <v>46245</v>
      </c>
      <c r="L77" s="121">
        <f t="shared" si="4"/>
        <v>23</v>
      </c>
      <c r="M77" s="122">
        <f t="shared" si="5"/>
        <v>429.41</v>
      </c>
      <c r="N77" s="120" t="s">
        <v>2187</v>
      </c>
      <c r="O77" s="121"/>
      <c r="P77" s="121"/>
      <c r="Q77" s="121"/>
      <c r="R77" s="132"/>
      <c r="S77" s="124"/>
    </row>
    <row r="78" spans="1:19">
      <c r="A78" s="119" t="s">
        <v>2192</v>
      </c>
      <c r="B78" s="120" t="s">
        <v>699</v>
      </c>
      <c r="C78" s="120" t="s">
        <v>700</v>
      </c>
      <c r="D78" s="121">
        <v>1</v>
      </c>
      <c r="E78" s="121">
        <v>1301457</v>
      </c>
      <c r="F78" s="120"/>
      <c r="G78" s="155">
        <v>18.670000000000002</v>
      </c>
      <c r="H78" s="120" t="s">
        <v>2186</v>
      </c>
      <c r="I78" s="121"/>
      <c r="J78" s="143">
        <v>46223</v>
      </c>
      <c r="K78" s="143">
        <v>46245</v>
      </c>
      <c r="L78" s="121">
        <f t="shared" si="4"/>
        <v>23</v>
      </c>
      <c r="M78" s="122">
        <f t="shared" si="5"/>
        <v>429.41</v>
      </c>
      <c r="N78" s="120" t="s">
        <v>2187</v>
      </c>
      <c r="O78" s="121"/>
      <c r="P78" s="121"/>
      <c r="Q78" s="121"/>
      <c r="R78" s="132"/>
      <c r="S78" s="124"/>
    </row>
    <row r="79" spans="1:19">
      <c r="A79" s="119" t="s">
        <v>2192</v>
      </c>
      <c r="B79" s="120" t="s">
        <v>699</v>
      </c>
      <c r="C79" s="120" t="s">
        <v>700</v>
      </c>
      <c r="D79" s="121">
        <v>1</v>
      </c>
      <c r="E79" s="121">
        <v>1301456</v>
      </c>
      <c r="F79" s="120"/>
      <c r="G79" s="155">
        <v>18.670000000000002</v>
      </c>
      <c r="H79" s="120" t="s">
        <v>2186</v>
      </c>
      <c r="I79" s="121"/>
      <c r="J79" s="143">
        <v>46223</v>
      </c>
      <c r="K79" s="143">
        <v>46245</v>
      </c>
      <c r="L79" s="121">
        <f t="shared" si="4"/>
        <v>23</v>
      </c>
      <c r="M79" s="122">
        <f t="shared" si="5"/>
        <v>429.41</v>
      </c>
      <c r="N79" s="120" t="s">
        <v>2187</v>
      </c>
      <c r="O79" s="121"/>
      <c r="P79" s="121"/>
      <c r="Q79" s="121"/>
      <c r="R79" s="132"/>
      <c r="S79" s="124"/>
    </row>
    <row r="80" spans="1:19">
      <c r="A80" s="119" t="s">
        <v>2202</v>
      </c>
      <c r="B80" s="120" t="s">
        <v>678</v>
      </c>
      <c r="C80" s="120" t="s">
        <v>2203</v>
      </c>
      <c r="D80" s="121">
        <v>1</v>
      </c>
      <c r="E80" s="121">
        <v>1297533</v>
      </c>
      <c r="F80" s="120"/>
      <c r="G80" s="155">
        <v>46.66</v>
      </c>
      <c r="H80" s="120" t="s">
        <v>2186</v>
      </c>
      <c r="I80" s="121"/>
      <c r="J80" s="143">
        <v>46223</v>
      </c>
      <c r="K80" s="143">
        <v>46245</v>
      </c>
      <c r="L80" s="121">
        <f t="shared" si="4"/>
        <v>23</v>
      </c>
      <c r="M80" s="122">
        <f t="shared" si="5"/>
        <v>1073.1799999999998</v>
      </c>
      <c r="N80" s="120" t="s">
        <v>2187</v>
      </c>
      <c r="O80" s="121"/>
      <c r="P80" s="121"/>
      <c r="Q80" s="121"/>
      <c r="R80" s="132"/>
      <c r="S80" s="124"/>
    </row>
    <row r="81" spans="1:19">
      <c r="A81" s="119" t="s">
        <v>2202</v>
      </c>
      <c r="B81" s="120" t="s">
        <v>678</v>
      </c>
      <c r="C81" s="120" t="s">
        <v>2203</v>
      </c>
      <c r="D81" s="121">
        <v>1</v>
      </c>
      <c r="E81" s="121">
        <v>1297534</v>
      </c>
      <c r="F81" s="120"/>
      <c r="G81" s="155">
        <v>46.66</v>
      </c>
      <c r="H81" s="120" t="s">
        <v>2186</v>
      </c>
      <c r="I81" s="121"/>
      <c r="J81" s="143">
        <v>46223</v>
      </c>
      <c r="K81" s="143">
        <v>46245</v>
      </c>
      <c r="L81" s="121">
        <f t="shared" si="4"/>
        <v>23</v>
      </c>
      <c r="M81" s="122">
        <f t="shared" si="5"/>
        <v>1073.1799999999998</v>
      </c>
      <c r="N81" s="120" t="s">
        <v>2187</v>
      </c>
      <c r="O81" s="121"/>
      <c r="P81" s="121"/>
      <c r="Q81" s="121"/>
      <c r="R81" s="132"/>
      <c r="S81" s="124"/>
    </row>
    <row r="82" spans="1:19">
      <c r="A82" s="119" t="s">
        <v>2202</v>
      </c>
      <c r="B82" s="120" t="s">
        <v>701</v>
      </c>
      <c r="C82" s="120" t="s">
        <v>702</v>
      </c>
      <c r="D82" s="121">
        <v>1</v>
      </c>
      <c r="E82" s="121">
        <v>1312610</v>
      </c>
      <c r="F82" s="120"/>
      <c r="G82" s="155">
        <v>139</v>
      </c>
      <c r="H82" s="120" t="s">
        <v>2186</v>
      </c>
      <c r="I82" s="121"/>
      <c r="J82" s="143">
        <v>46223</v>
      </c>
      <c r="K82" s="143">
        <v>46245</v>
      </c>
      <c r="L82" s="121">
        <f t="shared" si="4"/>
        <v>23</v>
      </c>
      <c r="M82" s="122">
        <f t="shared" si="5"/>
        <v>3197</v>
      </c>
      <c r="N82" s="120" t="s">
        <v>2187</v>
      </c>
      <c r="O82" s="121"/>
      <c r="P82" s="121"/>
      <c r="Q82" s="121"/>
      <c r="R82" s="132"/>
      <c r="S82" s="124"/>
    </row>
    <row r="83" spans="1:19">
      <c r="A83" s="119" t="s">
        <v>2202</v>
      </c>
      <c r="B83" s="120" t="s">
        <v>2204</v>
      </c>
      <c r="C83" s="120" t="s">
        <v>2205</v>
      </c>
      <c r="D83" s="121">
        <v>1</v>
      </c>
      <c r="E83" s="121">
        <v>1235477</v>
      </c>
      <c r="F83" s="120"/>
      <c r="G83" s="155">
        <v>53.92</v>
      </c>
      <c r="H83" s="120" t="s">
        <v>2186</v>
      </c>
      <c r="I83" s="216"/>
      <c r="J83" s="143">
        <v>46223</v>
      </c>
      <c r="K83" s="143">
        <v>46245</v>
      </c>
      <c r="L83" s="121">
        <f t="shared" si="4"/>
        <v>23</v>
      </c>
      <c r="M83" s="122">
        <f t="shared" si="5"/>
        <v>1240.1600000000001</v>
      </c>
      <c r="N83" s="120" t="s">
        <v>2187</v>
      </c>
      <c r="O83" s="121"/>
      <c r="P83" s="121"/>
      <c r="Q83" s="121"/>
      <c r="R83" s="132"/>
      <c r="S83" s="124"/>
    </row>
    <row r="84" spans="1:19">
      <c r="A84" s="119" t="s">
        <v>2202</v>
      </c>
      <c r="B84" s="120" t="s">
        <v>2204</v>
      </c>
      <c r="C84" s="120" t="s">
        <v>2205</v>
      </c>
      <c r="D84" s="121">
        <v>1</v>
      </c>
      <c r="E84" s="121">
        <v>1312691</v>
      </c>
      <c r="F84" s="120"/>
      <c r="G84" s="155">
        <v>53.92</v>
      </c>
      <c r="H84" s="120" t="s">
        <v>2186</v>
      </c>
      <c r="I84" s="121"/>
      <c r="J84" s="143">
        <v>46223</v>
      </c>
      <c r="K84" s="143">
        <v>46245</v>
      </c>
      <c r="L84" s="121">
        <f t="shared" si="4"/>
        <v>23</v>
      </c>
      <c r="M84" s="122">
        <f t="shared" si="5"/>
        <v>1240.1600000000001</v>
      </c>
      <c r="N84" s="120" t="s">
        <v>2187</v>
      </c>
      <c r="O84" s="121"/>
      <c r="P84" s="121"/>
      <c r="Q84" s="121"/>
      <c r="R84" s="132"/>
      <c r="S84" s="124"/>
    </row>
    <row r="85" spans="1:19">
      <c r="A85" s="119" t="s">
        <v>2202</v>
      </c>
      <c r="B85" s="120" t="s">
        <v>2204</v>
      </c>
      <c r="C85" s="120" t="s">
        <v>2205</v>
      </c>
      <c r="D85" s="121">
        <v>1</v>
      </c>
      <c r="E85" s="121">
        <v>1312690</v>
      </c>
      <c r="F85" s="120"/>
      <c r="G85" s="155">
        <v>53.92</v>
      </c>
      <c r="H85" s="120" t="s">
        <v>2186</v>
      </c>
      <c r="I85" s="121"/>
      <c r="J85" s="143">
        <v>46223</v>
      </c>
      <c r="K85" s="143">
        <v>46245</v>
      </c>
      <c r="L85" s="121">
        <f t="shared" si="4"/>
        <v>23</v>
      </c>
      <c r="M85" s="122">
        <f t="shared" si="5"/>
        <v>1240.1600000000001</v>
      </c>
      <c r="N85" s="120" t="s">
        <v>2187</v>
      </c>
      <c r="O85" s="121"/>
      <c r="P85" s="121"/>
      <c r="Q85" s="121"/>
      <c r="R85" s="132"/>
      <c r="S85" s="124"/>
    </row>
    <row r="86" spans="1:19">
      <c r="A86" s="119" t="s">
        <v>2202</v>
      </c>
      <c r="B86" s="120" t="s">
        <v>2204</v>
      </c>
      <c r="C86" s="120" t="s">
        <v>2205</v>
      </c>
      <c r="D86" s="121">
        <v>1</v>
      </c>
      <c r="E86" s="121">
        <v>1272150</v>
      </c>
      <c r="F86" s="120"/>
      <c r="G86" s="155">
        <v>53.92</v>
      </c>
      <c r="H86" s="120" t="s">
        <v>2196</v>
      </c>
      <c r="I86" s="121"/>
      <c r="J86" s="143">
        <v>46223</v>
      </c>
      <c r="K86" s="143">
        <v>46245</v>
      </c>
      <c r="L86" s="121">
        <f t="shared" si="4"/>
        <v>23</v>
      </c>
      <c r="M86" s="122">
        <f t="shared" si="5"/>
        <v>1240.1600000000001</v>
      </c>
      <c r="N86" s="120" t="s">
        <v>2206</v>
      </c>
      <c r="O86" s="121"/>
      <c r="P86" s="121"/>
      <c r="Q86" s="121"/>
      <c r="R86" s="132"/>
      <c r="S86" s="124"/>
    </row>
    <row r="87" spans="1:19">
      <c r="A87" s="119" t="s">
        <v>2202</v>
      </c>
      <c r="B87" s="120" t="s">
        <v>666</v>
      </c>
      <c r="C87" s="120" t="s">
        <v>622</v>
      </c>
      <c r="D87" s="121">
        <v>1</v>
      </c>
      <c r="E87" s="121">
        <v>1312687</v>
      </c>
      <c r="F87" s="120"/>
      <c r="G87" s="155">
        <v>53.92</v>
      </c>
      <c r="H87" s="120" t="s">
        <v>2186</v>
      </c>
      <c r="I87" s="121"/>
      <c r="J87" s="143">
        <v>46223</v>
      </c>
      <c r="K87" s="143">
        <v>46245</v>
      </c>
      <c r="L87" s="121">
        <f t="shared" si="4"/>
        <v>23</v>
      </c>
      <c r="M87" s="122">
        <f t="shared" si="5"/>
        <v>1240.1600000000001</v>
      </c>
      <c r="N87" s="120" t="s">
        <v>2187</v>
      </c>
      <c r="O87" s="121"/>
      <c r="P87" s="121"/>
      <c r="Q87" s="121"/>
      <c r="R87" s="132"/>
      <c r="S87" s="124"/>
    </row>
    <row r="88" spans="1:19">
      <c r="A88" s="119" t="s">
        <v>2202</v>
      </c>
      <c r="B88" s="120" t="s">
        <v>666</v>
      </c>
      <c r="C88" s="120" t="s">
        <v>622</v>
      </c>
      <c r="D88" s="121">
        <v>1</v>
      </c>
      <c r="E88" s="121">
        <v>1312686</v>
      </c>
      <c r="F88" s="120"/>
      <c r="G88" s="155">
        <v>53.92</v>
      </c>
      <c r="H88" s="120" t="s">
        <v>2186</v>
      </c>
      <c r="I88" s="121"/>
      <c r="J88" s="143">
        <v>46223</v>
      </c>
      <c r="K88" s="143">
        <v>46245</v>
      </c>
      <c r="L88" s="121">
        <f t="shared" si="4"/>
        <v>23</v>
      </c>
      <c r="M88" s="122">
        <f t="shared" si="5"/>
        <v>1240.1600000000001</v>
      </c>
      <c r="N88" s="120" t="s">
        <v>2187</v>
      </c>
      <c r="O88" s="121"/>
      <c r="P88" s="121"/>
      <c r="Q88" s="121"/>
      <c r="R88" s="132"/>
      <c r="S88" s="124"/>
    </row>
    <row r="89" spans="1:19">
      <c r="A89" s="119" t="s">
        <v>2202</v>
      </c>
      <c r="B89" s="120" t="s">
        <v>2207</v>
      </c>
      <c r="C89" s="120" t="s">
        <v>2208</v>
      </c>
      <c r="D89" s="121">
        <v>1</v>
      </c>
      <c r="E89" s="121">
        <v>1312732</v>
      </c>
      <c r="F89" s="120"/>
      <c r="G89" s="155">
        <v>118.26</v>
      </c>
      <c r="H89" s="120" t="s">
        <v>2186</v>
      </c>
      <c r="I89" s="121"/>
      <c r="J89" s="143">
        <v>46223</v>
      </c>
      <c r="K89" s="143">
        <v>46245</v>
      </c>
      <c r="L89" s="121">
        <f t="shared" si="4"/>
        <v>23</v>
      </c>
      <c r="M89" s="122">
        <f t="shared" si="5"/>
        <v>2719.98</v>
      </c>
      <c r="N89" s="120" t="s">
        <v>2187</v>
      </c>
      <c r="O89" s="121"/>
      <c r="P89" s="121"/>
      <c r="Q89" s="121"/>
      <c r="R89" s="132"/>
      <c r="S89" s="124"/>
    </row>
    <row r="90" spans="1:19">
      <c r="A90" s="119" t="s">
        <v>2202</v>
      </c>
      <c r="B90" s="120" t="s">
        <v>2207</v>
      </c>
      <c r="C90" s="120" t="s">
        <v>2208</v>
      </c>
      <c r="D90" s="121">
        <v>1</v>
      </c>
      <c r="E90" s="121">
        <v>1312731</v>
      </c>
      <c r="F90" s="120"/>
      <c r="G90" s="155">
        <v>118.26</v>
      </c>
      <c r="H90" s="120" t="s">
        <v>2186</v>
      </c>
      <c r="I90" s="121"/>
      <c r="J90" s="143">
        <v>46223</v>
      </c>
      <c r="K90" s="143">
        <v>46245</v>
      </c>
      <c r="L90" s="121">
        <f t="shared" si="4"/>
        <v>23</v>
      </c>
      <c r="M90" s="122">
        <f t="shared" si="5"/>
        <v>2719.98</v>
      </c>
      <c r="N90" s="120" t="s">
        <v>2187</v>
      </c>
      <c r="O90" s="121"/>
      <c r="P90" s="121"/>
      <c r="Q90" s="121"/>
      <c r="R90" s="132"/>
      <c r="S90" s="124"/>
    </row>
    <row r="91" spans="1:19">
      <c r="A91" s="119" t="s">
        <v>2202</v>
      </c>
      <c r="B91" s="120" t="s">
        <v>2209</v>
      </c>
      <c r="C91" s="120" t="s">
        <v>2210</v>
      </c>
      <c r="D91" s="121">
        <v>1</v>
      </c>
      <c r="E91" s="121">
        <v>1312655</v>
      </c>
      <c r="F91" s="120"/>
      <c r="G91" s="155">
        <v>61.18</v>
      </c>
      <c r="H91" s="120" t="s">
        <v>2186</v>
      </c>
      <c r="I91" s="121"/>
      <c r="J91" s="143">
        <v>46223</v>
      </c>
      <c r="K91" s="143">
        <v>46245</v>
      </c>
      <c r="L91" s="121">
        <f t="shared" si="4"/>
        <v>23</v>
      </c>
      <c r="M91" s="122">
        <f t="shared" si="5"/>
        <v>1407.14</v>
      </c>
      <c r="N91" s="120" t="s">
        <v>2187</v>
      </c>
      <c r="O91" s="121"/>
      <c r="P91" s="121"/>
      <c r="Q91" s="121"/>
      <c r="R91" s="132"/>
      <c r="S91" s="124"/>
    </row>
    <row r="92" spans="1:19">
      <c r="A92" s="119" t="s">
        <v>2202</v>
      </c>
      <c r="B92" s="120" t="s">
        <v>2209</v>
      </c>
      <c r="C92" s="120" t="s">
        <v>2210</v>
      </c>
      <c r="D92" s="121">
        <v>1</v>
      </c>
      <c r="E92" s="121">
        <v>1312654</v>
      </c>
      <c r="F92" s="120"/>
      <c r="G92" s="155">
        <v>61.18</v>
      </c>
      <c r="H92" s="120" t="s">
        <v>2186</v>
      </c>
      <c r="I92" s="121"/>
      <c r="J92" s="143">
        <v>46223</v>
      </c>
      <c r="K92" s="143">
        <v>46245</v>
      </c>
      <c r="L92" s="121">
        <f t="shared" si="4"/>
        <v>23</v>
      </c>
      <c r="M92" s="122">
        <f t="shared" si="5"/>
        <v>1407.14</v>
      </c>
      <c r="N92" s="120" t="s">
        <v>2187</v>
      </c>
      <c r="O92" s="121"/>
      <c r="P92" s="121"/>
      <c r="Q92" s="121"/>
      <c r="R92" s="132"/>
      <c r="S92" s="124"/>
    </row>
    <row r="93" spans="1:19">
      <c r="A93" s="119" t="s">
        <v>2202</v>
      </c>
      <c r="B93" s="120" t="s">
        <v>677</v>
      </c>
      <c r="C93" s="120" t="s">
        <v>2211</v>
      </c>
      <c r="D93" s="121">
        <v>1</v>
      </c>
      <c r="E93" s="121">
        <v>1280585</v>
      </c>
      <c r="F93" s="120"/>
      <c r="G93" s="155">
        <v>62</v>
      </c>
      <c r="H93" s="120" t="s">
        <v>2186</v>
      </c>
      <c r="I93" s="121"/>
      <c r="J93" s="143">
        <v>46223</v>
      </c>
      <c r="K93" s="143">
        <v>46245</v>
      </c>
      <c r="L93" s="121">
        <f t="shared" si="4"/>
        <v>23</v>
      </c>
      <c r="M93" s="122">
        <f t="shared" si="5"/>
        <v>1426</v>
      </c>
      <c r="N93" s="120" t="s">
        <v>2187</v>
      </c>
      <c r="O93" s="121"/>
      <c r="P93" s="121"/>
      <c r="Q93" s="121"/>
      <c r="R93" s="132"/>
      <c r="S93" s="124"/>
    </row>
    <row r="94" spans="1:19">
      <c r="A94" s="119" t="s">
        <v>2202</v>
      </c>
      <c r="B94" s="120" t="s">
        <v>677</v>
      </c>
      <c r="C94" s="120" t="s">
        <v>2211</v>
      </c>
      <c r="D94" s="121">
        <v>1</v>
      </c>
      <c r="E94" s="121">
        <v>1280586</v>
      </c>
      <c r="F94" s="120"/>
      <c r="G94" s="155">
        <v>62</v>
      </c>
      <c r="H94" s="120" t="s">
        <v>2186</v>
      </c>
      <c r="I94" s="121"/>
      <c r="J94" s="143">
        <v>46223</v>
      </c>
      <c r="K94" s="143">
        <v>46245</v>
      </c>
      <c r="L94" s="121">
        <f t="shared" si="4"/>
        <v>23</v>
      </c>
      <c r="M94" s="122">
        <f t="shared" si="5"/>
        <v>1426</v>
      </c>
      <c r="N94" s="120" t="s">
        <v>2187</v>
      </c>
      <c r="O94" s="121"/>
      <c r="P94" s="121"/>
      <c r="Q94" s="121"/>
      <c r="R94" s="132"/>
      <c r="S94" s="124"/>
    </row>
    <row r="95" spans="1:19">
      <c r="A95" s="119" t="s">
        <v>2202</v>
      </c>
      <c r="B95" s="120" t="s">
        <v>677</v>
      </c>
      <c r="C95" s="120" t="s">
        <v>2211</v>
      </c>
      <c r="D95" s="121">
        <v>1</v>
      </c>
      <c r="E95" s="121">
        <v>1280598</v>
      </c>
      <c r="F95" s="120"/>
      <c r="G95" s="155">
        <v>62</v>
      </c>
      <c r="H95" s="120" t="s">
        <v>2196</v>
      </c>
      <c r="I95" s="121"/>
      <c r="J95" s="143">
        <v>46223</v>
      </c>
      <c r="K95" s="143">
        <v>46245</v>
      </c>
      <c r="L95" s="121">
        <f t="shared" si="4"/>
        <v>23</v>
      </c>
      <c r="M95" s="122">
        <f t="shared" si="5"/>
        <v>1426</v>
      </c>
      <c r="N95" s="120" t="s">
        <v>2187</v>
      </c>
      <c r="O95" s="121"/>
      <c r="P95" s="121"/>
      <c r="Q95" s="121"/>
      <c r="R95" s="132"/>
      <c r="S95" s="124"/>
    </row>
    <row r="96" spans="1:19">
      <c r="A96" s="119" t="s">
        <v>2202</v>
      </c>
      <c r="B96" s="120" t="s">
        <v>677</v>
      </c>
      <c r="C96" s="120" t="s">
        <v>2211</v>
      </c>
      <c r="D96" s="121">
        <v>1</v>
      </c>
      <c r="E96" s="121">
        <v>1280596</v>
      </c>
      <c r="F96" s="120"/>
      <c r="G96" s="155">
        <v>62</v>
      </c>
      <c r="H96" s="120" t="s">
        <v>2186</v>
      </c>
      <c r="I96" s="121"/>
      <c r="J96" s="143">
        <v>46223</v>
      </c>
      <c r="K96" s="143">
        <v>46245</v>
      </c>
      <c r="L96" s="121">
        <f t="shared" ref="L96:L125" si="6">K96-J96+1</f>
        <v>23</v>
      </c>
      <c r="M96" s="122">
        <f t="shared" ref="M96:M125" si="7">D96*G96*L96</f>
        <v>1426</v>
      </c>
      <c r="N96" s="120" t="s">
        <v>2187</v>
      </c>
      <c r="O96" s="121"/>
      <c r="P96" s="121"/>
      <c r="Q96" s="121"/>
      <c r="R96" s="132"/>
      <c r="S96" s="124"/>
    </row>
    <row r="97" spans="1:19">
      <c r="A97" s="119" t="s">
        <v>2202</v>
      </c>
      <c r="B97" s="120" t="s">
        <v>677</v>
      </c>
      <c r="C97" s="120" t="s">
        <v>2211</v>
      </c>
      <c r="D97" s="121">
        <v>1</v>
      </c>
      <c r="E97" s="121">
        <v>1280591</v>
      </c>
      <c r="F97" s="120"/>
      <c r="G97" s="155">
        <v>62</v>
      </c>
      <c r="H97" s="120" t="s">
        <v>2186</v>
      </c>
      <c r="I97" s="121"/>
      <c r="J97" s="143">
        <v>46223</v>
      </c>
      <c r="K97" s="143">
        <v>46245</v>
      </c>
      <c r="L97" s="121">
        <f t="shared" si="6"/>
        <v>23</v>
      </c>
      <c r="M97" s="122">
        <f t="shared" si="7"/>
        <v>1426</v>
      </c>
      <c r="N97" s="120" t="s">
        <v>2187</v>
      </c>
      <c r="O97" s="121"/>
      <c r="P97" s="121"/>
      <c r="Q97" s="121"/>
      <c r="R97" s="132"/>
      <c r="S97" s="124"/>
    </row>
    <row r="98" spans="1:19">
      <c r="A98" s="119" t="s">
        <v>2202</v>
      </c>
      <c r="B98" s="120" t="s">
        <v>677</v>
      </c>
      <c r="C98" s="120" t="s">
        <v>2211</v>
      </c>
      <c r="D98" s="121">
        <v>1</v>
      </c>
      <c r="E98" s="121">
        <v>1297566</v>
      </c>
      <c r="F98" s="120"/>
      <c r="G98" s="155">
        <v>62</v>
      </c>
      <c r="H98" s="120" t="s">
        <v>2186</v>
      </c>
      <c r="I98" s="121"/>
      <c r="J98" s="143">
        <v>46223</v>
      </c>
      <c r="K98" s="143">
        <v>46245</v>
      </c>
      <c r="L98" s="121">
        <f t="shared" si="6"/>
        <v>23</v>
      </c>
      <c r="M98" s="122">
        <f t="shared" si="7"/>
        <v>1426</v>
      </c>
      <c r="N98" s="120" t="s">
        <v>2187</v>
      </c>
      <c r="O98" s="121"/>
      <c r="P98" s="121"/>
      <c r="Q98" s="121"/>
      <c r="R98" s="132"/>
      <c r="S98" s="124"/>
    </row>
    <row r="99" spans="1:19">
      <c r="A99" s="119" t="s">
        <v>2202</v>
      </c>
      <c r="B99" s="120" t="s">
        <v>2212</v>
      </c>
      <c r="C99" s="120" t="s">
        <v>2213</v>
      </c>
      <c r="D99" s="121">
        <v>1</v>
      </c>
      <c r="E99" s="121">
        <v>1285098</v>
      </c>
      <c r="F99" s="120"/>
      <c r="G99" s="155">
        <v>62</v>
      </c>
      <c r="H99" s="120" t="s">
        <v>2186</v>
      </c>
      <c r="I99" s="121"/>
      <c r="J99" s="143">
        <v>46223</v>
      </c>
      <c r="K99" s="143">
        <v>46245</v>
      </c>
      <c r="L99" s="121">
        <f t="shared" si="6"/>
        <v>23</v>
      </c>
      <c r="M99" s="122">
        <f t="shared" si="7"/>
        <v>1426</v>
      </c>
      <c r="N99" s="120" t="s">
        <v>2187</v>
      </c>
      <c r="O99" s="121"/>
      <c r="P99" s="121"/>
      <c r="Q99" s="121"/>
      <c r="R99" s="132"/>
      <c r="S99" s="124"/>
    </row>
    <row r="100" spans="1:19">
      <c r="A100" s="119" t="s">
        <v>2202</v>
      </c>
      <c r="B100" s="120" t="s">
        <v>2233</v>
      </c>
      <c r="C100" s="120" t="s">
        <v>2234</v>
      </c>
      <c r="D100" s="121">
        <v>1</v>
      </c>
      <c r="E100" s="121">
        <v>1282765</v>
      </c>
      <c r="F100" s="120"/>
      <c r="G100" s="155">
        <v>176.29</v>
      </c>
      <c r="H100" s="120" t="s">
        <v>2186</v>
      </c>
      <c r="I100" s="121"/>
      <c r="J100" s="143">
        <v>46223</v>
      </c>
      <c r="K100" s="143">
        <v>46245</v>
      </c>
      <c r="L100" s="121">
        <f t="shared" si="6"/>
        <v>23</v>
      </c>
      <c r="M100" s="122">
        <f t="shared" si="7"/>
        <v>4054.6699999999996</v>
      </c>
      <c r="N100" s="120" t="s">
        <v>621</v>
      </c>
      <c r="O100" s="121"/>
      <c r="P100" s="121"/>
      <c r="Q100" s="121"/>
      <c r="R100" s="132"/>
      <c r="S100" s="124"/>
    </row>
    <row r="101" spans="1:19">
      <c r="A101" s="119" t="s">
        <v>689</v>
      </c>
      <c r="B101" s="120" t="s">
        <v>667</v>
      </c>
      <c r="C101" s="120" t="s">
        <v>2214</v>
      </c>
      <c r="D101" s="121">
        <v>1</v>
      </c>
      <c r="E101" s="121">
        <v>1276457</v>
      </c>
      <c r="F101" s="120"/>
      <c r="G101" s="155">
        <v>103.7</v>
      </c>
      <c r="H101" s="120" t="s">
        <v>2186</v>
      </c>
      <c r="I101" s="121"/>
      <c r="J101" s="143">
        <v>46223</v>
      </c>
      <c r="K101" s="143">
        <v>46245</v>
      </c>
      <c r="L101" s="121">
        <f t="shared" si="6"/>
        <v>23</v>
      </c>
      <c r="M101" s="122">
        <f t="shared" si="7"/>
        <v>2385.1</v>
      </c>
      <c r="N101" s="120" t="s">
        <v>2187</v>
      </c>
      <c r="O101" s="121"/>
      <c r="P101" s="121"/>
      <c r="Q101" s="121"/>
      <c r="R101" s="132"/>
      <c r="S101" s="124"/>
    </row>
    <row r="102" spans="1:19">
      <c r="A102" s="119" t="s">
        <v>689</v>
      </c>
      <c r="B102" s="120" t="s">
        <v>667</v>
      </c>
      <c r="C102" s="120" t="s">
        <v>2214</v>
      </c>
      <c r="D102" s="222">
        <v>1</v>
      </c>
      <c r="E102" s="121">
        <v>1276463</v>
      </c>
      <c r="F102" s="120"/>
      <c r="G102" s="155">
        <v>103.7</v>
      </c>
      <c r="H102" s="120" t="s">
        <v>2186</v>
      </c>
      <c r="I102" s="121"/>
      <c r="J102" s="143">
        <v>46223</v>
      </c>
      <c r="K102" s="143">
        <v>46245</v>
      </c>
      <c r="L102" s="121">
        <f t="shared" si="6"/>
        <v>23</v>
      </c>
      <c r="M102" s="122">
        <f t="shared" si="7"/>
        <v>2385.1</v>
      </c>
      <c r="N102" s="120" t="s">
        <v>2187</v>
      </c>
      <c r="O102" s="121"/>
      <c r="P102" s="121"/>
      <c r="Q102" s="121"/>
      <c r="R102" s="132"/>
      <c r="S102" s="124"/>
    </row>
    <row r="103" spans="1:19">
      <c r="A103" s="119" t="s">
        <v>689</v>
      </c>
      <c r="B103" s="120" t="s">
        <v>667</v>
      </c>
      <c r="C103" s="120" t="s">
        <v>2214</v>
      </c>
      <c r="D103" s="121">
        <v>1</v>
      </c>
      <c r="E103" s="121">
        <v>1276459</v>
      </c>
      <c r="F103" s="120"/>
      <c r="G103" s="155">
        <v>103.7</v>
      </c>
      <c r="H103" s="120" t="s">
        <v>2186</v>
      </c>
      <c r="I103" s="121"/>
      <c r="J103" s="143">
        <v>46223</v>
      </c>
      <c r="K103" s="143">
        <v>46245</v>
      </c>
      <c r="L103" s="121">
        <f t="shared" si="6"/>
        <v>23</v>
      </c>
      <c r="M103" s="122">
        <f t="shared" si="7"/>
        <v>2385.1</v>
      </c>
      <c r="N103" s="120" t="s">
        <v>2187</v>
      </c>
      <c r="O103" s="121"/>
      <c r="P103" s="121"/>
      <c r="Q103" s="121"/>
      <c r="R103" s="132"/>
      <c r="S103" s="124"/>
    </row>
    <row r="104" spans="1:19">
      <c r="A104" s="119" t="s">
        <v>689</v>
      </c>
      <c r="B104" s="120" t="s">
        <v>667</v>
      </c>
      <c r="C104" s="120" t="s">
        <v>2214</v>
      </c>
      <c r="D104" s="222">
        <v>1</v>
      </c>
      <c r="E104" s="121">
        <v>1276461</v>
      </c>
      <c r="F104" s="120"/>
      <c r="G104" s="155">
        <v>103.7</v>
      </c>
      <c r="H104" s="120" t="s">
        <v>2186</v>
      </c>
      <c r="I104" s="121"/>
      <c r="J104" s="143">
        <v>46223</v>
      </c>
      <c r="K104" s="143">
        <v>46245</v>
      </c>
      <c r="L104" s="121">
        <f t="shared" si="6"/>
        <v>23</v>
      </c>
      <c r="M104" s="122">
        <f t="shared" si="7"/>
        <v>2385.1</v>
      </c>
      <c r="N104" s="120" t="s">
        <v>2187</v>
      </c>
      <c r="O104" s="121"/>
      <c r="P104" s="121"/>
      <c r="Q104" s="121"/>
      <c r="R104" s="132"/>
      <c r="S104" s="124"/>
    </row>
    <row r="105" spans="1:19">
      <c r="A105" s="119" t="s">
        <v>689</v>
      </c>
      <c r="B105" s="120" t="s">
        <v>667</v>
      </c>
      <c r="C105" s="120" t="s">
        <v>2214</v>
      </c>
      <c r="D105" s="221">
        <v>1</v>
      </c>
      <c r="E105" s="121">
        <v>1276462</v>
      </c>
      <c r="F105" s="120"/>
      <c r="G105" s="155">
        <v>103.7</v>
      </c>
      <c r="H105" s="120" t="s">
        <v>2186</v>
      </c>
      <c r="I105" s="121"/>
      <c r="J105" s="143">
        <v>46223</v>
      </c>
      <c r="K105" s="143">
        <v>46245</v>
      </c>
      <c r="L105" s="121">
        <f t="shared" si="6"/>
        <v>23</v>
      </c>
      <c r="M105" s="122">
        <f t="shared" si="7"/>
        <v>2385.1</v>
      </c>
      <c r="N105" s="120" t="s">
        <v>2187</v>
      </c>
      <c r="O105" s="121"/>
      <c r="P105" s="121"/>
      <c r="Q105" s="121"/>
      <c r="R105" s="132"/>
      <c r="S105" s="124"/>
    </row>
    <row r="106" spans="1:19">
      <c r="A106" s="119" t="s">
        <v>689</v>
      </c>
      <c r="B106" s="120" t="s">
        <v>667</v>
      </c>
      <c r="C106" s="120" t="s">
        <v>2214</v>
      </c>
      <c r="D106" s="222">
        <v>1</v>
      </c>
      <c r="E106" s="121">
        <v>1276454</v>
      </c>
      <c r="F106" s="120"/>
      <c r="G106" s="155">
        <v>103.7</v>
      </c>
      <c r="H106" s="120" t="s">
        <v>2186</v>
      </c>
      <c r="I106" s="121"/>
      <c r="J106" s="143">
        <v>46223</v>
      </c>
      <c r="K106" s="143">
        <v>46245</v>
      </c>
      <c r="L106" s="121">
        <f t="shared" si="6"/>
        <v>23</v>
      </c>
      <c r="M106" s="122">
        <f t="shared" si="7"/>
        <v>2385.1</v>
      </c>
      <c r="N106" s="120" t="s">
        <v>2187</v>
      </c>
      <c r="O106" s="121"/>
      <c r="P106" s="121"/>
      <c r="Q106" s="121"/>
      <c r="R106" s="132"/>
      <c r="S106" s="124"/>
    </row>
    <row r="107" spans="1:19">
      <c r="A107" s="119" t="s">
        <v>689</v>
      </c>
      <c r="B107" s="120" t="s">
        <v>2215</v>
      </c>
      <c r="C107" s="120" t="s">
        <v>2216</v>
      </c>
      <c r="D107" s="221">
        <v>1</v>
      </c>
      <c r="E107" s="121">
        <v>1276557</v>
      </c>
      <c r="F107" s="120"/>
      <c r="G107" s="155">
        <v>103.7</v>
      </c>
      <c r="H107" s="120" t="s">
        <v>2186</v>
      </c>
      <c r="I107" s="121"/>
      <c r="J107" s="143">
        <v>46223</v>
      </c>
      <c r="K107" s="143">
        <v>46245</v>
      </c>
      <c r="L107" s="121">
        <f t="shared" si="6"/>
        <v>23</v>
      </c>
      <c r="M107" s="122">
        <f t="shared" si="7"/>
        <v>2385.1</v>
      </c>
      <c r="N107" s="120" t="s">
        <v>2187</v>
      </c>
      <c r="O107" s="121"/>
      <c r="P107" s="121"/>
      <c r="Q107" s="121"/>
      <c r="R107" s="132"/>
      <c r="S107" s="124"/>
    </row>
    <row r="108" spans="1:19">
      <c r="A108" s="119" t="s">
        <v>689</v>
      </c>
      <c r="B108" s="120" t="s">
        <v>670</v>
      </c>
      <c r="C108" s="120" t="s">
        <v>2217</v>
      </c>
      <c r="D108" s="222">
        <v>1</v>
      </c>
      <c r="E108" s="121">
        <v>1320990</v>
      </c>
      <c r="F108" s="120"/>
      <c r="G108" s="155">
        <v>57.22</v>
      </c>
      <c r="H108" s="120" t="s">
        <v>2186</v>
      </c>
      <c r="I108" s="121"/>
      <c r="J108" s="143">
        <v>46223</v>
      </c>
      <c r="K108" s="143">
        <v>46245</v>
      </c>
      <c r="L108" s="121">
        <f t="shared" si="6"/>
        <v>23</v>
      </c>
      <c r="M108" s="122">
        <f t="shared" si="7"/>
        <v>1316.06</v>
      </c>
      <c r="N108" s="120" t="s">
        <v>2187</v>
      </c>
      <c r="O108" s="121"/>
      <c r="P108" s="121"/>
      <c r="Q108" s="121"/>
      <c r="R108" s="132"/>
      <c r="S108" s="124"/>
    </row>
    <row r="109" spans="1:19">
      <c r="A109" s="119" t="s">
        <v>689</v>
      </c>
      <c r="B109" s="120" t="s">
        <v>670</v>
      </c>
      <c r="C109" s="120" t="s">
        <v>2217</v>
      </c>
      <c r="D109" s="221">
        <v>1</v>
      </c>
      <c r="E109" s="121">
        <v>1320991</v>
      </c>
      <c r="F109" s="120"/>
      <c r="G109" s="155">
        <v>57.22</v>
      </c>
      <c r="H109" s="120" t="s">
        <v>2186</v>
      </c>
      <c r="I109" s="121"/>
      <c r="J109" s="143">
        <v>46223</v>
      </c>
      <c r="K109" s="143">
        <v>46245</v>
      </c>
      <c r="L109" s="121">
        <f t="shared" si="6"/>
        <v>23</v>
      </c>
      <c r="M109" s="122">
        <f t="shared" si="7"/>
        <v>1316.06</v>
      </c>
      <c r="N109" s="120" t="s">
        <v>2187</v>
      </c>
      <c r="O109" s="121"/>
      <c r="P109" s="121"/>
      <c r="Q109" s="121"/>
      <c r="R109" s="132"/>
      <c r="S109" s="124"/>
    </row>
    <row r="110" spans="1:19">
      <c r="A110" s="119" t="s">
        <v>689</v>
      </c>
      <c r="B110" s="120" t="s">
        <v>703</v>
      </c>
      <c r="C110" s="120" t="s">
        <v>704</v>
      </c>
      <c r="D110" s="222">
        <v>1</v>
      </c>
      <c r="E110" s="121">
        <v>1320977</v>
      </c>
      <c r="F110" s="120"/>
      <c r="G110" s="155">
        <v>77.78</v>
      </c>
      <c r="H110" s="120" t="s">
        <v>2186</v>
      </c>
      <c r="I110" s="121"/>
      <c r="J110" s="143">
        <v>46223</v>
      </c>
      <c r="K110" s="143">
        <v>46245</v>
      </c>
      <c r="L110" s="121">
        <f t="shared" si="6"/>
        <v>23</v>
      </c>
      <c r="M110" s="122">
        <f t="shared" si="7"/>
        <v>1788.94</v>
      </c>
      <c r="N110" s="120" t="s">
        <v>2187</v>
      </c>
      <c r="O110" s="121"/>
      <c r="P110" s="121"/>
      <c r="Q110" s="121"/>
      <c r="R110" s="132"/>
      <c r="S110" s="124"/>
    </row>
    <row r="111" spans="1:19">
      <c r="A111" s="119" t="s">
        <v>689</v>
      </c>
      <c r="B111" s="120" t="s">
        <v>672</v>
      </c>
      <c r="C111" s="120" t="s">
        <v>2218</v>
      </c>
      <c r="D111" s="221">
        <v>1</v>
      </c>
      <c r="E111" s="121">
        <v>1261233</v>
      </c>
      <c r="F111" s="120"/>
      <c r="G111" s="155">
        <v>357.77</v>
      </c>
      <c r="H111" s="120" t="s">
        <v>2196</v>
      </c>
      <c r="I111" s="121"/>
      <c r="J111" s="143">
        <v>46223</v>
      </c>
      <c r="K111" s="143">
        <v>46245</v>
      </c>
      <c r="L111" s="121">
        <f t="shared" si="6"/>
        <v>23</v>
      </c>
      <c r="M111" s="122">
        <f t="shared" si="7"/>
        <v>8228.7099999999991</v>
      </c>
      <c r="N111" s="120" t="s">
        <v>2187</v>
      </c>
      <c r="O111" s="121"/>
      <c r="P111" s="121"/>
      <c r="Q111" s="121"/>
      <c r="R111" s="132"/>
      <c r="S111" s="124"/>
    </row>
    <row r="112" spans="1:19">
      <c r="A112" s="119" t="s">
        <v>689</v>
      </c>
      <c r="B112" s="120" t="s">
        <v>668</v>
      </c>
      <c r="C112" s="120" t="s">
        <v>2219</v>
      </c>
      <c r="D112" s="222">
        <v>1</v>
      </c>
      <c r="E112" s="121">
        <v>1320825</v>
      </c>
      <c r="F112" s="120"/>
      <c r="G112" s="155">
        <v>72.59</v>
      </c>
      <c r="H112" s="120" t="s">
        <v>2186</v>
      </c>
      <c r="I112" s="121"/>
      <c r="J112" s="143">
        <v>46223</v>
      </c>
      <c r="K112" s="143">
        <v>46245</v>
      </c>
      <c r="L112" s="121">
        <f t="shared" si="6"/>
        <v>23</v>
      </c>
      <c r="M112" s="122">
        <f t="shared" si="7"/>
        <v>1669.5700000000002</v>
      </c>
      <c r="N112" s="120" t="s">
        <v>2187</v>
      </c>
      <c r="O112" s="121"/>
      <c r="P112" s="121"/>
      <c r="Q112" s="121"/>
      <c r="R112" s="132"/>
      <c r="S112" s="124"/>
    </row>
    <row r="113" spans="1:19">
      <c r="A113" s="119" t="s">
        <v>689</v>
      </c>
      <c r="B113" s="120" t="s">
        <v>669</v>
      </c>
      <c r="C113" s="120" t="s">
        <v>2220</v>
      </c>
      <c r="D113" s="221">
        <v>1</v>
      </c>
      <c r="E113" s="121">
        <v>1276414</v>
      </c>
      <c r="F113" s="120"/>
      <c r="G113" s="155">
        <v>88.15</v>
      </c>
      <c r="H113" s="120" t="s">
        <v>2186</v>
      </c>
      <c r="I113" s="121"/>
      <c r="J113" s="143">
        <v>46223</v>
      </c>
      <c r="K113" s="143">
        <v>46245</v>
      </c>
      <c r="L113" s="121">
        <f t="shared" si="6"/>
        <v>23</v>
      </c>
      <c r="M113" s="122">
        <f t="shared" si="7"/>
        <v>2027.45</v>
      </c>
      <c r="N113" s="120" t="s">
        <v>2187</v>
      </c>
      <c r="O113" s="121"/>
      <c r="P113" s="121"/>
      <c r="Q113" s="121"/>
      <c r="R113" s="132"/>
      <c r="S113" s="124"/>
    </row>
    <row r="114" spans="1:19">
      <c r="A114" s="119" t="s">
        <v>689</v>
      </c>
      <c r="B114" s="120" t="s">
        <v>2215</v>
      </c>
      <c r="C114" s="120" t="s">
        <v>2216</v>
      </c>
      <c r="D114" s="222">
        <v>1</v>
      </c>
      <c r="E114" s="121">
        <v>1276549</v>
      </c>
      <c r="F114" s="120"/>
      <c r="G114" s="155">
        <v>103.7</v>
      </c>
      <c r="H114" s="120" t="s">
        <v>2186</v>
      </c>
      <c r="I114" s="121"/>
      <c r="J114" s="143">
        <v>46223</v>
      </c>
      <c r="K114" s="143">
        <v>46245</v>
      </c>
      <c r="L114" s="121">
        <f t="shared" si="6"/>
        <v>23</v>
      </c>
      <c r="M114" s="122">
        <f t="shared" si="7"/>
        <v>2385.1</v>
      </c>
      <c r="N114" s="120" t="s">
        <v>621</v>
      </c>
      <c r="O114" s="121"/>
      <c r="P114" s="121"/>
      <c r="Q114" s="121"/>
      <c r="R114" s="132"/>
      <c r="S114" s="124"/>
    </row>
    <row r="115" spans="1:19">
      <c r="A115" s="119" t="s">
        <v>648</v>
      </c>
      <c r="B115" s="120" t="s">
        <v>659</v>
      </c>
      <c r="C115" s="120" t="s">
        <v>623</v>
      </c>
      <c r="D115" s="121">
        <v>1</v>
      </c>
      <c r="E115" s="121">
        <v>1270839</v>
      </c>
      <c r="F115" s="120"/>
      <c r="G115" s="155">
        <v>46.67</v>
      </c>
      <c r="H115" s="120" t="s">
        <v>2186</v>
      </c>
      <c r="I115" s="121"/>
      <c r="J115" s="143">
        <v>46223</v>
      </c>
      <c r="K115" s="143">
        <v>46245</v>
      </c>
      <c r="L115" s="121">
        <f t="shared" si="6"/>
        <v>23</v>
      </c>
      <c r="M115" s="122">
        <f t="shared" si="7"/>
        <v>1073.4100000000001</v>
      </c>
      <c r="N115" s="120" t="s">
        <v>2187</v>
      </c>
      <c r="O115" s="121"/>
      <c r="P115" s="121"/>
      <c r="Q115" s="121"/>
      <c r="R115" s="132"/>
      <c r="S115" s="124"/>
    </row>
    <row r="116" spans="1:19">
      <c r="A116" s="119" t="s">
        <v>648</v>
      </c>
      <c r="B116" s="120" t="s">
        <v>659</v>
      </c>
      <c r="C116" s="120" t="s">
        <v>623</v>
      </c>
      <c r="D116" s="121">
        <v>1</v>
      </c>
      <c r="E116" s="121">
        <v>1270837</v>
      </c>
      <c r="F116" s="120"/>
      <c r="G116" s="155">
        <v>46.67</v>
      </c>
      <c r="H116" s="120" t="s">
        <v>2186</v>
      </c>
      <c r="I116" s="121"/>
      <c r="J116" s="143">
        <v>46223</v>
      </c>
      <c r="K116" s="143">
        <v>46245</v>
      </c>
      <c r="L116" s="121">
        <f t="shared" si="6"/>
        <v>23</v>
      </c>
      <c r="M116" s="122">
        <f t="shared" si="7"/>
        <v>1073.4100000000001</v>
      </c>
      <c r="N116" s="120" t="s">
        <v>2187</v>
      </c>
      <c r="O116" s="121"/>
      <c r="P116" s="121"/>
      <c r="Q116" s="121"/>
      <c r="R116" s="132"/>
      <c r="S116" s="124"/>
    </row>
    <row r="117" spans="1:19">
      <c r="A117" s="119" t="s">
        <v>648</v>
      </c>
      <c r="B117" s="120" t="s">
        <v>659</v>
      </c>
      <c r="C117" s="120" t="s">
        <v>623</v>
      </c>
      <c r="D117" s="121">
        <v>1</v>
      </c>
      <c r="E117" s="121">
        <v>1304744</v>
      </c>
      <c r="F117" s="120"/>
      <c r="G117" s="155">
        <v>46.67</v>
      </c>
      <c r="H117" s="120" t="s">
        <v>2186</v>
      </c>
      <c r="I117" s="121"/>
      <c r="J117" s="143">
        <v>46223</v>
      </c>
      <c r="K117" s="143">
        <v>46245</v>
      </c>
      <c r="L117" s="121">
        <f t="shared" si="6"/>
        <v>23</v>
      </c>
      <c r="M117" s="122">
        <f t="shared" si="7"/>
        <v>1073.4100000000001</v>
      </c>
      <c r="N117" s="120" t="s">
        <v>2187</v>
      </c>
      <c r="O117" s="121"/>
      <c r="P117" s="121"/>
      <c r="Q117" s="121"/>
      <c r="R117" s="132"/>
      <c r="S117" s="124"/>
    </row>
    <row r="118" spans="1:19">
      <c r="A118" s="119" t="s">
        <v>648</v>
      </c>
      <c r="B118" s="120" t="s">
        <v>705</v>
      </c>
      <c r="C118" s="120" t="s">
        <v>154</v>
      </c>
      <c r="D118" s="121">
        <v>1</v>
      </c>
      <c r="E118" s="121">
        <v>1295773</v>
      </c>
      <c r="F118" s="120"/>
      <c r="G118" s="155">
        <v>57.03</v>
      </c>
      <c r="H118" s="120" t="s">
        <v>2186</v>
      </c>
      <c r="I118" s="121"/>
      <c r="J118" s="143">
        <v>46223</v>
      </c>
      <c r="K118" s="143">
        <v>46245</v>
      </c>
      <c r="L118" s="121">
        <f t="shared" si="6"/>
        <v>23</v>
      </c>
      <c r="M118" s="122">
        <f t="shared" si="7"/>
        <v>1311.69</v>
      </c>
      <c r="N118" s="120" t="s">
        <v>2187</v>
      </c>
      <c r="O118" s="121"/>
      <c r="P118" s="121"/>
      <c r="Q118" s="121"/>
      <c r="R118" s="132"/>
      <c r="S118" s="124"/>
    </row>
    <row r="119" spans="1:19">
      <c r="A119" s="119" t="s">
        <v>648</v>
      </c>
      <c r="B119" s="120" t="s">
        <v>705</v>
      </c>
      <c r="C119" s="120" t="s">
        <v>154</v>
      </c>
      <c r="D119" s="121">
        <v>1</v>
      </c>
      <c r="E119" s="121">
        <v>1295771</v>
      </c>
      <c r="F119" s="120"/>
      <c r="G119" s="155">
        <v>57.03</v>
      </c>
      <c r="H119" s="120" t="s">
        <v>2186</v>
      </c>
      <c r="I119" s="143"/>
      <c r="J119" s="143">
        <v>46223</v>
      </c>
      <c r="K119" s="143">
        <v>46245</v>
      </c>
      <c r="L119" s="121">
        <f t="shared" si="6"/>
        <v>23</v>
      </c>
      <c r="M119" s="122">
        <f t="shared" si="7"/>
        <v>1311.69</v>
      </c>
      <c r="N119" s="120" t="s">
        <v>15</v>
      </c>
      <c r="O119" s="121"/>
      <c r="P119" s="121"/>
      <c r="Q119" s="121"/>
      <c r="R119" s="132"/>
      <c r="S119" s="124"/>
    </row>
    <row r="120" spans="1:19">
      <c r="A120" s="119" t="s">
        <v>648</v>
      </c>
      <c r="B120" s="120" t="s">
        <v>705</v>
      </c>
      <c r="C120" s="120" t="s">
        <v>154</v>
      </c>
      <c r="D120" s="121">
        <v>1</v>
      </c>
      <c r="E120" s="121">
        <v>1229297</v>
      </c>
      <c r="F120" s="120"/>
      <c r="G120" s="155">
        <v>57.03</v>
      </c>
      <c r="H120" s="120" t="s">
        <v>2186</v>
      </c>
      <c r="I120" s="121"/>
      <c r="J120" s="143">
        <v>46223</v>
      </c>
      <c r="K120" s="143">
        <v>46245</v>
      </c>
      <c r="L120" s="121">
        <f t="shared" si="6"/>
        <v>23</v>
      </c>
      <c r="M120" s="122">
        <f t="shared" si="7"/>
        <v>1311.69</v>
      </c>
      <c r="N120" s="120" t="s">
        <v>2187</v>
      </c>
      <c r="O120" s="121"/>
      <c r="P120" s="121"/>
      <c r="Q120" s="121"/>
      <c r="R120" s="132"/>
      <c r="S120" s="124"/>
    </row>
    <row r="121" spans="1:19">
      <c r="A121" s="119" t="s">
        <v>648</v>
      </c>
      <c r="B121" s="120" t="s">
        <v>705</v>
      </c>
      <c r="C121" s="120" t="s">
        <v>154</v>
      </c>
      <c r="D121" s="121">
        <v>1</v>
      </c>
      <c r="E121" s="121">
        <v>1229366</v>
      </c>
      <c r="F121" s="120"/>
      <c r="G121" s="155">
        <v>57.03</v>
      </c>
      <c r="H121" s="120" t="s">
        <v>2186</v>
      </c>
      <c r="I121" s="121"/>
      <c r="J121" s="143">
        <v>46223</v>
      </c>
      <c r="K121" s="143">
        <v>46245</v>
      </c>
      <c r="L121" s="121">
        <f t="shared" si="6"/>
        <v>23</v>
      </c>
      <c r="M121" s="122">
        <f t="shared" si="7"/>
        <v>1311.69</v>
      </c>
      <c r="N121" s="120" t="s">
        <v>2187</v>
      </c>
      <c r="O121" s="121"/>
      <c r="P121" s="121"/>
      <c r="Q121" s="121"/>
      <c r="R121" s="132"/>
      <c r="S121" s="124"/>
    </row>
    <row r="122" spans="1:19">
      <c r="A122" s="119" t="s">
        <v>648</v>
      </c>
      <c r="B122" s="120" t="s">
        <v>705</v>
      </c>
      <c r="C122" s="120" t="s">
        <v>154</v>
      </c>
      <c r="D122" s="121">
        <v>1</v>
      </c>
      <c r="E122" s="121">
        <v>1281595</v>
      </c>
      <c r="F122" s="120"/>
      <c r="G122" s="155">
        <v>57.03</v>
      </c>
      <c r="H122" s="120" t="s">
        <v>2186</v>
      </c>
      <c r="I122" s="121"/>
      <c r="J122" s="143">
        <v>46223</v>
      </c>
      <c r="K122" s="143">
        <v>46245</v>
      </c>
      <c r="L122" s="121">
        <f t="shared" si="6"/>
        <v>23</v>
      </c>
      <c r="M122" s="122">
        <f t="shared" si="7"/>
        <v>1311.69</v>
      </c>
      <c r="N122" s="120" t="s">
        <v>2187</v>
      </c>
      <c r="O122" s="121"/>
      <c r="P122" s="121"/>
      <c r="Q122" s="121"/>
      <c r="R122" s="132"/>
      <c r="S122" s="124"/>
    </row>
    <row r="123" spans="1:19">
      <c r="A123" s="119" t="s">
        <v>648</v>
      </c>
      <c r="B123" s="120" t="s">
        <v>2221</v>
      </c>
      <c r="C123" s="120" t="s">
        <v>153</v>
      </c>
      <c r="D123" s="121">
        <v>1</v>
      </c>
      <c r="E123" s="121">
        <v>1226154</v>
      </c>
      <c r="F123" s="120"/>
      <c r="G123" s="155">
        <v>57.03</v>
      </c>
      <c r="H123" s="120" t="s">
        <v>2186</v>
      </c>
      <c r="I123" s="121"/>
      <c r="J123" s="143">
        <v>46223</v>
      </c>
      <c r="K123" s="143">
        <v>46245</v>
      </c>
      <c r="L123" s="121">
        <f t="shared" si="6"/>
        <v>23</v>
      </c>
      <c r="M123" s="122">
        <f t="shared" si="7"/>
        <v>1311.69</v>
      </c>
      <c r="N123" s="120" t="s">
        <v>2187</v>
      </c>
      <c r="O123" s="121"/>
      <c r="P123" s="121"/>
      <c r="Q123" s="121"/>
      <c r="R123" s="132"/>
      <c r="S123" s="124"/>
    </row>
    <row r="124" spans="1:19">
      <c r="A124" s="119" t="s">
        <v>648</v>
      </c>
      <c r="B124" s="120" t="s">
        <v>675</v>
      </c>
      <c r="C124" s="120" t="s">
        <v>155</v>
      </c>
      <c r="D124" s="121">
        <v>1</v>
      </c>
      <c r="E124" s="121">
        <v>1276086</v>
      </c>
      <c r="F124" s="120"/>
      <c r="G124" s="155">
        <v>57.03</v>
      </c>
      <c r="H124" s="120" t="s">
        <v>2186</v>
      </c>
      <c r="I124" s="121"/>
      <c r="J124" s="143">
        <v>46223</v>
      </c>
      <c r="K124" s="143">
        <v>46245</v>
      </c>
      <c r="L124" s="121">
        <f t="shared" si="6"/>
        <v>23</v>
      </c>
      <c r="M124" s="122">
        <f t="shared" si="7"/>
        <v>1311.69</v>
      </c>
      <c r="N124" s="120" t="s">
        <v>2187</v>
      </c>
      <c r="O124" s="121"/>
      <c r="P124" s="121"/>
      <c r="Q124" s="121"/>
      <c r="R124" s="132"/>
      <c r="S124" s="124"/>
    </row>
    <row r="125" spans="1:19">
      <c r="A125" s="119" t="s">
        <v>648</v>
      </c>
      <c r="B125" s="120" t="s">
        <v>675</v>
      </c>
      <c r="C125" s="120" t="s">
        <v>155</v>
      </c>
      <c r="D125" s="121">
        <v>1</v>
      </c>
      <c r="E125" s="121">
        <v>1276093</v>
      </c>
      <c r="F125" s="120"/>
      <c r="G125" s="155">
        <v>57.03</v>
      </c>
      <c r="H125" s="120" t="s">
        <v>2186</v>
      </c>
      <c r="I125" s="121"/>
      <c r="J125" s="143">
        <v>46223</v>
      </c>
      <c r="K125" s="143">
        <v>46245</v>
      </c>
      <c r="L125" s="121">
        <f t="shared" si="6"/>
        <v>23</v>
      </c>
      <c r="M125" s="122">
        <f t="shared" si="7"/>
        <v>1311.69</v>
      </c>
      <c r="N125" s="120" t="s">
        <v>2187</v>
      </c>
      <c r="O125" s="121"/>
      <c r="P125" s="121"/>
      <c r="Q125" s="121"/>
      <c r="R125" s="132"/>
      <c r="S125" s="124"/>
    </row>
    <row r="126" spans="1:19">
      <c r="A126" s="119" t="s">
        <v>648</v>
      </c>
      <c r="B126" s="120" t="s">
        <v>676</v>
      </c>
      <c r="C126" s="120" t="s">
        <v>2222</v>
      </c>
      <c r="D126" s="121">
        <v>1</v>
      </c>
      <c r="E126" s="121">
        <v>1219222</v>
      </c>
      <c r="F126" s="120"/>
      <c r="G126" s="155">
        <v>57.03</v>
      </c>
      <c r="H126" s="120" t="s">
        <v>2186</v>
      </c>
      <c r="I126" s="121"/>
      <c r="J126" s="143">
        <v>46223</v>
      </c>
      <c r="K126" s="143">
        <v>46245</v>
      </c>
      <c r="L126" s="121">
        <f t="shared" ref="L126:L156" si="8">K126-J126+1</f>
        <v>23</v>
      </c>
      <c r="M126" s="122">
        <f t="shared" ref="M126:M156" si="9">D126*G126*L126</f>
        <v>1311.69</v>
      </c>
      <c r="N126" s="120" t="s">
        <v>2187</v>
      </c>
      <c r="O126" s="121"/>
      <c r="P126" s="121"/>
      <c r="Q126" s="121"/>
      <c r="R126" s="132"/>
      <c r="S126" s="124"/>
    </row>
    <row r="127" spans="1:19">
      <c r="A127" s="119" t="s">
        <v>648</v>
      </c>
      <c r="B127" s="120" t="s">
        <v>676</v>
      </c>
      <c r="C127" s="120" t="s">
        <v>2222</v>
      </c>
      <c r="D127" s="121">
        <v>1</v>
      </c>
      <c r="E127" s="121">
        <v>1219218</v>
      </c>
      <c r="F127" s="120"/>
      <c r="G127" s="155">
        <v>57.03</v>
      </c>
      <c r="H127" s="120" t="s">
        <v>2186</v>
      </c>
      <c r="I127" s="121"/>
      <c r="J127" s="143">
        <v>46223</v>
      </c>
      <c r="K127" s="143">
        <v>46245</v>
      </c>
      <c r="L127" s="121">
        <f t="shared" si="8"/>
        <v>23</v>
      </c>
      <c r="M127" s="122">
        <f t="shared" si="9"/>
        <v>1311.69</v>
      </c>
      <c r="N127" s="120" t="s">
        <v>2187</v>
      </c>
      <c r="O127" s="121"/>
      <c r="P127" s="121"/>
      <c r="Q127" s="121"/>
      <c r="R127" s="132"/>
      <c r="S127" s="124"/>
    </row>
    <row r="128" spans="1:19">
      <c r="A128" s="119" t="s">
        <v>2223</v>
      </c>
      <c r="B128" s="120" t="s">
        <v>671</v>
      </c>
      <c r="C128" s="120" t="s">
        <v>1920</v>
      </c>
      <c r="D128" s="236">
        <v>1</v>
      </c>
      <c r="E128" s="121">
        <v>1267952</v>
      </c>
      <c r="F128" s="120"/>
      <c r="G128" s="155">
        <v>391.95</v>
      </c>
      <c r="H128" s="120" t="s">
        <v>2186</v>
      </c>
      <c r="I128" s="121"/>
      <c r="J128" s="143">
        <v>46223</v>
      </c>
      <c r="K128" s="143">
        <v>46245</v>
      </c>
      <c r="L128" s="121">
        <f t="shared" si="8"/>
        <v>23</v>
      </c>
      <c r="M128" s="122">
        <f t="shared" si="9"/>
        <v>9014.85</v>
      </c>
      <c r="N128" s="120" t="s">
        <v>2187</v>
      </c>
      <c r="O128" s="121"/>
      <c r="P128" s="121"/>
      <c r="Q128" s="121"/>
      <c r="R128" s="132"/>
      <c r="S128" s="124"/>
    </row>
    <row r="129" spans="1:19">
      <c r="A129" s="119" t="s">
        <v>2223</v>
      </c>
      <c r="B129" s="120" t="s">
        <v>671</v>
      </c>
      <c r="C129" s="120" t="s">
        <v>1920</v>
      </c>
      <c r="D129" s="221">
        <v>1</v>
      </c>
      <c r="E129" s="121">
        <v>1267951</v>
      </c>
      <c r="F129" s="120"/>
      <c r="G129" s="155">
        <v>391.95</v>
      </c>
      <c r="H129" s="120" t="s">
        <v>2186</v>
      </c>
      <c r="I129" s="121"/>
      <c r="J129" s="143">
        <v>46223</v>
      </c>
      <c r="K129" s="143">
        <v>46245</v>
      </c>
      <c r="L129" s="121">
        <f t="shared" si="8"/>
        <v>23</v>
      </c>
      <c r="M129" s="122">
        <f t="shared" si="9"/>
        <v>9014.85</v>
      </c>
      <c r="N129" s="120" t="s">
        <v>2187</v>
      </c>
      <c r="O129" s="121"/>
      <c r="P129" s="121"/>
      <c r="Q129" s="121"/>
      <c r="R129" s="132"/>
      <c r="S129" s="124"/>
    </row>
    <row r="130" spans="1:19">
      <c r="A130" s="119" t="s">
        <v>2223</v>
      </c>
      <c r="B130" s="120" t="s">
        <v>661</v>
      </c>
      <c r="C130" s="120" t="s">
        <v>209</v>
      </c>
      <c r="D130" s="121">
        <v>1</v>
      </c>
      <c r="E130" s="121">
        <v>872940</v>
      </c>
      <c r="F130" s="120"/>
      <c r="G130" s="155">
        <v>13.48</v>
      </c>
      <c r="H130" s="120" t="s">
        <v>2186</v>
      </c>
      <c r="I130" s="121"/>
      <c r="J130" s="143">
        <v>46223</v>
      </c>
      <c r="K130" s="143">
        <v>46245</v>
      </c>
      <c r="L130" s="121">
        <f t="shared" si="8"/>
        <v>23</v>
      </c>
      <c r="M130" s="122">
        <f t="shared" si="9"/>
        <v>310.04000000000002</v>
      </c>
      <c r="N130" s="120" t="s">
        <v>2187</v>
      </c>
      <c r="O130" s="121"/>
      <c r="P130" s="121"/>
      <c r="Q130" s="121"/>
      <c r="R130" s="132"/>
      <c r="S130" s="124"/>
    </row>
    <row r="131" spans="1:19">
      <c r="A131" s="119" t="s">
        <v>2223</v>
      </c>
      <c r="B131" s="120" t="s">
        <v>2224</v>
      </c>
      <c r="C131" s="120" t="s">
        <v>1941</v>
      </c>
      <c r="D131" s="121">
        <v>1</v>
      </c>
      <c r="E131" s="121">
        <v>1203928</v>
      </c>
      <c r="F131" s="120"/>
      <c r="G131" s="155">
        <v>2.72</v>
      </c>
      <c r="H131" s="120" t="s">
        <v>2186</v>
      </c>
      <c r="I131" s="121"/>
      <c r="J131" s="143">
        <v>46223</v>
      </c>
      <c r="K131" s="143">
        <v>46245</v>
      </c>
      <c r="L131" s="121">
        <f t="shared" si="8"/>
        <v>23</v>
      </c>
      <c r="M131" s="122">
        <f t="shared" si="9"/>
        <v>62.56</v>
      </c>
      <c r="N131" s="120" t="s">
        <v>2187</v>
      </c>
      <c r="O131" s="121"/>
      <c r="P131" s="121"/>
      <c r="Q131" s="121"/>
      <c r="R131" s="132"/>
      <c r="S131" s="124"/>
    </row>
    <row r="132" spans="1:19">
      <c r="A132" s="119" t="s">
        <v>2223</v>
      </c>
      <c r="B132" s="120" t="s">
        <v>2225</v>
      </c>
      <c r="C132" s="120" t="s">
        <v>1942</v>
      </c>
      <c r="D132" s="121">
        <v>1</v>
      </c>
      <c r="E132" s="121">
        <v>1229501</v>
      </c>
      <c r="F132" s="120"/>
      <c r="G132" s="155">
        <v>3.88</v>
      </c>
      <c r="H132" s="120" t="s">
        <v>2186</v>
      </c>
      <c r="I132" s="121"/>
      <c r="J132" s="143">
        <v>46223</v>
      </c>
      <c r="K132" s="143">
        <v>46245</v>
      </c>
      <c r="L132" s="121">
        <f t="shared" si="8"/>
        <v>23</v>
      </c>
      <c r="M132" s="122">
        <f t="shared" si="9"/>
        <v>89.24</v>
      </c>
      <c r="N132" s="120" t="s">
        <v>2187</v>
      </c>
      <c r="O132" s="121"/>
      <c r="P132" s="121"/>
      <c r="Q132" s="121"/>
      <c r="R132" s="132"/>
      <c r="S132" s="124"/>
    </row>
    <row r="133" spans="1:19">
      <c r="A133" s="119" t="s">
        <v>2223</v>
      </c>
      <c r="B133" s="120" t="s">
        <v>2226</v>
      </c>
      <c r="C133" s="120" t="s">
        <v>1943</v>
      </c>
      <c r="D133" s="121">
        <v>1</v>
      </c>
      <c r="E133" s="121">
        <v>1229487</v>
      </c>
      <c r="F133" s="120"/>
      <c r="G133" s="155">
        <v>4.67</v>
      </c>
      <c r="H133" s="120" t="s">
        <v>2186</v>
      </c>
      <c r="I133" s="121"/>
      <c r="J133" s="143">
        <v>46223</v>
      </c>
      <c r="K133" s="143">
        <v>46245</v>
      </c>
      <c r="L133" s="121">
        <f t="shared" si="8"/>
        <v>23</v>
      </c>
      <c r="M133" s="122">
        <f t="shared" si="9"/>
        <v>107.41</v>
      </c>
      <c r="N133" s="120" t="s">
        <v>2187</v>
      </c>
      <c r="O133" s="121"/>
      <c r="P133" s="121"/>
      <c r="Q133" s="121"/>
      <c r="R133" s="132"/>
      <c r="S133" s="124"/>
    </row>
    <row r="134" spans="1:19">
      <c r="A134" s="119" t="s">
        <v>2223</v>
      </c>
      <c r="B134" s="120" t="s">
        <v>665</v>
      </c>
      <c r="C134" s="120" t="s">
        <v>225</v>
      </c>
      <c r="D134" s="121">
        <v>1</v>
      </c>
      <c r="E134" s="121">
        <v>1189634</v>
      </c>
      <c r="F134" s="120"/>
      <c r="G134" s="155">
        <v>16.62</v>
      </c>
      <c r="H134" s="120" t="s">
        <v>2186</v>
      </c>
      <c r="I134" s="121"/>
      <c r="J134" s="143">
        <v>46223</v>
      </c>
      <c r="K134" s="143">
        <v>46245</v>
      </c>
      <c r="L134" s="121">
        <f t="shared" si="8"/>
        <v>23</v>
      </c>
      <c r="M134" s="122">
        <f t="shared" si="9"/>
        <v>382.26000000000005</v>
      </c>
      <c r="N134" s="120" t="s">
        <v>2187</v>
      </c>
      <c r="O134" s="121"/>
      <c r="P134" s="121"/>
      <c r="Q134" s="121"/>
      <c r="R134" s="132"/>
      <c r="S134" s="124"/>
    </row>
    <row r="135" spans="1:19">
      <c r="A135" s="119" t="s">
        <v>2223</v>
      </c>
      <c r="B135" s="120" t="s">
        <v>665</v>
      </c>
      <c r="C135" s="120" t="s">
        <v>225</v>
      </c>
      <c r="D135" s="121">
        <v>1</v>
      </c>
      <c r="E135" s="121">
        <v>1090501</v>
      </c>
      <c r="F135" s="120"/>
      <c r="G135" s="155">
        <v>16.62</v>
      </c>
      <c r="H135" s="120" t="s">
        <v>2186</v>
      </c>
      <c r="I135" s="121"/>
      <c r="J135" s="143">
        <v>46223</v>
      </c>
      <c r="K135" s="143">
        <v>46245</v>
      </c>
      <c r="L135" s="121">
        <f t="shared" si="8"/>
        <v>23</v>
      </c>
      <c r="M135" s="122">
        <f t="shared" si="9"/>
        <v>382.26000000000005</v>
      </c>
      <c r="N135" s="120" t="s">
        <v>2187</v>
      </c>
      <c r="O135" s="121"/>
      <c r="P135" s="121"/>
      <c r="Q135" s="121"/>
      <c r="R135" s="132"/>
      <c r="S135" s="124"/>
    </row>
    <row r="136" spans="1:19">
      <c r="A136" s="119" t="s">
        <v>2223</v>
      </c>
      <c r="B136" s="120" t="s">
        <v>665</v>
      </c>
      <c r="C136" s="120" t="s">
        <v>225</v>
      </c>
      <c r="D136" s="121">
        <v>1</v>
      </c>
      <c r="E136" s="121">
        <v>1242856</v>
      </c>
      <c r="F136" s="120"/>
      <c r="G136" s="155">
        <v>16.62</v>
      </c>
      <c r="H136" s="120" t="s">
        <v>2186</v>
      </c>
      <c r="I136" s="121"/>
      <c r="J136" s="143">
        <v>46223</v>
      </c>
      <c r="K136" s="143">
        <v>46245</v>
      </c>
      <c r="L136" s="121">
        <f t="shared" si="8"/>
        <v>23</v>
      </c>
      <c r="M136" s="122">
        <f t="shared" si="9"/>
        <v>382.26000000000005</v>
      </c>
      <c r="N136" s="120" t="s">
        <v>2187</v>
      </c>
      <c r="O136" s="121"/>
      <c r="P136" s="121"/>
      <c r="Q136" s="121"/>
      <c r="R136" s="132"/>
      <c r="S136" s="124"/>
    </row>
    <row r="137" spans="1:19">
      <c r="A137" s="119" t="s">
        <v>2223</v>
      </c>
      <c r="B137" s="120" t="s">
        <v>2227</v>
      </c>
      <c r="C137" s="120" t="s">
        <v>710</v>
      </c>
      <c r="D137" s="121">
        <v>1</v>
      </c>
      <c r="E137" s="121">
        <v>1117098</v>
      </c>
      <c r="F137" s="120"/>
      <c r="G137" s="155">
        <v>67.41</v>
      </c>
      <c r="H137" s="120" t="s">
        <v>2186</v>
      </c>
      <c r="I137" s="121"/>
      <c r="J137" s="143">
        <v>46223</v>
      </c>
      <c r="K137" s="143">
        <v>46245</v>
      </c>
      <c r="L137" s="121">
        <f t="shared" si="8"/>
        <v>23</v>
      </c>
      <c r="M137" s="122">
        <f t="shared" si="9"/>
        <v>1550.4299999999998</v>
      </c>
      <c r="N137" s="120" t="s">
        <v>2187</v>
      </c>
      <c r="O137" s="121"/>
      <c r="P137" s="121"/>
      <c r="Q137" s="121"/>
      <c r="R137" s="132"/>
      <c r="S137" s="124"/>
    </row>
    <row r="138" spans="1:19">
      <c r="A138" s="119" t="s">
        <v>2223</v>
      </c>
      <c r="B138" s="120" t="s">
        <v>685</v>
      </c>
      <c r="C138" s="120" t="s">
        <v>2228</v>
      </c>
      <c r="D138" s="121">
        <v>1</v>
      </c>
      <c r="E138" s="121">
        <v>1172006</v>
      </c>
      <c r="F138" s="120"/>
      <c r="G138" s="155">
        <v>26.68</v>
      </c>
      <c r="H138" s="120" t="s">
        <v>2186</v>
      </c>
      <c r="I138" s="121"/>
      <c r="J138" s="143">
        <v>46223</v>
      </c>
      <c r="K138" s="143">
        <v>46245</v>
      </c>
      <c r="L138" s="121">
        <f t="shared" si="8"/>
        <v>23</v>
      </c>
      <c r="M138" s="122">
        <f t="shared" si="9"/>
        <v>613.64</v>
      </c>
      <c r="N138" s="120" t="s">
        <v>2187</v>
      </c>
      <c r="O138" s="121"/>
      <c r="P138" s="121"/>
      <c r="Q138" s="121"/>
      <c r="R138" s="132"/>
      <c r="S138" s="124"/>
    </row>
    <row r="139" spans="1:19">
      <c r="A139" s="119" t="s">
        <v>2223</v>
      </c>
      <c r="B139" s="120" t="s">
        <v>2229</v>
      </c>
      <c r="C139" s="120" t="s">
        <v>2230</v>
      </c>
      <c r="D139" s="121">
        <v>1</v>
      </c>
      <c r="E139" s="121">
        <v>1226186</v>
      </c>
      <c r="F139" s="120"/>
      <c r="G139" s="155">
        <v>149.5</v>
      </c>
      <c r="H139" s="120" t="s">
        <v>2186</v>
      </c>
      <c r="I139" s="121"/>
      <c r="J139" s="143">
        <v>46223</v>
      </c>
      <c r="K139" s="143">
        <v>46245</v>
      </c>
      <c r="L139" s="121">
        <f t="shared" si="8"/>
        <v>23</v>
      </c>
      <c r="M139" s="122">
        <f t="shared" si="9"/>
        <v>3438.5</v>
      </c>
      <c r="N139" s="120" t="s">
        <v>2187</v>
      </c>
      <c r="O139" s="121"/>
      <c r="P139" s="121"/>
      <c r="Q139" s="121"/>
      <c r="R139" s="132"/>
      <c r="S139" s="124"/>
    </row>
    <row r="140" spans="1:19">
      <c r="A140" s="119" t="s">
        <v>2223</v>
      </c>
      <c r="B140" s="120" t="s">
        <v>684</v>
      </c>
      <c r="C140" s="120" t="s">
        <v>156</v>
      </c>
      <c r="D140" s="121">
        <v>1</v>
      </c>
      <c r="E140" s="121">
        <v>1185159</v>
      </c>
      <c r="F140" s="120"/>
      <c r="G140" s="155">
        <v>31.11</v>
      </c>
      <c r="H140" s="120" t="s">
        <v>2186</v>
      </c>
      <c r="I140" s="121"/>
      <c r="J140" s="143">
        <v>46223</v>
      </c>
      <c r="K140" s="143">
        <v>46245</v>
      </c>
      <c r="L140" s="121">
        <f t="shared" si="8"/>
        <v>23</v>
      </c>
      <c r="M140" s="122">
        <f t="shared" si="9"/>
        <v>715.53</v>
      </c>
      <c r="N140" s="120" t="s">
        <v>2187</v>
      </c>
      <c r="O140" s="121"/>
      <c r="P140" s="121"/>
      <c r="Q140" s="121"/>
      <c r="R140" s="132"/>
      <c r="S140" s="124"/>
    </row>
    <row r="141" spans="1:19">
      <c r="A141" s="119" t="s">
        <v>2223</v>
      </c>
      <c r="B141" s="120" t="s">
        <v>2231</v>
      </c>
      <c r="C141" s="120" t="s">
        <v>2232</v>
      </c>
      <c r="D141" s="121">
        <v>1</v>
      </c>
      <c r="E141" s="121">
        <v>1288079</v>
      </c>
      <c r="F141" s="120"/>
      <c r="G141" s="155">
        <v>288.5</v>
      </c>
      <c r="H141" s="120" t="s">
        <v>2194</v>
      </c>
      <c r="I141" s="121"/>
      <c r="J141" s="143">
        <v>46223</v>
      </c>
      <c r="K141" s="143">
        <v>46245</v>
      </c>
      <c r="L141" s="121">
        <f t="shared" si="8"/>
        <v>23</v>
      </c>
      <c r="M141" s="122">
        <f t="shared" si="9"/>
        <v>6635.5</v>
      </c>
      <c r="N141" s="120" t="s">
        <v>2187</v>
      </c>
      <c r="O141" s="121"/>
      <c r="P141" s="121"/>
      <c r="Q141" s="121"/>
      <c r="R141" s="132"/>
      <c r="S141" s="124"/>
    </row>
    <row r="142" spans="1:19">
      <c r="A142" s="119" t="s">
        <v>2223</v>
      </c>
      <c r="B142" s="120" t="s">
        <v>2233</v>
      </c>
      <c r="C142" s="120" t="s">
        <v>2234</v>
      </c>
      <c r="D142" s="121">
        <v>1</v>
      </c>
      <c r="E142" s="121">
        <v>1282765</v>
      </c>
      <c r="F142" s="120"/>
      <c r="G142" s="155">
        <v>176.29</v>
      </c>
      <c r="H142" s="120" t="s">
        <v>2194</v>
      </c>
      <c r="I142" s="121"/>
      <c r="J142" s="143">
        <v>46223</v>
      </c>
      <c r="K142" s="143">
        <v>46245</v>
      </c>
      <c r="L142" s="121">
        <f t="shared" si="8"/>
        <v>23</v>
      </c>
      <c r="M142" s="122">
        <f t="shared" si="9"/>
        <v>4054.6699999999996</v>
      </c>
      <c r="N142" s="120" t="s">
        <v>2187</v>
      </c>
      <c r="O142" s="121"/>
      <c r="P142" s="121"/>
      <c r="Q142" s="121"/>
      <c r="R142" s="132"/>
      <c r="S142" s="124"/>
    </row>
    <row r="143" spans="1:19">
      <c r="A143" s="119" t="s">
        <v>2223</v>
      </c>
      <c r="B143" s="120" t="s">
        <v>683</v>
      </c>
      <c r="C143" s="120" t="s">
        <v>2168</v>
      </c>
      <c r="D143" s="121">
        <v>1</v>
      </c>
      <c r="E143" s="121">
        <v>1058029</v>
      </c>
      <c r="F143" s="120"/>
      <c r="G143" s="155">
        <v>6.74</v>
      </c>
      <c r="H143" s="120" t="s">
        <v>2186</v>
      </c>
      <c r="I143" s="121"/>
      <c r="J143" s="143">
        <v>46223</v>
      </c>
      <c r="K143" s="143">
        <v>46245</v>
      </c>
      <c r="L143" s="121">
        <f t="shared" si="8"/>
        <v>23</v>
      </c>
      <c r="M143" s="122">
        <f t="shared" si="9"/>
        <v>155.02000000000001</v>
      </c>
      <c r="N143" s="120" t="s">
        <v>2187</v>
      </c>
      <c r="O143" s="121"/>
      <c r="P143" s="121"/>
      <c r="Q143" s="121"/>
      <c r="R143" s="132"/>
      <c r="S143" s="124"/>
    </row>
    <row r="144" spans="1:19">
      <c r="A144" s="119" t="s">
        <v>2223</v>
      </c>
      <c r="B144" s="120" t="s">
        <v>683</v>
      </c>
      <c r="C144" s="120" t="s">
        <v>2168</v>
      </c>
      <c r="D144" s="121">
        <v>1</v>
      </c>
      <c r="E144" s="121">
        <v>1127069</v>
      </c>
      <c r="F144" s="120"/>
      <c r="G144" s="155">
        <v>6.74</v>
      </c>
      <c r="H144" s="120" t="s">
        <v>2186</v>
      </c>
      <c r="I144" s="121"/>
      <c r="J144" s="143">
        <v>46223</v>
      </c>
      <c r="K144" s="143">
        <v>46245</v>
      </c>
      <c r="L144" s="121">
        <f t="shared" si="8"/>
        <v>23</v>
      </c>
      <c r="M144" s="122">
        <f t="shared" si="9"/>
        <v>155.02000000000001</v>
      </c>
      <c r="N144" s="120" t="s">
        <v>2187</v>
      </c>
      <c r="O144" s="121"/>
      <c r="P144" s="121"/>
      <c r="Q144" s="121"/>
      <c r="R144" s="132"/>
      <c r="S144" s="124"/>
    </row>
    <row r="145" spans="1:19">
      <c r="A145" s="119" t="s">
        <v>2223</v>
      </c>
      <c r="B145" s="120" t="s">
        <v>682</v>
      </c>
      <c r="C145" s="120" t="s">
        <v>2235</v>
      </c>
      <c r="D145" s="221">
        <v>1</v>
      </c>
      <c r="E145" s="121">
        <v>1193145</v>
      </c>
      <c r="F145" s="120"/>
      <c r="G145" s="155">
        <v>70.52</v>
      </c>
      <c r="H145" s="120" t="s">
        <v>2186</v>
      </c>
      <c r="I145" s="121"/>
      <c r="J145" s="143">
        <v>46223</v>
      </c>
      <c r="K145" s="143">
        <v>46245</v>
      </c>
      <c r="L145" s="121">
        <f t="shared" si="8"/>
        <v>23</v>
      </c>
      <c r="M145" s="122">
        <f t="shared" si="9"/>
        <v>1621.9599999999998</v>
      </c>
      <c r="N145" s="120" t="s">
        <v>2187</v>
      </c>
      <c r="O145" s="121"/>
      <c r="P145" s="121"/>
      <c r="Q145" s="121"/>
      <c r="R145" s="132"/>
      <c r="S145" s="124"/>
    </row>
    <row r="146" spans="1:19">
      <c r="A146" s="119" t="s">
        <v>2223</v>
      </c>
      <c r="B146" s="120" t="s">
        <v>682</v>
      </c>
      <c r="C146" s="120" t="s">
        <v>2235</v>
      </c>
      <c r="D146" s="222">
        <v>1</v>
      </c>
      <c r="E146" s="121">
        <v>1288808</v>
      </c>
      <c r="F146" s="120"/>
      <c r="G146" s="155">
        <v>70.52</v>
      </c>
      <c r="H146" s="120" t="s">
        <v>2186</v>
      </c>
      <c r="I146" s="121"/>
      <c r="J146" s="143">
        <v>46223</v>
      </c>
      <c r="K146" s="143">
        <v>46245</v>
      </c>
      <c r="L146" s="121">
        <f t="shared" si="8"/>
        <v>23</v>
      </c>
      <c r="M146" s="122">
        <f t="shared" si="9"/>
        <v>1621.9599999999998</v>
      </c>
      <c r="N146" s="120" t="s">
        <v>2187</v>
      </c>
      <c r="O146" s="121"/>
      <c r="P146" s="121"/>
      <c r="Q146" s="121"/>
      <c r="R146" s="132"/>
      <c r="S146" s="124"/>
    </row>
    <row r="147" spans="1:19">
      <c r="A147" s="119" t="s">
        <v>2223</v>
      </c>
      <c r="B147" s="120" t="s">
        <v>2236</v>
      </c>
      <c r="C147" s="120" t="s">
        <v>2237</v>
      </c>
      <c r="D147" s="121">
        <v>1</v>
      </c>
      <c r="E147" s="121">
        <v>1231552</v>
      </c>
      <c r="F147" s="120"/>
      <c r="G147" s="155">
        <v>72.59</v>
      </c>
      <c r="H147" s="120" t="s">
        <v>2186</v>
      </c>
      <c r="I147" s="121"/>
      <c r="J147" s="143">
        <v>46223</v>
      </c>
      <c r="K147" s="143">
        <v>46245</v>
      </c>
      <c r="L147" s="121">
        <f t="shared" si="8"/>
        <v>23</v>
      </c>
      <c r="M147" s="122">
        <f t="shared" si="9"/>
        <v>1669.5700000000002</v>
      </c>
      <c r="N147" s="120" t="s">
        <v>2187</v>
      </c>
      <c r="O147" s="121"/>
      <c r="P147" s="121"/>
      <c r="Q147" s="121"/>
      <c r="R147" s="132"/>
      <c r="S147" s="124"/>
    </row>
    <row r="148" spans="1:19">
      <c r="A148" s="119" t="s">
        <v>690</v>
      </c>
      <c r="B148" s="120" t="s">
        <v>679</v>
      </c>
      <c r="C148" s="120" t="s">
        <v>2238</v>
      </c>
      <c r="D148" s="121">
        <v>1</v>
      </c>
      <c r="E148" s="121">
        <v>1257525</v>
      </c>
      <c r="F148" s="120"/>
      <c r="G148" s="155">
        <v>34.22</v>
      </c>
      <c r="H148" s="120" t="s">
        <v>2186</v>
      </c>
      <c r="I148" s="121"/>
      <c r="J148" s="143">
        <v>46223</v>
      </c>
      <c r="K148" s="143">
        <v>46245</v>
      </c>
      <c r="L148" s="121">
        <f t="shared" si="8"/>
        <v>23</v>
      </c>
      <c r="M148" s="122">
        <f t="shared" si="9"/>
        <v>787.06</v>
      </c>
      <c r="N148" s="120" t="s">
        <v>2187</v>
      </c>
      <c r="O148" s="121"/>
      <c r="P148" s="121"/>
      <c r="Q148" s="121"/>
      <c r="R148" s="132"/>
      <c r="S148" s="124"/>
    </row>
    <row r="149" spans="1:19">
      <c r="A149" s="119" t="s">
        <v>690</v>
      </c>
      <c r="B149" s="120" t="s">
        <v>679</v>
      </c>
      <c r="C149" s="120" t="s">
        <v>2238</v>
      </c>
      <c r="D149" s="121">
        <v>1</v>
      </c>
      <c r="E149" s="121">
        <v>1280188</v>
      </c>
      <c r="F149" s="120"/>
      <c r="G149" s="155">
        <v>34.22</v>
      </c>
      <c r="H149" s="120" t="s">
        <v>2186</v>
      </c>
      <c r="I149" s="121"/>
      <c r="J149" s="143">
        <v>46223</v>
      </c>
      <c r="K149" s="143">
        <v>46245</v>
      </c>
      <c r="L149" s="121">
        <f t="shared" si="8"/>
        <v>23</v>
      </c>
      <c r="M149" s="122">
        <f t="shared" si="9"/>
        <v>787.06</v>
      </c>
      <c r="N149" s="120" t="s">
        <v>2187</v>
      </c>
      <c r="O149" s="121"/>
      <c r="P149" s="121"/>
      <c r="Q149" s="121"/>
      <c r="R149" s="132"/>
      <c r="S149" s="124"/>
    </row>
    <row r="150" spans="1:19">
      <c r="A150" s="119" t="s">
        <v>690</v>
      </c>
      <c r="B150" s="120" t="s">
        <v>2239</v>
      </c>
      <c r="C150" s="120" t="s">
        <v>2240</v>
      </c>
      <c r="D150" s="121">
        <v>1</v>
      </c>
      <c r="E150" s="121">
        <v>1247956</v>
      </c>
      <c r="F150" s="120"/>
      <c r="G150" s="155">
        <v>57.03</v>
      </c>
      <c r="H150" s="120" t="s">
        <v>2186</v>
      </c>
      <c r="I150" s="121"/>
      <c r="J150" s="143">
        <v>46223</v>
      </c>
      <c r="K150" s="143">
        <v>46245</v>
      </c>
      <c r="L150" s="121">
        <f t="shared" si="8"/>
        <v>23</v>
      </c>
      <c r="M150" s="122">
        <f t="shared" si="9"/>
        <v>1311.69</v>
      </c>
      <c r="N150" s="120" t="s">
        <v>2187</v>
      </c>
      <c r="O150" s="121"/>
      <c r="P150" s="121"/>
      <c r="Q150" s="121"/>
      <c r="R150" s="132"/>
      <c r="S150" s="124"/>
    </row>
    <row r="151" spans="1:19">
      <c r="A151" s="119" t="s">
        <v>691</v>
      </c>
      <c r="B151" s="120" t="s">
        <v>680</v>
      </c>
      <c r="C151" s="120" t="s">
        <v>159</v>
      </c>
      <c r="D151" s="121">
        <v>1</v>
      </c>
      <c r="E151" s="121">
        <v>1096333</v>
      </c>
      <c r="F151" s="120"/>
      <c r="G151" s="155">
        <v>72.59</v>
      </c>
      <c r="H151" s="120" t="s">
        <v>2186</v>
      </c>
      <c r="I151" s="121"/>
      <c r="J151" s="143">
        <v>46223</v>
      </c>
      <c r="K151" s="143">
        <v>46245</v>
      </c>
      <c r="L151" s="121">
        <f t="shared" si="8"/>
        <v>23</v>
      </c>
      <c r="M151" s="122">
        <f t="shared" si="9"/>
        <v>1669.5700000000002</v>
      </c>
      <c r="N151" s="120" t="s">
        <v>2187</v>
      </c>
      <c r="O151" s="121"/>
      <c r="P151" s="121"/>
      <c r="Q151" s="121"/>
      <c r="R151" s="132"/>
      <c r="S151" s="124"/>
    </row>
    <row r="152" spans="1:19">
      <c r="A152" s="119" t="s">
        <v>691</v>
      </c>
      <c r="B152" s="120" t="s">
        <v>681</v>
      </c>
      <c r="C152" s="120" t="s">
        <v>146</v>
      </c>
      <c r="D152" s="121">
        <v>1</v>
      </c>
      <c r="E152" s="121">
        <v>1235626</v>
      </c>
      <c r="F152" s="120"/>
      <c r="G152" s="155">
        <v>72.59</v>
      </c>
      <c r="H152" s="120" t="s">
        <v>2186</v>
      </c>
      <c r="I152" s="121"/>
      <c r="J152" s="143">
        <v>46223</v>
      </c>
      <c r="K152" s="143">
        <v>46245</v>
      </c>
      <c r="L152" s="121">
        <f t="shared" si="8"/>
        <v>23</v>
      </c>
      <c r="M152" s="122">
        <f t="shared" si="9"/>
        <v>1669.5700000000002</v>
      </c>
      <c r="N152" s="120" t="s">
        <v>2187</v>
      </c>
      <c r="O152" s="121"/>
      <c r="P152" s="121"/>
      <c r="Q152" s="121"/>
      <c r="R152" s="132"/>
      <c r="S152" s="124"/>
    </row>
    <row r="153" spans="1:19">
      <c r="A153" s="119" t="s">
        <v>691</v>
      </c>
      <c r="B153" s="120" t="s">
        <v>681</v>
      </c>
      <c r="C153" s="120" t="s">
        <v>146</v>
      </c>
      <c r="D153" s="121">
        <v>1</v>
      </c>
      <c r="E153" s="121">
        <v>1235624</v>
      </c>
      <c r="F153" s="120"/>
      <c r="G153" s="155">
        <v>72.59</v>
      </c>
      <c r="H153" s="120" t="s">
        <v>2186</v>
      </c>
      <c r="I153" s="121"/>
      <c r="J153" s="143">
        <v>46223</v>
      </c>
      <c r="K153" s="143">
        <v>46245</v>
      </c>
      <c r="L153" s="121">
        <f t="shared" si="8"/>
        <v>23</v>
      </c>
      <c r="M153" s="122">
        <f t="shared" si="9"/>
        <v>1669.5700000000002</v>
      </c>
      <c r="N153" s="120" t="s">
        <v>2187</v>
      </c>
      <c r="O153" s="121"/>
      <c r="P153" s="121"/>
      <c r="Q153" s="121"/>
      <c r="R153" s="132"/>
      <c r="S153" s="124"/>
    </row>
    <row r="154" spans="1:19">
      <c r="A154" s="119" t="s">
        <v>691</v>
      </c>
      <c r="B154" s="120" t="s">
        <v>681</v>
      </c>
      <c r="C154" s="120" t="s">
        <v>146</v>
      </c>
      <c r="D154" s="121">
        <v>1</v>
      </c>
      <c r="E154" s="121">
        <v>1226045</v>
      </c>
      <c r="F154" s="120"/>
      <c r="G154" s="155">
        <v>72.59</v>
      </c>
      <c r="H154" s="120" t="s">
        <v>2186</v>
      </c>
      <c r="I154" s="121"/>
      <c r="J154" s="143">
        <v>46223</v>
      </c>
      <c r="K154" s="143">
        <v>46245</v>
      </c>
      <c r="L154" s="121">
        <f t="shared" si="8"/>
        <v>23</v>
      </c>
      <c r="M154" s="122">
        <f t="shared" si="9"/>
        <v>1669.5700000000002</v>
      </c>
      <c r="N154" s="120" t="s">
        <v>2187</v>
      </c>
      <c r="O154" s="121"/>
      <c r="P154" s="121"/>
      <c r="Q154" s="121"/>
      <c r="R154" s="132"/>
      <c r="S154" s="124"/>
    </row>
    <row r="155" spans="1:19">
      <c r="A155" s="119" t="s">
        <v>691</v>
      </c>
      <c r="B155" s="120" t="s">
        <v>681</v>
      </c>
      <c r="C155" s="120" t="s">
        <v>146</v>
      </c>
      <c r="D155" s="121">
        <v>1</v>
      </c>
      <c r="E155" s="121">
        <v>1226041</v>
      </c>
      <c r="F155" s="120"/>
      <c r="G155" s="155">
        <v>72.59</v>
      </c>
      <c r="H155" s="120" t="s">
        <v>2186</v>
      </c>
      <c r="I155" s="121"/>
      <c r="J155" s="143">
        <v>46223</v>
      </c>
      <c r="K155" s="143">
        <v>46245</v>
      </c>
      <c r="L155" s="121">
        <f t="shared" si="8"/>
        <v>23</v>
      </c>
      <c r="M155" s="122">
        <f t="shared" si="9"/>
        <v>1669.5700000000002</v>
      </c>
      <c r="N155" s="120" t="s">
        <v>2187</v>
      </c>
      <c r="O155" s="121"/>
      <c r="P155" s="121"/>
      <c r="Q155" s="121"/>
      <c r="R155" s="132"/>
      <c r="S155" s="124"/>
    </row>
    <row r="156" spans="1:19">
      <c r="A156" s="119" t="s">
        <v>691</v>
      </c>
      <c r="B156" s="120" t="s">
        <v>2241</v>
      </c>
      <c r="C156" s="120" t="s">
        <v>147</v>
      </c>
      <c r="D156" s="121">
        <v>1</v>
      </c>
      <c r="E156" s="121">
        <v>1235657</v>
      </c>
      <c r="F156" s="120"/>
      <c r="G156" s="155">
        <v>72.59</v>
      </c>
      <c r="H156" s="120" t="s">
        <v>2186</v>
      </c>
      <c r="I156" s="121"/>
      <c r="J156" s="143">
        <v>46223</v>
      </c>
      <c r="K156" s="143">
        <v>46245</v>
      </c>
      <c r="L156" s="121">
        <f t="shared" si="8"/>
        <v>23</v>
      </c>
      <c r="M156" s="122">
        <f t="shared" si="9"/>
        <v>1669.5700000000002</v>
      </c>
      <c r="N156" s="120" t="s">
        <v>2187</v>
      </c>
      <c r="O156" s="121"/>
      <c r="P156" s="121"/>
      <c r="Q156" s="121"/>
      <c r="R156" s="132"/>
      <c r="S156" s="124"/>
    </row>
    <row r="157" spans="1:19">
      <c r="A157" s="119" t="s">
        <v>691</v>
      </c>
      <c r="B157" s="120" t="s">
        <v>680</v>
      </c>
      <c r="C157" s="120" t="s">
        <v>3104</v>
      </c>
      <c r="D157" s="121">
        <v>1</v>
      </c>
      <c r="E157" s="121" t="s">
        <v>3135</v>
      </c>
      <c r="F157" s="120"/>
      <c r="G157" s="155">
        <v>72.59</v>
      </c>
      <c r="H157" s="120" t="s">
        <v>2186</v>
      </c>
      <c r="I157" s="121"/>
      <c r="J157" s="143">
        <v>46223</v>
      </c>
      <c r="K157" s="143">
        <v>46245</v>
      </c>
      <c r="L157" s="121">
        <f t="shared" ref="L157:L164" si="10">K157-J157+1</f>
        <v>23</v>
      </c>
      <c r="M157" s="122">
        <f t="shared" ref="M157:M164" si="11">D157*G157*L157</f>
        <v>1669.5700000000002</v>
      </c>
      <c r="N157" s="120" t="s">
        <v>621</v>
      </c>
      <c r="O157" s="121"/>
      <c r="P157" s="121"/>
      <c r="Q157" s="121"/>
      <c r="R157" s="132"/>
      <c r="S157" s="124"/>
    </row>
    <row r="158" spans="1:19">
      <c r="A158" s="119" t="s">
        <v>691</v>
      </c>
      <c r="B158" s="120" t="s">
        <v>680</v>
      </c>
      <c r="C158" s="120" t="s">
        <v>3105</v>
      </c>
      <c r="D158" s="121">
        <v>1</v>
      </c>
      <c r="E158" s="121" t="s">
        <v>3134</v>
      </c>
      <c r="F158" s="120"/>
      <c r="G158" s="155">
        <v>72.59</v>
      </c>
      <c r="H158" s="120" t="s">
        <v>2186</v>
      </c>
      <c r="I158" s="121"/>
      <c r="J158" s="143">
        <v>46223</v>
      </c>
      <c r="K158" s="143">
        <v>46245</v>
      </c>
      <c r="L158" s="121">
        <f t="shared" si="10"/>
        <v>23</v>
      </c>
      <c r="M158" s="122">
        <f t="shared" si="11"/>
        <v>1669.5700000000002</v>
      </c>
      <c r="N158" s="120" t="s">
        <v>621</v>
      </c>
      <c r="O158" s="121"/>
      <c r="P158" s="121"/>
      <c r="Q158" s="121"/>
      <c r="R158" s="132"/>
      <c r="S158" s="124"/>
    </row>
    <row r="159" spans="1:19">
      <c r="A159" s="119" t="s">
        <v>691</v>
      </c>
      <c r="B159" s="120" t="s">
        <v>3112</v>
      </c>
      <c r="C159" s="120" t="s">
        <v>3106</v>
      </c>
      <c r="D159" s="121">
        <v>1</v>
      </c>
      <c r="E159" s="121" t="s">
        <v>3138</v>
      </c>
      <c r="F159" s="120"/>
      <c r="G159" s="155">
        <v>72.59</v>
      </c>
      <c r="H159" s="120" t="s">
        <v>2186</v>
      </c>
      <c r="I159" s="121"/>
      <c r="J159" s="143">
        <v>46223</v>
      </c>
      <c r="K159" s="143">
        <v>46245</v>
      </c>
      <c r="L159" s="121">
        <f t="shared" si="10"/>
        <v>23</v>
      </c>
      <c r="M159" s="122">
        <f t="shared" si="11"/>
        <v>1669.5700000000002</v>
      </c>
      <c r="N159" s="120" t="s">
        <v>621</v>
      </c>
      <c r="O159" s="121"/>
      <c r="P159" s="121"/>
      <c r="Q159" s="121"/>
      <c r="R159" s="132"/>
      <c r="S159" s="124"/>
    </row>
    <row r="160" spans="1:19">
      <c r="A160" s="119" t="s">
        <v>691</v>
      </c>
      <c r="B160" s="120" t="s">
        <v>3112</v>
      </c>
      <c r="C160" s="120" t="s">
        <v>3107</v>
      </c>
      <c r="D160" s="121">
        <v>1</v>
      </c>
      <c r="E160" s="121" t="s">
        <v>3141</v>
      </c>
      <c r="F160" s="120"/>
      <c r="G160" s="155">
        <v>72.59</v>
      </c>
      <c r="H160" s="120" t="s">
        <v>2186</v>
      </c>
      <c r="I160" s="121"/>
      <c r="J160" s="143">
        <v>46223</v>
      </c>
      <c r="K160" s="143">
        <v>46245</v>
      </c>
      <c r="L160" s="121">
        <f t="shared" si="10"/>
        <v>23</v>
      </c>
      <c r="M160" s="122">
        <f t="shared" si="11"/>
        <v>1669.5700000000002</v>
      </c>
      <c r="N160" s="120" t="s">
        <v>621</v>
      </c>
      <c r="O160" s="121"/>
      <c r="P160" s="121"/>
      <c r="Q160" s="121"/>
      <c r="R160" s="132"/>
      <c r="S160" s="124"/>
    </row>
    <row r="161" spans="1:19">
      <c r="A161" s="119" t="s">
        <v>691</v>
      </c>
      <c r="B161" s="120" t="s">
        <v>680</v>
      </c>
      <c r="C161" s="120" t="s">
        <v>3108</v>
      </c>
      <c r="D161" s="121">
        <v>1</v>
      </c>
      <c r="E161" s="121" t="s">
        <v>3136</v>
      </c>
      <c r="F161" s="120"/>
      <c r="G161" s="155">
        <v>72.59</v>
      </c>
      <c r="H161" s="120" t="s">
        <v>2186</v>
      </c>
      <c r="I161" s="121"/>
      <c r="J161" s="143">
        <v>46223</v>
      </c>
      <c r="K161" s="143">
        <v>46245</v>
      </c>
      <c r="L161" s="121">
        <f t="shared" si="10"/>
        <v>23</v>
      </c>
      <c r="M161" s="122">
        <f t="shared" si="11"/>
        <v>1669.5700000000002</v>
      </c>
      <c r="N161" s="120" t="s">
        <v>621</v>
      </c>
      <c r="O161" s="121"/>
      <c r="P161" s="121"/>
      <c r="Q161" s="121"/>
      <c r="R161" s="132"/>
      <c r="S161" s="124"/>
    </row>
    <row r="162" spans="1:19">
      <c r="A162" s="119" t="s">
        <v>691</v>
      </c>
      <c r="B162" s="120" t="s">
        <v>3112</v>
      </c>
      <c r="C162" s="120" t="s">
        <v>3109</v>
      </c>
      <c r="D162" s="121">
        <v>1</v>
      </c>
      <c r="E162" s="121" t="s">
        <v>3140</v>
      </c>
      <c r="F162" s="120"/>
      <c r="G162" s="155">
        <v>72.59</v>
      </c>
      <c r="H162" s="120" t="s">
        <v>2186</v>
      </c>
      <c r="I162" s="121"/>
      <c r="J162" s="143">
        <v>46223</v>
      </c>
      <c r="K162" s="143">
        <v>46245</v>
      </c>
      <c r="L162" s="121">
        <f t="shared" si="10"/>
        <v>23</v>
      </c>
      <c r="M162" s="122">
        <f t="shared" si="11"/>
        <v>1669.5700000000002</v>
      </c>
      <c r="N162" s="120" t="s">
        <v>621</v>
      </c>
      <c r="O162" s="121"/>
      <c r="P162" s="121"/>
      <c r="Q162" s="121"/>
      <c r="R162" s="132"/>
      <c r="S162" s="124"/>
    </row>
    <row r="163" spans="1:19">
      <c r="A163" s="119" t="s">
        <v>691</v>
      </c>
      <c r="B163" s="120" t="s">
        <v>680</v>
      </c>
      <c r="C163" s="120" t="s">
        <v>3110</v>
      </c>
      <c r="D163" s="121">
        <v>1</v>
      </c>
      <c r="E163" s="121" t="s">
        <v>3137</v>
      </c>
      <c r="F163" s="120"/>
      <c r="G163" s="155">
        <v>72.59</v>
      </c>
      <c r="H163" s="120" t="s">
        <v>2186</v>
      </c>
      <c r="I163" s="121"/>
      <c r="J163" s="143">
        <v>46223</v>
      </c>
      <c r="K163" s="143">
        <v>46245</v>
      </c>
      <c r="L163" s="121">
        <f t="shared" si="10"/>
        <v>23</v>
      </c>
      <c r="M163" s="122">
        <f t="shared" si="11"/>
        <v>1669.5700000000002</v>
      </c>
      <c r="N163" s="120" t="s">
        <v>621</v>
      </c>
      <c r="O163" s="121"/>
      <c r="P163" s="121"/>
      <c r="Q163" s="121"/>
      <c r="R163" s="132"/>
      <c r="S163" s="124"/>
    </row>
    <row r="164" spans="1:19">
      <c r="A164" s="125" t="s">
        <v>691</v>
      </c>
      <c r="B164" s="120" t="s">
        <v>3112</v>
      </c>
      <c r="C164" s="126" t="s">
        <v>3111</v>
      </c>
      <c r="D164" s="127">
        <v>1</v>
      </c>
      <c r="E164" s="127" t="s">
        <v>3139</v>
      </c>
      <c r="F164" s="126"/>
      <c r="G164" s="156">
        <v>72.59</v>
      </c>
      <c r="H164" s="126" t="s">
        <v>2186</v>
      </c>
      <c r="I164" s="127"/>
      <c r="J164" s="153">
        <v>46223</v>
      </c>
      <c r="K164" s="153">
        <v>46245</v>
      </c>
      <c r="L164" s="127">
        <f t="shared" si="10"/>
        <v>23</v>
      </c>
      <c r="M164" s="128">
        <f t="shared" si="11"/>
        <v>1669.5700000000002</v>
      </c>
      <c r="N164" s="126" t="s">
        <v>621</v>
      </c>
      <c r="O164" s="127"/>
      <c r="P164" s="127"/>
      <c r="Q164" s="127"/>
      <c r="R164" s="133"/>
      <c r="S164" s="124"/>
    </row>
    <row r="165" spans="1:19" ht="12.6" thickBot="1"/>
    <row r="166" spans="1:19" ht="21.9" customHeight="1" thickBot="1">
      <c r="A166" s="134" t="s">
        <v>2243</v>
      </c>
    </row>
    <row r="167" spans="1:19" ht="24">
      <c r="A167" s="135" t="s">
        <v>549</v>
      </c>
      <c r="B167" s="136" t="s">
        <v>2244</v>
      </c>
      <c r="C167" s="137" t="s">
        <v>2245</v>
      </c>
      <c r="D167" s="138" t="s">
        <v>2246</v>
      </c>
    </row>
    <row r="168" spans="1:19">
      <c r="A168" s="144" t="s">
        <v>2242</v>
      </c>
      <c r="B168" s="145">
        <f t="shared" ref="B168:B177" si="12">COUNTIF($A$2:$A$164,A168)</f>
        <v>5</v>
      </c>
      <c r="C168" s="122">
        <f t="shared" ref="C168:C177" si="13">SUMPRODUCT(($A$2:$A$164=A168)*$D$2:$D$164*$G$2:$G$164)</f>
        <v>224.94</v>
      </c>
      <c r="D168" s="146">
        <f t="shared" ref="D168:D177" si="14">SUMIF($A$2:$A$164,A168,$M$2:$M$164)</f>
        <v>5173.619999999999</v>
      </c>
    </row>
    <row r="169" spans="1:19">
      <c r="A169" s="144" t="s">
        <v>688</v>
      </c>
      <c r="B169" s="145">
        <f t="shared" si="12"/>
        <v>8</v>
      </c>
      <c r="C169" s="122">
        <f t="shared" si="13"/>
        <v>1585.32</v>
      </c>
      <c r="D169" s="146">
        <f t="shared" si="14"/>
        <v>36462.36</v>
      </c>
    </row>
    <row r="170" spans="1:19">
      <c r="A170" s="144" t="s">
        <v>2188</v>
      </c>
      <c r="B170" s="145">
        <f t="shared" si="12"/>
        <v>7</v>
      </c>
      <c r="C170" s="122">
        <f t="shared" si="13"/>
        <v>414.82000000000005</v>
      </c>
      <c r="D170" s="146">
        <f t="shared" si="14"/>
        <v>9540.86</v>
      </c>
    </row>
    <row r="171" spans="1:19">
      <c r="A171" s="144" t="s">
        <v>2192</v>
      </c>
      <c r="B171" s="145">
        <f t="shared" si="12"/>
        <v>58</v>
      </c>
      <c r="C171" s="122">
        <f t="shared" si="13"/>
        <v>949.19000000000028</v>
      </c>
      <c r="D171" s="146">
        <f t="shared" si="14"/>
        <v>21831.370000000003</v>
      </c>
    </row>
    <row r="172" spans="1:19">
      <c r="A172" s="144" t="s">
        <v>2202</v>
      </c>
      <c r="B172" s="145">
        <f t="shared" si="12"/>
        <v>21</v>
      </c>
      <c r="C172" s="122">
        <f t="shared" si="13"/>
        <v>1525.0099999999998</v>
      </c>
      <c r="D172" s="146">
        <f t="shared" si="14"/>
        <v>35075.229999999996</v>
      </c>
    </row>
    <row r="173" spans="1:19">
      <c r="A173" s="144" t="s">
        <v>689</v>
      </c>
      <c r="B173" s="145">
        <f t="shared" si="12"/>
        <v>14</v>
      </c>
      <c r="C173" s="122">
        <f t="shared" si="13"/>
        <v>1540.3300000000002</v>
      </c>
      <c r="D173" s="146">
        <f t="shared" si="14"/>
        <v>35427.589999999997</v>
      </c>
    </row>
    <row r="174" spans="1:19">
      <c r="A174" s="144" t="s">
        <v>648</v>
      </c>
      <c r="B174" s="145">
        <f t="shared" si="12"/>
        <v>13</v>
      </c>
      <c r="C174" s="122">
        <f t="shared" si="13"/>
        <v>710.30999999999983</v>
      </c>
      <c r="D174" s="146">
        <f t="shared" si="14"/>
        <v>16337.130000000005</v>
      </c>
    </row>
    <row r="175" spans="1:19">
      <c r="A175" s="144" t="s">
        <v>2223</v>
      </c>
      <c r="B175" s="145">
        <f t="shared" si="12"/>
        <v>20</v>
      </c>
      <c r="C175" s="122">
        <f t="shared" si="13"/>
        <v>1825.1099999999997</v>
      </c>
      <c r="D175" s="146">
        <f t="shared" si="14"/>
        <v>41977.529999999992</v>
      </c>
    </row>
    <row r="176" spans="1:19">
      <c r="A176" s="144" t="s">
        <v>690</v>
      </c>
      <c r="B176" s="145">
        <f t="shared" si="12"/>
        <v>3</v>
      </c>
      <c r="C176" s="122">
        <f t="shared" si="13"/>
        <v>125.47</v>
      </c>
      <c r="D176" s="146">
        <f t="shared" si="14"/>
        <v>2885.81</v>
      </c>
    </row>
    <row r="177" spans="1:19">
      <c r="A177" s="144" t="s">
        <v>691</v>
      </c>
      <c r="B177" s="145">
        <f t="shared" si="12"/>
        <v>14</v>
      </c>
      <c r="C177" s="122">
        <f t="shared" si="13"/>
        <v>1016.2600000000003</v>
      </c>
      <c r="D177" s="146">
        <f t="shared" si="14"/>
        <v>23373.98</v>
      </c>
    </row>
    <row r="178" spans="1:19" ht="12.6" thickBot="1">
      <c r="A178" s="147" t="s">
        <v>619</v>
      </c>
      <c r="B178" s="148">
        <f>SUM(B168:B177)</f>
        <v>163</v>
      </c>
      <c r="C178" s="128">
        <f>SUM(C168:C177)</f>
        <v>9916.7599999999984</v>
      </c>
      <c r="D178" s="149">
        <f>SUM(D168:D177)</f>
        <v>228085.47999999998</v>
      </c>
    </row>
    <row r="179" spans="1:19" ht="5.25" customHeight="1" thickBot="1"/>
    <row r="180" spans="1:19" ht="30.75" customHeight="1" thickBot="1">
      <c r="A180" s="139" t="s">
        <v>2247</v>
      </c>
      <c r="B180" s="150"/>
      <c r="C180" s="150"/>
      <c r="D180" s="150"/>
      <c r="E180" s="150"/>
    </row>
    <row r="181" spans="1:19" s="118" customFormat="1" ht="24">
      <c r="A181" s="308" t="s">
        <v>128</v>
      </c>
      <c r="B181" s="311" t="s">
        <v>2248</v>
      </c>
      <c r="C181" s="311" t="s">
        <v>656</v>
      </c>
      <c r="D181" s="311" t="s">
        <v>636</v>
      </c>
      <c r="E181" s="311" t="s">
        <v>2249</v>
      </c>
      <c r="F181" s="312" t="s">
        <v>2403</v>
      </c>
      <c r="G181" s="312" t="s">
        <v>2404</v>
      </c>
      <c r="H181" s="157"/>
      <c r="J181" s="150"/>
      <c r="K181" s="150"/>
      <c r="L181" s="150"/>
      <c r="M181" s="150"/>
      <c r="N181" s="150"/>
      <c r="P181" s="150"/>
      <c r="Q181" s="150"/>
      <c r="R181" s="150"/>
      <c r="S181" s="150"/>
    </row>
    <row r="182" spans="1:19">
      <c r="A182" s="309" t="s">
        <v>2250</v>
      </c>
      <c r="B182" s="62" t="s">
        <v>2251</v>
      </c>
      <c r="C182" s="62" t="s">
        <v>707</v>
      </c>
      <c r="D182" s="62" t="s">
        <v>2252</v>
      </c>
      <c r="E182" s="62">
        <v>50</v>
      </c>
      <c r="F182" s="122">
        <v>2.0699999999999998</v>
      </c>
      <c r="G182" s="313">
        <f t="shared" ref="G182:G187" si="15">E182*F182</f>
        <v>103.49999999999999</v>
      </c>
    </row>
    <row r="183" spans="1:19">
      <c r="A183" s="309" t="s">
        <v>2250</v>
      </c>
      <c r="B183" s="62" t="s">
        <v>2253</v>
      </c>
      <c r="C183" s="62" t="s">
        <v>2254</v>
      </c>
      <c r="D183" s="62" t="s">
        <v>145</v>
      </c>
      <c r="E183" s="62">
        <v>40</v>
      </c>
      <c r="F183" s="122">
        <v>0.8</v>
      </c>
      <c r="G183" s="313">
        <f t="shared" si="15"/>
        <v>32</v>
      </c>
    </row>
    <row r="184" spans="1:19">
      <c r="A184" s="309" t="s">
        <v>2255</v>
      </c>
      <c r="B184" s="62" t="s">
        <v>2256</v>
      </c>
      <c r="C184" s="62" t="s">
        <v>706</v>
      </c>
      <c r="D184" s="62" t="s">
        <v>151</v>
      </c>
      <c r="E184" s="62">
        <v>70</v>
      </c>
      <c r="F184" s="122">
        <v>1.04</v>
      </c>
      <c r="G184" s="313">
        <f t="shared" si="15"/>
        <v>72.8</v>
      </c>
    </row>
    <row r="185" spans="1:19">
      <c r="A185" s="309" t="s">
        <v>2255</v>
      </c>
      <c r="B185" s="62" t="s">
        <v>150</v>
      </c>
      <c r="C185" s="62" t="s">
        <v>2257</v>
      </c>
      <c r="D185" s="62" t="s">
        <v>150</v>
      </c>
      <c r="E185" s="62">
        <v>8</v>
      </c>
      <c r="F185" s="122">
        <v>1.04</v>
      </c>
      <c r="G185" s="313">
        <f t="shared" si="15"/>
        <v>8.32</v>
      </c>
    </row>
    <row r="186" spans="1:19">
      <c r="A186" s="309" t="s">
        <v>2255</v>
      </c>
      <c r="B186" s="62" t="s">
        <v>152</v>
      </c>
      <c r="C186" s="62" t="s">
        <v>2258</v>
      </c>
      <c r="D186" s="62" t="s">
        <v>152</v>
      </c>
      <c r="E186" s="62">
        <v>8</v>
      </c>
      <c r="F186" s="122">
        <v>1.04</v>
      </c>
      <c r="G186" s="313">
        <f t="shared" si="15"/>
        <v>8.32</v>
      </c>
    </row>
    <row r="187" spans="1:19">
      <c r="A187" s="309" t="s">
        <v>2259</v>
      </c>
      <c r="B187" s="62" t="s">
        <v>2260</v>
      </c>
      <c r="C187" s="62" t="s">
        <v>686</v>
      </c>
      <c r="D187" s="62" t="s">
        <v>2261</v>
      </c>
      <c r="E187" s="62">
        <v>72</v>
      </c>
      <c r="F187" s="155">
        <v>12.81</v>
      </c>
      <c r="G187" s="155">
        <f t="shared" si="15"/>
        <v>922.32</v>
      </c>
    </row>
    <row r="188" spans="1:19">
      <c r="A188" s="309" t="s">
        <v>2259</v>
      </c>
      <c r="B188" s="62" t="s">
        <v>3080</v>
      </c>
      <c r="C188" s="62" t="s">
        <v>686</v>
      </c>
      <c r="D188" s="62" t="s">
        <v>2263</v>
      </c>
      <c r="E188" s="62">
        <v>104</v>
      </c>
      <c r="F188" s="121">
        <v>0</v>
      </c>
      <c r="G188" s="120">
        <v>0</v>
      </c>
    </row>
    <row r="189" spans="1:19" ht="12.6" thickBot="1">
      <c r="A189" s="310" t="s">
        <v>2264</v>
      </c>
      <c r="B189" s="62" t="s">
        <v>2265</v>
      </c>
      <c r="C189" s="62" t="s">
        <v>686</v>
      </c>
      <c r="D189" s="62" t="s">
        <v>2266</v>
      </c>
      <c r="E189" s="62">
        <v>30</v>
      </c>
      <c r="F189" s="155">
        <v>29.75</v>
      </c>
      <c r="G189" s="155">
        <f>E189*F189</f>
        <v>892.5</v>
      </c>
    </row>
    <row r="191" spans="1:19" ht="13.8">
      <c r="A191" t="s">
        <v>2405</v>
      </c>
    </row>
    <row r="193" spans="1:7" ht="13.8">
      <c r="A193" s="217" t="s">
        <v>3081</v>
      </c>
      <c r="B193" s="218"/>
      <c r="C193" s="219"/>
      <c r="D193" s="219"/>
      <c r="E193" s="218"/>
      <c r="F193" s="218"/>
      <c r="G193" s="219"/>
    </row>
  </sheetData>
  <pageMargins left="0.7" right="0.7" top="0.75" bottom="0.75" header="0.3" footer="0.3"/>
  <pageSetup paperSize="9"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A5940-FBA8-4343-B6E4-C0FA0C501C99}">
  <sheetPr>
    <tabColor rgb="FFFA4600"/>
  </sheetPr>
  <dimension ref="A1:H6"/>
  <sheetViews>
    <sheetView showGridLines="0" workbookViewId="0">
      <selection activeCell="P43" sqref="P43"/>
    </sheetView>
  </sheetViews>
  <sheetFormatPr defaultRowHeight="13.8"/>
  <cols>
    <col min="1" max="1" width="15.5" bestFit="1" customWidth="1"/>
    <col min="2" max="2" width="44.8984375" bestFit="1" customWidth="1"/>
    <col min="3" max="3" width="29.59765625" bestFit="1" customWidth="1"/>
    <col min="4" max="4" width="14.59765625" bestFit="1" customWidth="1"/>
    <col min="5" max="5" width="11.296875" bestFit="1" customWidth="1"/>
    <col min="6" max="6" width="7.19921875" bestFit="1" customWidth="1"/>
    <col min="7" max="7" width="14.09765625" bestFit="1" customWidth="1"/>
    <col min="8" max="8" width="31.69921875" bestFit="1" customWidth="1"/>
  </cols>
  <sheetData>
    <row r="1" spans="1:8" ht="24" customHeight="1">
      <c r="A1" s="220" t="s">
        <v>3084</v>
      </c>
      <c r="B1" s="209"/>
      <c r="C1" s="209"/>
      <c r="D1" s="209"/>
      <c r="E1" s="209"/>
      <c r="F1" s="209"/>
      <c r="G1" s="209"/>
      <c r="H1" s="209"/>
    </row>
    <row r="2" spans="1:8">
      <c r="A2" s="433" t="s">
        <v>3085</v>
      </c>
      <c r="B2" s="433"/>
      <c r="C2" s="433"/>
      <c r="D2" s="433"/>
      <c r="E2" s="433"/>
      <c r="F2" s="433"/>
      <c r="G2" s="433"/>
      <c r="H2" s="433"/>
    </row>
    <row r="3" spans="1:8">
      <c r="A3" s="434" t="s">
        <v>3086</v>
      </c>
      <c r="B3" s="435"/>
      <c r="C3" s="435"/>
      <c r="D3" s="435"/>
      <c r="E3" s="435"/>
      <c r="F3" s="435"/>
      <c r="G3" s="435"/>
      <c r="H3" s="436"/>
    </row>
    <row r="4" spans="1:8">
      <c r="A4" s="239" t="s">
        <v>635</v>
      </c>
      <c r="B4" s="240" t="s">
        <v>636</v>
      </c>
      <c r="C4" s="240" t="s">
        <v>656</v>
      </c>
      <c r="D4" s="240" t="s">
        <v>573</v>
      </c>
      <c r="E4" s="240" t="s">
        <v>0</v>
      </c>
      <c r="F4" s="240" t="s">
        <v>1</v>
      </c>
      <c r="G4" s="240" t="s">
        <v>3087</v>
      </c>
      <c r="H4" s="251" t="s">
        <v>2527</v>
      </c>
    </row>
    <row r="5" spans="1:8">
      <c r="A5" s="390" t="s">
        <v>3802</v>
      </c>
      <c r="B5" s="391" t="s">
        <v>3768</v>
      </c>
      <c r="C5" s="391" t="s">
        <v>3803</v>
      </c>
      <c r="D5" s="391" t="s">
        <v>2187</v>
      </c>
      <c r="E5" s="391" t="s">
        <v>2276</v>
      </c>
      <c r="F5" s="391" t="s">
        <v>2276</v>
      </c>
      <c r="G5" s="391" t="s">
        <v>2276</v>
      </c>
      <c r="H5" s="392" t="s">
        <v>3804</v>
      </c>
    </row>
    <row r="6" spans="1:8">
      <c r="A6" s="390" t="s">
        <v>3864</v>
      </c>
      <c r="B6" s="391" t="s">
        <v>3865</v>
      </c>
      <c r="C6" s="391" t="s">
        <v>3866</v>
      </c>
      <c r="D6" s="391" t="s">
        <v>2187</v>
      </c>
      <c r="E6" s="391" t="s">
        <v>2276</v>
      </c>
      <c r="F6" s="391" t="s">
        <v>2276</v>
      </c>
      <c r="G6" s="391" t="s">
        <v>2276</v>
      </c>
      <c r="H6" s="392" t="s">
        <v>3804</v>
      </c>
    </row>
  </sheetData>
  <mergeCells count="2">
    <mergeCell ref="A2:H2"/>
    <mergeCell ref="A3:H3"/>
  </mergeCells>
  <phoneticPr fontId="3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A4600"/>
  </sheetPr>
  <dimension ref="A1:B24"/>
  <sheetViews>
    <sheetView showGridLines="0" workbookViewId="0">
      <selection sqref="A1:B1"/>
    </sheetView>
  </sheetViews>
  <sheetFormatPr defaultColWidth="9" defaultRowHeight="11.4"/>
  <cols>
    <col min="1" max="1" width="34" style="69" customWidth="1"/>
    <col min="2" max="2" width="84.5" style="69" customWidth="1"/>
    <col min="3" max="16384" width="9" style="1"/>
  </cols>
  <sheetData>
    <row r="1" spans="1:2" ht="20.25" customHeight="1">
      <c r="A1" s="439" t="s">
        <v>2267</v>
      </c>
      <c r="B1" s="440"/>
    </row>
    <row r="2" spans="1:2" ht="20.25" customHeight="1" thickBot="1">
      <c r="A2" s="445" t="s">
        <v>2268</v>
      </c>
      <c r="B2" s="446"/>
    </row>
    <row r="3" spans="1:2" ht="20.25" customHeight="1" thickBot="1">
      <c r="A3" s="439" t="s">
        <v>2269</v>
      </c>
      <c r="B3" s="440"/>
    </row>
    <row r="4" spans="1:2" ht="20.25" customHeight="1" thickBot="1">
      <c r="A4" s="264" t="s">
        <v>2270</v>
      </c>
      <c r="B4" s="265" t="s">
        <v>2271</v>
      </c>
    </row>
    <row r="5" spans="1:2" ht="20.25" customHeight="1">
      <c r="A5" s="270" t="s">
        <v>2272</v>
      </c>
      <c r="B5" s="271" t="s">
        <v>2273</v>
      </c>
    </row>
    <row r="6" spans="1:2" ht="20.25" customHeight="1">
      <c r="A6" s="447" t="s">
        <v>2274</v>
      </c>
      <c r="B6" s="447"/>
    </row>
    <row r="7" spans="1:2" ht="20.25" customHeight="1">
      <c r="A7" s="447" t="s">
        <v>2275</v>
      </c>
      <c r="B7" s="447"/>
    </row>
    <row r="8" spans="1:2" ht="20.25" customHeight="1">
      <c r="A8" s="448" t="s">
        <v>2277</v>
      </c>
      <c r="B8" s="448"/>
    </row>
    <row r="9" spans="1:2" ht="20.25" customHeight="1">
      <c r="A9" s="447" t="s">
        <v>2278</v>
      </c>
      <c r="B9" s="447"/>
    </row>
    <row r="10" spans="1:2" ht="20.25" customHeight="1">
      <c r="A10" s="447" t="s">
        <v>2279</v>
      </c>
      <c r="B10" s="447"/>
    </row>
    <row r="11" spans="1:2" ht="20.25" customHeight="1">
      <c r="A11" s="447" t="s">
        <v>2280</v>
      </c>
      <c r="B11" s="447"/>
    </row>
    <row r="12" spans="1:2" ht="20.25" customHeight="1">
      <c r="A12" s="441" t="s">
        <v>2281</v>
      </c>
      <c r="B12" s="442"/>
    </row>
    <row r="13" spans="1:2" s="208" customFormat="1" ht="35.25" customHeight="1" thickBot="1">
      <c r="A13" s="443" t="s">
        <v>2282</v>
      </c>
      <c r="B13" s="444"/>
    </row>
    <row r="14" spans="1:2" s="208" customFormat="1" ht="39.75" customHeight="1" thickBot="1">
      <c r="A14" s="266" t="s">
        <v>2283</v>
      </c>
      <c r="B14" s="267" t="s">
        <v>2284</v>
      </c>
    </row>
    <row r="15" spans="1:2" s="208" customFormat="1" ht="35.25" customHeight="1" thickBot="1">
      <c r="A15" s="266" t="s">
        <v>2285</v>
      </c>
      <c r="B15" s="267" t="s">
        <v>2286</v>
      </c>
    </row>
    <row r="16" spans="1:2" s="208" customFormat="1" ht="35.25" customHeight="1" thickBot="1">
      <c r="A16" s="268" t="s">
        <v>2287</v>
      </c>
      <c r="B16" s="269" t="s">
        <v>2288</v>
      </c>
    </row>
    <row r="17" spans="1:2" s="208" customFormat="1" ht="35.25" customHeight="1" thickBot="1">
      <c r="A17" s="266" t="s">
        <v>2289</v>
      </c>
      <c r="B17" s="267" t="s">
        <v>2290</v>
      </c>
    </row>
    <row r="18" spans="1:2" s="208" customFormat="1" ht="35.25" customHeight="1" thickBot="1">
      <c r="A18" s="266" t="s">
        <v>2291</v>
      </c>
      <c r="B18" s="267" t="s">
        <v>2292</v>
      </c>
    </row>
    <row r="19" spans="1:2" s="208" customFormat="1" ht="35.25" customHeight="1" thickBot="1">
      <c r="A19" s="266" t="s">
        <v>2293</v>
      </c>
      <c r="B19" s="267" t="s">
        <v>2294</v>
      </c>
    </row>
    <row r="20" spans="1:2" s="208" customFormat="1" ht="35.25" customHeight="1" thickBot="1">
      <c r="A20" s="439" t="s">
        <v>2295</v>
      </c>
      <c r="B20" s="440"/>
    </row>
    <row r="21" spans="1:2" s="208" customFormat="1" ht="35.25" customHeight="1" thickBot="1">
      <c r="A21" s="266" t="s">
        <v>2296</v>
      </c>
      <c r="B21" s="267" t="s">
        <v>2297</v>
      </c>
    </row>
    <row r="22" spans="1:2" s="208" customFormat="1" ht="35.25" customHeight="1" thickBot="1">
      <c r="A22" s="266" t="s">
        <v>2298</v>
      </c>
      <c r="B22" s="267" t="s">
        <v>2299</v>
      </c>
    </row>
    <row r="23" spans="1:2" s="208" customFormat="1" ht="35.25" customHeight="1" thickBot="1">
      <c r="A23" s="266" t="s">
        <v>2300</v>
      </c>
      <c r="B23" s="267" t="s">
        <v>2301</v>
      </c>
    </row>
    <row r="24" spans="1:2" s="208" customFormat="1" ht="35.25" customHeight="1" thickBot="1">
      <c r="A24" s="437" t="s">
        <v>2302</v>
      </c>
      <c r="B24" s="438"/>
    </row>
  </sheetData>
  <mergeCells count="13">
    <mergeCell ref="A24:B24"/>
    <mergeCell ref="A1:B1"/>
    <mergeCell ref="A3:B3"/>
    <mergeCell ref="A12:B12"/>
    <mergeCell ref="A13:B13"/>
    <mergeCell ref="A20:B20"/>
    <mergeCell ref="A2:B2"/>
    <mergeCell ref="A7:B7"/>
    <mergeCell ref="A8:B8"/>
    <mergeCell ref="A9:B9"/>
    <mergeCell ref="A10:B10"/>
    <mergeCell ref="A11:B11"/>
    <mergeCell ref="A6:B6"/>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13422-3CCF-4F97-BB1F-70B402EE923E}">
  <sheetPr>
    <tabColor rgb="FFFA4600"/>
  </sheetPr>
  <dimension ref="A1:I706"/>
  <sheetViews>
    <sheetView showGridLines="0" workbookViewId="0">
      <pane ySplit="1" topLeftCell="A180" activePane="bottomLeft" state="frozen"/>
      <selection pane="bottomLeft" activeCell="F749" sqref="F749"/>
    </sheetView>
  </sheetViews>
  <sheetFormatPr defaultColWidth="8.69921875" defaultRowHeight="12"/>
  <cols>
    <col min="1" max="1" width="13.8984375" style="124" customWidth="1"/>
    <col min="2" max="2" width="28" style="124" customWidth="1"/>
    <col min="3" max="3" width="48" style="124" customWidth="1"/>
    <col min="4" max="5" width="12" style="130" customWidth="1"/>
    <col min="6" max="6" width="10" style="130" customWidth="1"/>
    <col min="7" max="7" width="13" style="130" customWidth="1"/>
    <col min="8" max="8" width="14" style="130" customWidth="1"/>
    <col min="9" max="9" width="14.8984375" style="130" customWidth="1"/>
    <col min="10" max="16384" width="8.69921875" style="124"/>
  </cols>
  <sheetData>
    <row r="1" spans="1:9" s="118" customFormat="1" ht="24">
      <c r="A1" s="115" t="s">
        <v>128</v>
      </c>
      <c r="B1" s="116" t="s">
        <v>656</v>
      </c>
      <c r="C1" s="116" t="s">
        <v>655</v>
      </c>
      <c r="D1" s="117" t="s">
        <v>654</v>
      </c>
      <c r="E1" s="117" t="s">
        <v>633</v>
      </c>
      <c r="F1" s="117" t="s">
        <v>629</v>
      </c>
      <c r="G1" s="117" t="s">
        <v>653</v>
      </c>
      <c r="H1" s="117" t="s">
        <v>652</v>
      </c>
      <c r="I1" s="131" t="s">
        <v>711</v>
      </c>
    </row>
    <row r="2" spans="1:9" hidden="1">
      <c r="A2" s="119" t="s">
        <v>712</v>
      </c>
      <c r="B2" s="120" t="s">
        <v>713</v>
      </c>
      <c r="C2" s="120" t="s">
        <v>204</v>
      </c>
      <c r="D2" s="121">
        <v>3</v>
      </c>
      <c r="E2" s="122">
        <v>18</v>
      </c>
      <c r="F2" s="121">
        <v>23</v>
      </c>
      <c r="G2" s="123">
        <v>0.4</v>
      </c>
      <c r="H2" s="122">
        <f t="shared" ref="H2:H65" si="0">D2*E2*F2*G2</f>
        <v>496.8</v>
      </c>
      <c r="I2" s="132" t="s">
        <v>714</v>
      </c>
    </row>
    <row r="3" spans="1:9" hidden="1">
      <c r="A3" s="119" t="s">
        <v>712</v>
      </c>
      <c r="B3" s="120" t="s">
        <v>715</v>
      </c>
      <c r="C3" s="120" t="s">
        <v>86</v>
      </c>
      <c r="D3" s="121">
        <v>6</v>
      </c>
      <c r="E3" s="122">
        <v>9</v>
      </c>
      <c r="F3" s="121">
        <v>23</v>
      </c>
      <c r="G3" s="123">
        <v>0.4</v>
      </c>
      <c r="H3" s="122">
        <f t="shared" si="0"/>
        <v>496.8</v>
      </c>
      <c r="I3" s="132" t="s">
        <v>714</v>
      </c>
    </row>
    <row r="4" spans="1:9" hidden="1">
      <c r="A4" s="119" t="s">
        <v>712</v>
      </c>
      <c r="B4" s="120" t="s">
        <v>716</v>
      </c>
      <c r="C4" s="120" t="s">
        <v>319</v>
      </c>
      <c r="D4" s="121">
        <v>3</v>
      </c>
      <c r="E4" s="122">
        <v>18</v>
      </c>
      <c r="F4" s="121">
        <v>23</v>
      </c>
      <c r="G4" s="123">
        <v>0.4</v>
      </c>
      <c r="H4" s="122">
        <f t="shared" si="0"/>
        <v>496.8</v>
      </c>
      <c r="I4" s="132" t="s">
        <v>714</v>
      </c>
    </row>
    <row r="5" spans="1:9" hidden="1">
      <c r="A5" s="119" t="s">
        <v>712</v>
      </c>
      <c r="B5" s="120" t="s">
        <v>717</v>
      </c>
      <c r="C5" s="120" t="s">
        <v>718</v>
      </c>
      <c r="D5" s="121">
        <v>7</v>
      </c>
      <c r="E5" s="122">
        <v>7.5</v>
      </c>
      <c r="F5" s="121">
        <v>23</v>
      </c>
      <c r="G5" s="123">
        <v>0.4</v>
      </c>
      <c r="H5" s="122">
        <f t="shared" si="0"/>
        <v>483</v>
      </c>
      <c r="I5" s="132" t="s">
        <v>714</v>
      </c>
    </row>
    <row r="6" spans="1:9" hidden="1">
      <c r="A6" s="119" t="s">
        <v>712</v>
      </c>
      <c r="B6" s="120" t="s">
        <v>719</v>
      </c>
      <c r="C6" s="120" t="s">
        <v>297</v>
      </c>
      <c r="D6" s="121">
        <v>7</v>
      </c>
      <c r="E6" s="122">
        <v>7</v>
      </c>
      <c r="F6" s="121">
        <v>23</v>
      </c>
      <c r="G6" s="123">
        <v>0.4</v>
      </c>
      <c r="H6" s="122">
        <f t="shared" si="0"/>
        <v>450.8</v>
      </c>
      <c r="I6" s="132" t="s">
        <v>714</v>
      </c>
    </row>
    <row r="7" spans="1:9" hidden="1">
      <c r="A7" s="119" t="s">
        <v>712</v>
      </c>
      <c r="B7" s="120" t="s">
        <v>720</v>
      </c>
      <c r="C7" s="120" t="s">
        <v>187</v>
      </c>
      <c r="D7" s="121">
        <v>2</v>
      </c>
      <c r="E7" s="122">
        <v>17.5</v>
      </c>
      <c r="F7" s="121">
        <v>23</v>
      </c>
      <c r="G7" s="123">
        <v>0.4</v>
      </c>
      <c r="H7" s="122">
        <f t="shared" si="0"/>
        <v>322</v>
      </c>
      <c r="I7" s="132" t="s">
        <v>714</v>
      </c>
    </row>
    <row r="8" spans="1:9" hidden="1">
      <c r="A8" s="119" t="s">
        <v>712</v>
      </c>
      <c r="B8" s="120" t="s">
        <v>721</v>
      </c>
      <c r="C8" s="120" t="s">
        <v>722</v>
      </c>
      <c r="D8" s="121">
        <v>5</v>
      </c>
      <c r="E8" s="122">
        <v>5.5</v>
      </c>
      <c r="F8" s="121">
        <v>23</v>
      </c>
      <c r="G8" s="123">
        <v>0.4</v>
      </c>
      <c r="H8" s="122">
        <f t="shared" si="0"/>
        <v>253</v>
      </c>
      <c r="I8" s="132" t="s">
        <v>714</v>
      </c>
    </row>
    <row r="9" spans="1:9" hidden="1">
      <c r="A9" s="119" t="s">
        <v>712</v>
      </c>
      <c r="B9" s="120" t="s">
        <v>723</v>
      </c>
      <c r="C9" s="120" t="s">
        <v>296</v>
      </c>
      <c r="D9" s="121">
        <v>3</v>
      </c>
      <c r="E9" s="122">
        <v>7</v>
      </c>
      <c r="F9" s="121">
        <v>23</v>
      </c>
      <c r="G9" s="123">
        <v>0.4</v>
      </c>
      <c r="H9" s="122">
        <f t="shared" si="0"/>
        <v>193.20000000000002</v>
      </c>
      <c r="I9" s="132" t="s">
        <v>714</v>
      </c>
    </row>
    <row r="10" spans="1:9" hidden="1">
      <c r="A10" s="119" t="s">
        <v>712</v>
      </c>
      <c r="B10" s="120" t="s">
        <v>724</v>
      </c>
      <c r="C10" s="120" t="s">
        <v>203</v>
      </c>
      <c r="D10" s="121">
        <v>1</v>
      </c>
      <c r="E10" s="122">
        <v>18</v>
      </c>
      <c r="F10" s="121">
        <v>23</v>
      </c>
      <c r="G10" s="123">
        <v>0.4</v>
      </c>
      <c r="H10" s="122">
        <f t="shared" si="0"/>
        <v>165.60000000000002</v>
      </c>
      <c r="I10" s="132" t="s">
        <v>714</v>
      </c>
    </row>
    <row r="11" spans="1:9" hidden="1">
      <c r="A11" s="119" t="s">
        <v>712</v>
      </c>
      <c r="B11" s="120" t="s">
        <v>725</v>
      </c>
      <c r="C11" s="120" t="s">
        <v>59</v>
      </c>
      <c r="D11" s="121">
        <v>15</v>
      </c>
      <c r="E11" s="122">
        <v>1</v>
      </c>
      <c r="F11" s="121">
        <v>23</v>
      </c>
      <c r="G11" s="123">
        <v>0.4</v>
      </c>
      <c r="H11" s="122">
        <f t="shared" si="0"/>
        <v>138</v>
      </c>
      <c r="I11" s="132" t="s">
        <v>714</v>
      </c>
    </row>
    <row r="12" spans="1:9" hidden="1">
      <c r="A12" s="119" t="s">
        <v>712</v>
      </c>
      <c r="B12" s="120" t="s">
        <v>726</v>
      </c>
      <c r="C12" s="120" t="s">
        <v>727</v>
      </c>
      <c r="D12" s="121">
        <v>2</v>
      </c>
      <c r="E12" s="122">
        <v>6</v>
      </c>
      <c r="F12" s="121">
        <v>23</v>
      </c>
      <c r="G12" s="123">
        <v>0.4</v>
      </c>
      <c r="H12" s="122">
        <f t="shared" si="0"/>
        <v>110.4</v>
      </c>
      <c r="I12" s="132" t="s">
        <v>714</v>
      </c>
    </row>
    <row r="13" spans="1:9" hidden="1">
      <c r="A13" s="119" t="s">
        <v>712</v>
      </c>
      <c r="B13" s="120" t="s">
        <v>728</v>
      </c>
      <c r="C13" s="120" t="s">
        <v>729</v>
      </c>
      <c r="D13" s="121">
        <v>2</v>
      </c>
      <c r="E13" s="122">
        <v>5.5</v>
      </c>
      <c r="F13" s="121">
        <v>23</v>
      </c>
      <c r="G13" s="123">
        <v>0.4</v>
      </c>
      <c r="H13" s="122">
        <f t="shared" si="0"/>
        <v>101.2</v>
      </c>
      <c r="I13" s="132" t="s">
        <v>714</v>
      </c>
    </row>
    <row r="14" spans="1:9" hidden="1">
      <c r="A14" s="119" t="s">
        <v>712</v>
      </c>
      <c r="B14" s="120" t="s">
        <v>730</v>
      </c>
      <c r="C14" s="120" t="s">
        <v>731</v>
      </c>
      <c r="D14" s="121">
        <v>2</v>
      </c>
      <c r="E14" s="122">
        <v>5.5</v>
      </c>
      <c r="F14" s="121">
        <v>23</v>
      </c>
      <c r="G14" s="123">
        <v>0.4</v>
      </c>
      <c r="H14" s="122">
        <f t="shared" si="0"/>
        <v>101.2</v>
      </c>
      <c r="I14" s="132" t="s">
        <v>714</v>
      </c>
    </row>
    <row r="15" spans="1:9" hidden="1">
      <c r="A15" s="119" t="s">
        <v>712</v>
      </c>
      <c r="B15" s="120" t="s">
        <v>732</v>
      </c>
      <c r="C15" s="120" t="s">
        <v>260</v>
      </c>
      <c r="D15" s="121">
        <v>28</v>
      </c>
      <c r="E15" s="122">
        <v>0.3</v>
      </c>
      <c r="F15" s="121">
        <v>23</v>
      </c>
      <c r="G15" s="123">
        <v>0.4</v>
      </c>
      <c r="H15" s="122">
        <f t="shared" si="0"/>
        <v>77.280000000000015</v>
      </c>
      <c r="I15" s="132" t="s">
        <v>714</v>
      </c>
    </row>
    <row r="16" spans="1:9" hidden="1">
      <c r="A16" s="119" t="s">
        <v>712</v>
      </c>
      <c r="B16" s="120" t="s">
        <v>733</v>
      </c>
      <c r="C16" s="120" t="s">
        <v>734</v>
      </c>
      <c r="D16" s="121">
        <v>1</v>
      </c>
      <c r="E16" s="122">
        <v>7.5</v>
      </c>
      <c r="F16" s="121">
        <v>23</v>
      </c>
      <c r="G16" s="123">
        <v>0.4</v>
      </c>
      <c r="H16" s="122">
        <f t="shared" si="0"/>
        <v>69</v>
      </c>
      <c r="I16" s="132" t="s">
        <v>714</v>
      </c>
    </row>
    <row r="17" spans="1:9" hidden="1">
      <c r="A17" s="119" t="s">
        <v>712</v>
      </c>
      <c r="B17" s="120" t="s">
        <v>735</v>
      </c>
      <c r="C17" s="120" t="s">
        <v>736</v>
      </c>
      <c r="D17" s="121">
        <v>1</v>
      </c>
      <c r="E17" s="122">
        <v>6</v>
      </c>
      <c r="F17" s="121">
        <v>23</v>
      </c>
      <c r="G17" s="123">
        <v>0.4</v>
      </c>
      <c r="H17" s="122">
        <f t="shared" si="0"/>
        <v>55.2</v>
      </c>
      <c r="I17" s="132" t="s">
        <v>714</v>
      </c>
    </row>
    <row r="18" spans="1:9" hidden="1">
      <c r="A18" s="119" t="s">
        <v>712</v>
      </c>
      <c r="B18" s="120" t="s">
        <v>737</v>
      </c>
      <c r="C18" s="120" t="s">
        <v>37</v>
      </c>
      <c r="D18" s="121">
        <v>2</v>
      </c>
      <c r="E18" s="122">
        <v>1.56</v>
      </c>
      <c r="F18" s="121">
        <v>23</v>
      </c>
      <c r="G18" s="123">
        <v>0.4</v>
      </c>
      <c r="H18" s="122">
        <f t="shared" si="0"/>
        <v>28.704000000000004</v>
      </c>
      <c r="I18" s="132" t="s">
        <v>714</v>
      </c>
    </row>
    <row r="19" spans="1:9" hidden="1">
      <c r="A19" s="119" t="s">
        <v>712</v>
      </c>
      <c r="B19" s="120" t="s">
        <v>738</v>
      </c>
      <c r="C19" s="120" t="s">
        <v>63</v>
      </c>
      <c r="D19" s="121">
        <v>3</v>
      </c>
      <c r="E19" s="122">
        <v>1</v>
      </c>
      <c r="F19" s="121">
        <v>23</v>
      </c>
      <c r="G19" s="123">
        <v>0.4</v>
      </c>
      <c r="H19" s="122">
        <f t="shared" si="0"/>
        <v>27.6</v>
      </c>
      <c r="I19" s="132" t="s">
        <v>714</v>
      </c>
    </row>
    <row r="20" spans="1:9" hidden="1">
      <c r="A20" s="119" t="s">
        <v>712</v>
      </c>
      <c r="B20" s="120" t="s">
        <v>739</v>
      </c>
      <c r="C20" s="120" t="s">
        <v>34</v>
      </c>
      <c r="D20" s="121">
        <v>2</v>
      </c>
      <c r="E20" s="122">
        <v>1</v>
      </c>
      <c r="F20" s="121">
        <v>23</v>
      </c>
      <c r="G20" s="123">
        <v>0.4</v>
      </c>
      <c r="H20" s="122">
        <f t="shared" si="0"/>
        <v>18.400000000000002</v>
      </c>
      <c r="I20" s="132" t="s">
        <v>714</v>
      </c>
    </row>
    <row r="21" spans="1:9" hidden="1">
      <c r="A21" s="119" t="s">
        <v>712</v>
      </c>
      <c r="B21" s="120" t="s">
        <v>740</v>
      </c>
      <c r="C21" s="120" t="s">
        <v>741</v>
      </c>
      <c r="D21" s="121">
        <v>1</v>
      </c>
      <c r="E21" s="122">
        <v>1</v>
      </c>
      <c r="F21" s="121">
        <v>23</v>
      </c>
      <c r="G21" s="123">
        <v>0.4</v>
      </c>
      <c r="H21" s="122">
        <f t="shared" si="0"/>
        <v>9.2000000000000011</v>
      </c>
      <c r="I21" s="132" t="s">
        <v>714</v>
      </c>
    </row>
    <row r="22" spans="1:9" hidden="1">
      <c r="A22" s="119" t="s">
        <v>712</v>
      </c>
      <c r="B22" s="120" t="s">
        <v>742</v>
      </c>
      <c r="C22" s="120" t="s">
        <v>743</v>
      </c>
      <c r="D22" s="121">
        <v>1</v>
      </c>
      <c r="E22" s="122">
        <v>1</v>
      </c>
      <c r="F22" s="121">
        <v>23</v>
      </c>
      <c r="G22" s="123">
        <v>0.4</v>
      </c>
      <c r="H22" s="122">
        <f t="shared" si="0"/>
        <v>9.2000000000000011</v>
      </c>
      <c r="I22" s="132" t="s">
        <v>714</v>
      </c>
    </row>
    <row r="23" spans="1:9" hidden="1">
      <c r="A23" s="119" t="s">
        <v>712</v>
      </c>
      <c r="B23" s="120" t="s">
        <v>744</v>
      </c>
      <c r="C23" s="120" t="s">
        <v>64</v>
      </c>
      <c r="D23" s="121">
        <v>3</v>
      </c>
      <c r="E23" s="122">
        <v>0.1</v>
      </c>
      <c r="F23" s="121">
        <v>23</v>
      </c>
      <c r="G23" s="123">
        <v>0.4</v>
      </c>
      <c r="H23" s="122">
        <f t="shared" si="0"/>
        <v>2.7600000000000007</v>
      </c>
      <c r="I23" s="132" t="s">
        <v>714</v>
      </c>
    </row>
    <row r="24" spans="1:9" hidden="1">
      <c r="A24" s="119" t="s">
        <v>712</v>
      </c>
      <c r="B24" s="120" t="s">
        <v>745</v>
      </c>
      <c r="C24" s="120" t="s">
        <v>746</v>
      </c>
      <c r="D24" s="121">
        <v>1</v>
      </c>
      <c r="E24" s="122">
        <v>0.1</v>
      </c>
      <c r="F24" s="121">
        <v>23</v>
      </c>
      <c r="G24" s="123">
        <v>0.4</v>
      </c>
      <c r="H24" s="122">
        <f t="shared" si="0"/>
        <v>0.92000000000000015</v>
      </c>
      <c r="I24" s="132" t="s">
        <v>714</v>
      </c>
    </row>
    <row r="25" spans="1:9" hidden="1">
      <c r="A25" s="119" t="s">
        <v>651</v>
      </c>
      <c r="B25" s="120" t="s">
        <v>747</v>
      </c>
      <c r="C25" s="120" t="s">
        <v>748</v>
      </c>
      <c r="D25" s="121">
        <v>46</v>
      </c>
      <c r="E25" s="122">
        <v>5</v>
      </c>
      <c r="F25" s="121">
        <v>23</v>
      </c>
      <c r="G25" s="123">
        <v>0.4</v>
      </c>
      <c r="H25" s="122">
        <f t="shared" si="0"/>
        <v>2116</v>
      </c>
      <c r="I25" s="132" t="s">
        <v>714</v>
      </c>
    </row>
    <row r="26" spans="1:9" hidden="1">
      <c r="A26" s="119" t="s">
        <v>651</v>
      </c>
      <c r="B26" s="120" t="s">
        <v>749</v>
      </c>
      <c r="C26" s="120" t="s">
        <v>93</v>
      </c>
      <c r="D26" s="121">
        <v>31</v>
      </c>
      <c r="E26" s="122">
        <v>7.13</v>
      </c>
      <c r="F26" s="121">
        <v>23</v>
      </c>
      <c r="G26" s="123">
        <v>0.4</v>
      </c>
      <c r="H26" s="122">
        <f t="shared" si="0"/>
        <v>2033.4759999999999</v>
      </c>
      <c r="I26" s="132" t="s">
        <v>714</v>
      </c>
    </row>
    <row r="27" spans="1:9" hidden="1">
      <c r="A27" s="119" t="s">
        <v>651</v>
      </c>
      <c r="B27" s="120" t="s">
        <v>750</v>
      </c>
      <c r="C27" s="120" t="s">
        <v>57</v>
      </c>
      <c r="D27" s="121">
        <v>27</v>
      </c>
      <c r="E27" s="122">
        <v>7</v>
      </c>
      <c r="F27" s="121">
        <v>23</v>
      </c>
      <c r="G27" s="123">
        <v>0.4</v>
      </c>
      <c r="H27" s="122">
        <f t="shared" si="0"/>
        <v>1738.8000000000002</v>
      </c>
      <c r="I27" s="132" t="s">
        <v>714</v>
      </c>
    </row>
    <row r="28" spans="1:9" hidden="1">
      <c r="A28" s="119" t="s">
        <v>651</v>
      </c>
      <c r="B28" s="120" t="s">
        <v>751</v>
      </c>
      <c r="C28" s="120" t="s">
        <v>161</v>
      </c>
      <c r="D28" s="121">
        <v>23</v>
      </c>
      <c r="E28" s="122">
        <v>7.5</v>
      </c>
      <c r="F28" s="121">
        <v>23</v>
      </c>
      <c r="G28" s="123">
        <v>0.4</v>
      </c>
      <c r="H28" s="122">
        <f t="shared" si="0"/>
        <v>1587</v>
      </c>
      <c r="I28" s="132" t="s">
        <v>714</v>
      </c>
    </row>
    <row r="29" spans="1:9" hidden="1">
      <c r="A29" s="119" t="s">
        <v>651</v>
      </c>
      <c r="B29" s="120" t="s">
        <v>752</v>
      </c>
      <c r="C29" s="120" t="s">
        <v>753</v>
      </c>
      <c r="D29" s="121">
        <v>3</v>
      </c>
      <c r="E29" s="122">
        <v>44.56</v>
      </c>
      <c r="F29" s="121">
        <v>23</v>
      </c>
      <c r="G29" s="123">
        <v>0.4</v>
      </c>
      <c r="H29" s="122">
        <f t="shared" si="0"/>
        <v>1229.8560000000002</v>
      </c>
      <c r="I29" s="132" t="s">
        <v>714</v>
      </c>
    </row>
    <row r="30" spans="1:9" hidden="1">
      <c r="A30" s="119" t="s">
        <v>651</v>
      </c>
      <c r="B30" s="120" t="s">
        <v>754</v>
      </c>
      <c r="C30" s="120" t="s">
        <v>42</v>
      </c>
      <c r="D30" s="121">
        <v>20</v>
      </c>
      <c r="E30" s="122">
        <v>5</v>
      </c>
      <c r="F30" s="121">
        <v>23</v>
      </c>
      <c r="G30" s="123">
        <v>0.4</v>
      </c>
      <c r="H30" s="122">
        <f t="shared" si="0"/>
        <v>920</v>
      </c>
      <c r="I30" s="132" t="s">
        <v>714</v>
      </c>
    </row>
    <row r="31" spans="1:9" hidden="1">
      <c r="A31" s="119" t="s">
        <v>651</v>
      </c>
      <c r="B31" s="120" t="s">
        <v>755</v>
      </c>
      <c r="C31" s="120" t="s">
        <v>220</v>
      </c>
      <c r="D31" s="121">
        <v>12</v>
      </c>
      <c r="E31" s="122">
        <v>7.13</v>
      </c>
      <c r="F31" s="121">
        <v>23</v>
      </c>
      <c r="G31" s="123">
        <v>0.4</v>
      </c>
      <c r="H31" s="122">
        <f t="shared" si="0"/>
        <v>787.15200000000004</v>
      </c>
      <c r="I31" s="132" t="s">
        <v>714</v>
      </c>
    </row>
    <row r="32" spans="1:9" hidden="1">
      <c r="A32" s="119" t="s">
        <v>651</v>
      </c>
      <c r="B32" s="120" t="s">
        <v>756</v>
      </c>
      <c r="C32" s="120" t="s">
        <v>36</v>
      </c>
      <c r="D32" s="121">
        <v>84</v>
      </c>
      <c r="E32" s="122">
        <v>1</v>
      </c>
      <c r="F32" s="121">
        <v>23</v>
      </c>
      <c r="G32" s="123">
        <v>0.4</v>
      </c>
      <c r="H32" s="122">
        <f t="shared" si="0"/>
        <v>772.80000000000007</v>
      </c>
      <c r="I32" s="132" t="s">
        <v>714</v>
      </c>
    </row>
    <row r="33" spans="1:9" hidden="1">
      <c r="A33" s="119" t="s">
        <v>651</v>
      </c>
      <c r="B33" s="120" t="s">
        <v>757</v>
      </c>
      <c r="C33" s="120" t="s">
        <v>52</v>
      </c>
      <c r="D33" s="121">
        <v>30</v>
      </c>
      <c r="E33" s="122">
        <v>2.5</v>
      </c>
      <c r="F33" s="121">
        <v>23</v>
      </c>
      <c r="G33" s="123">
        <v>0.4</v>
      </c>
      <c r="H33" s="122">
        <f t="shared" si="0"/>
        <v>690</v>
      </c>
      <c r="I33" s="132" t="s">
        <v>714</v>
      </c>
    </row>
    <row r="34" spans="1:9" hidden="1">
      <c r="A34" s="119" t="s">
        <v>651</v>
      </c>
      <c r="B34" s="120" t="s">
        <v>758</v>
      </c>
      <c r="C34" s="120" t="s">
        <v>85</v>
      </c>
      <c r="D34" s="121">
        <v>28</v>
      </c>
      <c r="E34" s="122">
        <v>2.5</v>
      </c>
      <c r="F34" s="121">
        <v>23</v>
      </c>
      <c r="G34" s="123">
        <v>0.4</v>
      </c>
      <c r="H34" s="122">
        <f t="shared" si="0"/>
        <v>644</v>
      </c>
      <c r="I34" s="132" t="s">
        <v>714</v>
      </c>
    </row>
    <row r="35" spans="1:9" hidden="1">
      <c r="A35" s="119" t="s">
        <v>651</v>
      </c>
      <c r="B35" s="120" t="s">
        <v>737</v>
      </c>
      <c r="C35" s="120" t="s">
        <v>37</v>
      </c>
      <c r="D35" s="121">
        <v>42</v>
      </c>
      <c r="E35" s="122">
        <v>1.56</v>
      </c>
      <c r="F35" s="121">
        <v>23</v>
      </c>
      <c r="G35" s="123">
        <v>0.4</v>
      </c>
      <c r="H35" s="122">
        <f t="shared" si="0"/>
        <v>602.78399999999999</v>
      </c>
      <c r="I35" s="132" t="s">
        <v>714</v>
      </c>
    </row>
    <row r="36" spans="1:9" hidden="1">
      <c r="A36" s="119" t="s">
        <v>651</v>
      </c>
      <c r="B36" s="120" t="s">
        <v>759</v>
      </c>
      <c r="C36" s="120" t="s">
        <v>647</v>
      </c>
      <c r="D36" s="121">
        <v>13</v>
      </c>
      <c r="E36" s="122">
        <v>5</v>
      </c>
      <c r="F36" s="121">
        <v>23</v>
      </c>
      <c r="G36" s="123">
        <v>0.4</v>
      </c>
      <c r="H36" s="122">
        <f t="shared" si="0"/>
        <v>598</v>
      </c>
      <c r="I36" s="132" t="s">
        <v>714</v>
      </c>
    </row>
    <row r="37" spans="1:9" hidden="1">
      <c r="A37" s="119" t="s">
        <v>651</v>
      </c>
      <c r="B37" s="120" t="s">
        <v>739</v>
      </c>
      <c r="C37" s="120" t="s">
        <v>34</v>
      </c>
      <c r="D37" s="121">
        <v>60</v>
      </c>
      <c r="E37" s="122">
        <v>1</v>
      </c>
      <c r="F37" s="121">
        <v>23</v>
      </c>
      <c r="G37" s="123">
        <v>0.4</v>
      </c>
      <c r="H37" s="122">
        <f t="shared" si="0"/>
        <v>552</v>
      </c>
      <c r="I37" s="132" t="s">
        <v>714</v>
      </c>
    </row>
    <row r="38" spans="1:9" hidden="1">
      <c r="A38" s="119" t="s">
        <v>651</v>
      </c>
      <c r="B38" s="120" t="s">
        <v>760</v>
      </c>
      <c r="C38" s="120" t="s">
        <v>113</v>
      </c>
      <c r="D38" s="121">
        <v>8</v>
      </c>
      <c r="E38" s="122">
        <v>7.5</v>
      </c>
      <c r="F38" s="121">
        <v>23</v>
      </c>
      <c r="G38" s="123">
        <v>0.4</v>
      </c>
      <c r="H38" s="122">
        <f t="shared" si="0"/>
        <v>552</v>
      </c>
      <c r="I38" s="132" t="s">
        <v>714</v>
      </c>
    </row>
    <row r="39" spans="1:9" hidden="1">
      <c r="A39" s="119" t="s">
        <v>651</v>
      </c>
      <c r="B39" s="120" t="s">
        <v>761</v>
      </c>
      <c r="C39" s="120" t="s">
        <v>762</v>
      </c>
      <c r="D39" s="121">
        <v>56</v>
      </c>
      <c r="E39" s="122">
        <v>1</v>
      </c>
      <c r="F39" s="121">
        <v>23</v>
      </c>
      <c r="G39" s="123">
        <v>0.4</v>
      </c>
      <c r="H39" s="122">
        <f t="shared" si="0"/>
        <v>515.20000000000005</v>
      </c>
      <c r="I39" s="132" t="s">
        <v>714</v>
      </c>
    </row>
    <row r="40" spans="1:9" hidden="1">
      <c r="A40" s="119" t="s">
        <v>651</v>
      </c>
      <c r="B40" s="120" t="s">
        <v>763</v>
      </c>
      <c r="C40" s="120" t="s">
        <v>71</v>
      </c>
      <c r="D40" s="121">
        <v>3</v>
      </c>
      <c r="E40" s="122">
        <v>18</v>
      </c>
      <c r="F40" s="121">
        <v>23</v>
      </c>
      <c r="G40" s="123">
        <v>0.4</v>
      </c>
      <c r="H40" s="122">
        <f t="shared" si="0"/>
        <v>496.8</v>
      </c>
      <c r="I40" s="132" t="s">
        <v>714</v>
      </c>
    </row>
    <row r="41" spans="1:9" hidden="1">
      <c r="A41" s="119" t="s">
        <v>651</v>
      </c>
      <c r="B41" s="120" t="s">
        <v>764</v>
      </c>
      <c r="C41" s="120" t="s">
        <v>223</v>
      </c>
      <c r="D41" s="121">
        <v>2</v>
      </c>
      <c r="E41" s="122">
        <v>26</v>
      </c>
      <c r="F41" s="121">
        <v>23</v>
      </c>
      <c r="G41" s="123">
        <v>0.4</v>
      </c>
      <c r="H41" s="122">
        <f t="shared" si="0"/>
        <v>478.40000000000003</v>
      </c>
      <c r="I41" s="132" t="s">
        <v>714</v>
      </c>
    </row>
    <row r="42" spans="1:9" hidden="1">
      <c r="A42" s="119" t="s">
        <v>651</v>
      </c>
      <c r="B42" s="120" t="s">
        <v>765</v>
      </c>
      <c r="C42" s="120" t="s">
        <v>649</v>
      </c>
      <c r="D42" s="121">
        <v>10</v>
      </c>
      <c r="E42" s="122">
        <v>5</v>
      </c>
      <c r="F42" s="121">
        <v>23</v>
      </c>
      <c r="G42" s="123">
        <v>0.4</v>
      </c>
      <c r="H42" s="122">
        <f t="shared" si="0"/>
        <v>460</v>
      </c>
      <c r="I42" s="132" t="s">
        <v>714</v>
      </c>
    </row>
    <row r="43" spans="1:9" hidden="1">
      <c r="A43" s="119" t="s">
        <v>651</v>
      </c>
      <c r="B43" s="120" t="s">
        <v>766</v>
      </c>
      <c r="C43" s="120" t="s">
        <v>33</v>
      </c>
      <c r="D43" s="121">
        <v>7</v>
      </c>
      <c r="E43" s="122">
        <v>7.13</v>
      </c>
      <c r="F43" s="121">
        <v>23</v>
      </c>
      <c r="G43" s="123">
        <v>0.4</v>
      </c>
      <c r="H43" s="122">
        <f t="shared" si="0"/>
        <v>459.17199999999997</v>
      </c>
      <c r="I43" s="132" t="s">
        <v>714</v>
      </c>
    </row>
    <row r="44" spans="1:9" hidden="1">
      <c r="A44" s="119" t="s">
        <v>651</v>
      </c>
      <c r="B44" s="120" t="s">
        <v>767</v>
      </c>
      <c r="C44" s="120" t="s">
        <v>165</v>
      </c>
      <c r="D44" s="121">
        <v>9</v>
      </c>
      <c r="E44" s="122">
        <v>5</v>
      </c>
      <c r="F44" s="121">
        <v>23</v>
      </c>
      <c r="G44" s="123">
        <v>0.4</v>
      </c>
      <c r="H44" s="122">
        <f t="shared" si="0"/>
        <v>414</v>
      </c>
      <c r="I44" s="132" t="s">
        <v>714</v>
      </c>
    </row>
    <row r="45" spans="1:9" hidden="1">
      <c r="A45" s="119" t="s">
        <v>651</v>
      </c>
      <c r="B45" s="120" t="s">
        <v>768</v>
      </c>
      <c r="C45" s="120" t="s">
        <v>769</v>
      </c>
      <c r="D45" s="121">
        <v>44</v>
      </c>
      <c r="E45" s="122">
        <v>1</v>
      </c>
      <c r="F45" s="121">
        <v>23</v>
      </c>
      <c r="G45" s="123">
        <v>0.4</v>
      </c>
      <c r="H45" s="122">
        <f t="shared" si="0"/>
        <v>404.8</v>
      </c>
      <c r="I45" s="132" t="s">
        <v>714</v>
      </c>
    </row>
    <row r="46" spans="1:9" hidden="1">
      <c r="A46" s="119" t="s">
        <v>651</v>
      </c>
      <c r="B46" s="120" t="s">
        <v>770</v>
      </c>
      <c r="C46" s="120" t="s">
        <v>20</v>
      </c>
      <c r="D46" s="121">
        <v>43</v>
      </c>
      <c r="E46" s="122">
        <v>1</v>
      </c>
      <c r="F46" s="121">
        <v>23</v>
      </c>
      <c r="G46" s="123">
        <v>0.4</v>
      </c>
      <c r="H46" s="122">
        <f t="shared" si="0"/>
        <v>395.6</v>
      </c>
      <c r="I46" s="132" t="s">
        <v>714</v>
      </c>
    </row>
    <row r="47" spans="1:9" hidden="1">
      <c r="A47" s="119" t="s">
        <v>651</v>
      </c>
      <c r="B47" s="120" t="s">
        <v>771</v>
      </c>
      <c r="C47" s="120" t="s">
        <v>772</v>
      </c>
      <c r="D47" s="121">
        <v>6</v>
      </c>
      <c r="E47" s="122">
        <v>7</v>
      </c>
      <c r="F47" s="121">
        <v>23</v>
      </c>
      <c r="G47" s="123">
        <v>0.4</v>
      </c>
      <c r="H47" s="122">
        <f t="shared" si="0"/>
        <v>386.40000000000003</v>
      </c>
      <c r="I47" s="132" t="s">
        <v>714</v>
      </c>
    </row>
    <row r="48" spans="1:9" hidden="1">
      <c r="A48" s="119" t="s">
        <v>651</v>
      </c>
      <c r="B48" s="120" t="s">
        <v>773</v>
      </c>
      <c r="C48" s="120" t="s">
        <v>774</v>
      </c>
      <c r="D48" s="121">
        <v>8</v>
      </c>
      <c r="E48" s="122">
        <v>5</v>
      </c>
      <c r="F48" s="121">
        <v>23</v>
      </c>
      <c r="G48" s="123">
        <v>0.4</v>
      </c>
      <c r="H48" s="122">
        <f t="shared" si="0"/>
        <v>368</v>
      </c>
      <c r="I48" s="132" t="s">
        <v>714</v>
      </c>
    </row>
    <row r="49" spans="1:9" hidden="1">
      <c r="A49" s="119" t="s">
        <v>651</v>
      </c>
      <c r="B49" s="120" t="s">
        <v>775</v>
      </c>
      <c r="C49" s="120" t="s">
        <v>44</v>
      </c>
      <c r="D49" s="121">
        <v>7</v>
      </c>
      <c r="E49" s="122">
        <v>5.5</v>
      </c>
      <c r="F49" s="121">
        <v>23</v>
      </c>
      <c r="G49" s="123">
        <v>0.4</v>
      </c>
      <c r="H49" s="122">
        <f t="shared" si="0"/>
        <v>354.20000000000005</v>
      </c>
      <c r="I49" s="132" t="s">
        <v>714</v>
      </c>
    </row>
    <row r="50" spans="1:9" hidden="1">
      <c r="A50" s="119" t="s">
        <v>651</v>
      </c>
      <c r="B50" s="120" t="s">
        <v>776</v>
      </c>
      <c r="C50" s="120" t="s">
        <v>777</v>
      </c>
      <c r="D50" s="121">
        <v>7</v>
      </c>
      <c r="E50" s="122">
        <v>5</v>
      </c>
      <c r="F50" s="121">
        <v>23</v>
      </c>
      <c r="G50" s="123">
        <v>0.4</v>
      </c>
      <c r="H50" s="122">
        <f t="shared" si="0"/>
        <v>322</v>
      </c>
      <c r="I50" s="132" t="s">
        <v>714</v>
      </c>
    </row>
    <row r="51" spans="1:9" hidden="1">
      <c r="A51" s="119" t="s">
        <v>651</v>
      </c>
      <c r="B51" s="120" t="s">
        <v>778</v>
      </c>
      <c r="C51" s="120" t="s">
        <v>318</v>
      </c>
      <c r="D51" s="121">
        <v>6</v>
      </c>
      <c r="E51" s="122">
        <v>5</v>
      </c>
      <c r="F51" s="121">
        <v>23</v>
      </c>
      <c r="G51" s="123">
        <v>0.4</v>
      </c>
      <c r="H51" s="122">
        <f t="shared" si="0"/>
        <v>276</v>
      </c>
      <c r="I51" s="132" t="s">
        <v>714</v>
      </c>
    </row>
    <row r="52" spans="1:9" hidden="1">
      <c r="A52" s="119" t="s">
        <v>651</v>
      </c>
      <c r="B52" s="120" t="s">
        <v>779</v>
      </c>
      <c r="C52" s="120" t="s">
        <v>219</v>
      </c>
      <c r="D52" s="121">
        <v>4</v>
      </c>
      <c r="E52" s="122">
        <v>7.13</v>
      </c>
      <c r="F52" s="121">
        <v>23</v>
      </c>
      <c r="G52" s="123">
        <v>0.4</v>
      </c>
      <c r="H52" s="122">
        <f t="shared" si="0"/>
        <v>262.38400000000001</v>
      </c>
      <c r="I52" s="132" t="s">
        <v>714</v>
      </c>
    </row>
    <row r="53" spans="1:9" hidden="1">
      <c r="A53" s="119" t="s">
        <v>651</v>
      </c>
      <c r="B53" s="120" t="s">
        <v>780</v>
      </c>
      <c r="C53" s="120" t="s">
        <v>224</v>
      </c>
      <c r="D53" s="121">
        <v>1</v>
      </c>
      <c r="E53" s="122">
        <v>26</v>
      </c>
      <c r="F53" s="121">
        <v>23</v>
      </c>
      <c r="G53" s="123">
        <v>0.4</v>
      </c>
      <c r="H53" s="122">
        <f t="shared" si="0"/>
        <v>239.20000000000002</v>
      </c>
      <c r="I53" s="132" t="s">
        <v>714</v>
      </c>
    </row>
    <row r="54" spans="1:9" hidden="1">
      <c r="A54" s="119" t="s">
        <v>651</v>
      </c>
      <c r="B54" s="120" t="s">
        <v>781</v>
      </c>
      <c r="C54" s="120" t="s">
        <v>39</v>
      </c>
      <c r="D54" s="121">
        <v>5</v>
      </c>
      <c r="E54" s="122">
        <v>5</v>
      </c>
      <c r="F54" s="121">
        <v>23</v>
      </c>
      <c r="G54" s="123">
        <v>0.4</v>
      </c>
      <c r="H54" s="122">
        <f t="shared" si="0"/>
        <v>230</v>
      </c>
      <c r="I54" s="132" t="s">
        <v>714</v>
      </c>
    </row>
    <row r="55" spans="1:9" hidden="1">
      <c r="A55" s="119" t="s">
        <v>651</v>
      </c>
      <c r="B55" s="120" t="s">
        <v>782</v>
      </c>
      <c r="C55" s="120" t="s">
        <v>783</v>
      </c>
      <c r="D55" s="121">
        <v>5</v>
      </c>
      <c r="E55" s="122">
        <v>5</v>
      </c>
      <c r="F55" s="121">
        <v>23</v>
      </c>
      <c r="G55" s="123">
        <v>0.4</v>
      </c>
      <c r="H55" s="122">
        <f t="shared" si="0"/>
        <v>230</v>
      </c>
      <c r="I55" s="132" t="s">
        <v>714</v>
      </c>
    </row>
    <row r="56" spans="1:9" hidden="1">
      <c r="A56" s="119" t="s">
        <v>651</v>
      </c>
      <c r="B56" s="120" t="s">
        <v>784</v>
      </c>
      <c r="C56" s="120" t="s">
        <v>245</v>
      </c>
      <c r="D56" s="121">
        <v>4</v>
      </c>
      <c r="E56" s="122">
        <v>6</v>
      </c>
      <c r="F56" s="121">
        <v>23</v>
      </c>
      <c r="G56" s="123">
        <v>0.4</v>
      </c>
      <c r="H56" s="122">
        <f t="shared" si="0"/>
        <v>220.8</v>
      </c>
      <c r="I56" s="132" t="s">
        <v>714</v>
      </c>
    </row>
    <row r="57" spans="1:9" hidden="1">
      <c r="A57" s="119" t="s">
        <v>651</v>
      </c>
      <c r="B57" s="120" t="s">
        <v>785</v>
      </c>
      <c r="C57" s="120" t="s">
        <v>185</v>
      </c>
      <c r="D57" s="121">
        <v>4</v>
      </c>
      <c r="E57" s="122">
        <v>5</v>
      </c>
      <c r="F57" s="121">
        <v>23</v>
      </c>
      <c r="G57" s="123">
        <v>0.4</v>
      </c>
      <c r="H57" s="122">
        <f t="shared" si="0"/>
        <v>184</v>
      </c>
      <c r="I57" s="132" t="s">
        <v>714</v>
      </c>
    </row>
    <row r="58" spans="1:9" hidden="1">
      <c r="A58" s="119" t="s">
        <v>651</v>
      </c>
      <c r="B58" s="120" t="s">
        <v>786</v>
      </c>
      <c r="C58" s="120" t="s">
        <v>787</v>
      </c>
      <c r="D58" s="121">
        <v>4</v>
      </c>
      <c r="E58" s="122">
        <v>5</v>
      </c>
      <c r="F58" s="121">
        <v>23</v>
      </c>
      <c r="G58" s="123">
        <v>0.4</v>
      </c>
      <c r="H58" s="122">
        <f t="shared" si="0"/>
        <v>184</v>
      </c>
      <c r="I58" s="132" t="s">
        <v>714</v>
      </c>
    </row>
    <row r="59" spans="1:9" hidden="1">
      <c r="A59" s="119" t="s">
        <v>651</v>
      </c>
      <c r="B59" s="120" t="s">
        <v>788</v>
      </c>
      <c r="C59" s="120" t="s">
        <v>317</v>
      </c>
      <c r="D59" s="121">
        <v>4</v>
      </c>
      <c r="E59" s="122">
        <v>5</v>
      </c>
      <c r="F59" s="121">
        <v>23</v>
      </c>
      <c r="G59" s="123">
        <v>0.4</v>
      </c>
      <c r="H59" s="122">
        <f t="shared" si="0"/>
        <v>184</v>
      </c>
      <c r="I59" s="132" t="s">
        <v>714</v>
      </c>
    </row>
    <row r="60" spans="1:9" hidden="1">
      <c r="A60" s="119" t="s">
        <v>651</v>
      </c>
      <c r="B60" s="120" t="s">
        <v>789</v>
      </c>
      <c r="C60" s="120" t="s">
        <v>650</v>
      </c>
      <c r="D60" s="121">
        <v>7</v>
      </c>
      <c r="E60" s="122">
        <v>2.5</v>
      </c>
      <c r="F60" s="121">
        <v>23</v>
      </c>
      <c r="G60" s="123">
        <v>0.4</v>
      </c>
      <c r="H60" s="122">
        <f t="shared" si="0"/>
        <v>161</v>
      </c>
      <c r="I60" s="132" t="s">
        <v>714</v>
      </c>
    </row>
    <row r="61" spans="1:9" hidden="1">
      <c r="A61" s="119" t="s">
        <v>651</v>
      </c>
      <c r="B61" s="120" t="s">
        <v>790</v>
      </c>
      <c r="C61" s="120" t="s">
        <v>791</v>
      </c>
      <c r="D61" s="121">
        <v>3</v>
      </c>
      <c r="E61" s="122">
        <v>5</v>
      </c>
      <c r="F61" s="121">
        <v>23</v>
      </c>
      <c r="G61" s="123">
        <v>0.4</v>
      </c>
      <c r="H61" s="122">
        <f t="shared" si="0"/>
        <v>138</v>
      </c>
      <c r="I61" s="132" t="s">
        <v>714</v>
      </c>
    </row>
    <row r="62" spans="1:9" hidden="1">
      <c r="A62" s="119" t="s">
        <v>651</v>
      </c>
      <c r="B62" s="120" t="s">
        <v>792</v>
      </c>
      <c r="C62" s="120" t="s">
        <v>793</v>
      </c>
      <c r="D62" s="121">
        <v>3</v>
      </c>
      <c r="E62" s="122">
        <v>5</v>
      </c>
      <c r="F62" s="121">
        <v>23</v>
      </c>
      <c r="G62" s="123">
        <v>0.4</v>
      </c>
      <c r="H62" s="122">
        <f t="shared" si="0"/>
        <v>138</v>
      </c>
      <c r="I62" s="132" t="s">
        <v>714</v>
      </c>
    </row>
    <row r="63" spans="1:9" hidden="1">
      <c r="A63" s="119" t="s">
        <v>651</v>
      </c>
      <c r="B63" s="120" t="s">
        <v>794</v>
      </c>
      <c r="C63" s="120" t="s">
        <v>279</v>
      </c>
      <c r="D63" s="121">
        <v>3</v>
      </c>
      <c r="E63" s="122">
        <v>5</v>
      </c>
      <c r="F63" s="121">
        <v>23</v>
      </c>
      <c r="G63" s="123">
        <v>0.4</v>
      </c>
      <c r="H63" s="122">
        <f t="shared" si="0"/>
        <v>138</v>
      </c>
      <c r="I63" s="132" t="s">
        <v>714</v>
      </c>
    </row>
    <row r="64" spans="1:9" hidden="1">
      <c r="A64" s="119" t="s">
        <v>651</v>
      </c>
      <c r="B64" s="120" t="s">
        <v>795</v>
      </c>
      <c r="C64" s="120" t="s">
        <v>796</v>
      </c>
      <c r="D64" s="121">
        <v>3</v>
      </c>
      <c r="E64" s="122">
        <v>5</v>
      </c>
      <c r="F64" s="121">
        <v>23</v>
      </c>
      <c r="G64" s="123">
        <v>0.4</v>
      </c>
      <c r="H64" s="122">
        <f t="shared" si="0"/>
        <v>138</v>
      </c>
      <c r="I64" s="132" t="s">
        <v>714</v>
      </c>
    </row>
    <row r="65" spans="1:9" hidden="1">
      <c r="A65" s="119" t="s">
        <v>651</v>
      </c>
      <c r="B65" s="120" t="s">
        <v>797</v>
      </c>
      <c r="C65" s="120" t="s">
        <v>798</v>
      </c>
      <c r="D65" s="121">
        <v>3</v>
      </c>
      <c r="E65" s="122">
        <v>5</v>
      </c>
      <c r="F65" s="121">
        <v>23</v>
      </c>
      <c r="G65" s="123">
        <v>0.4</v>
      </c>
      <c r="H65" s="122">
        <f t="shared" si="0"/>
        <v>138</v>
      </c>
      <c r="I65" s="132" t="s">
        <v>714</v>
      </c>
    </row>
    <row r="66" spans="1:9" hidden="1">
      <c r="A66" s="119" t="s">
        <v>651</v>
      </c>
      <c r="B66" s="120" t="s">
        <v>799</v>
      </c>
      <c r="C66" s="120" t="s">
        <v>800</v>
      </c>
      <c r="D66" s="121">
        <v>3</v>
      </c>
      <c r="E66" s="122">
        <v>5</v>
      </c>
      <c r="F66" s="121">
        <v>23</v>
      </c>
      <c r="G66" s="123">
        <v>0.4</v>
      </c>
      <c r="H66" s="122">
        <f t="shared" ref="H66:H129" si="1">D66*E66*F66*G66</f>
        <v>138</v>
      </c>
      <c r="I66" s="132" t="s">
        <v>714</v>
      </c>
    </row>
    <row r="67" spans="1:9" hidden="1">
      <c r="A67" s="119" t="s">
        <v>651</v>
      </c>
      <c r="B67" s="120" t="s">
        <v>726</v>
      </c>
      <c r="C67" s="120" t="s">
        <v>727</v>
      </c>
      <c r="D67" s="121">
        <v>2</v>
      </c>
      <c r="E67" s="122">
        <v>6</v>
      </c>
      <c r="F67" s="121">
        <v>23</v>
      </c>
      <c r="G67" s="123">
        <v>0.4</v>
      </c>
      <c r="H67" s="122">
        <f t="shared" si="1"/>
        <v>110.4</v>
      </c>
      <c r="I67" s="132" t="s">
        <v>714</v>
      </c>
    </row>
    <row r="68" spans="1:9" hidden="1">
      <c r="A68" s="119" t="s">
        <v>651</v>
      </c>
      <c r="B68" s="120" t="s">
        <v>801</v>
      </c>
      <c r="C68" s="120" t="s">
        <v>802</v>
      </c>
      <c r="D68" s="121">
        <v>2</v>
      </c>
      <c r="E68" s="122">
        <v>6</v>
      </c>
      <c r="F68" s="121">
        <v>23</v>
      </c>
      <c r="G68" s="123">
        <v>0.4</v>
      </c>
      <c r="H68" s="122">
        <f t="shared" si="1"/>
        <v>110.4</v>
      </c>
      <c r="I68" s="132" t="s">
        <v>714</v>
      </c>
    </row>
    <row r="69" spans="1:9" hidden="1">
      <c r="A69" s="119" t="s">
        <v>651</v>
      </c>
      <c r="B69" s="120" t="s">
        <v>803</v>
      </c>
      <c r="C69" s="120" t="s">
        <v>804</v>
      </c>
      <c r="D69" s="121">
        <v>1</v>
      </c>
      <c r="E69" s="122">
        <v>11.5</v>
      </c>
      <c r="F69" s="121">
        <v>23</v>
      </c>
      <c r="G69" s="123">
        <v>0.4</v>
      </c>
      <c r="H69" s="122">
        <f t="shared" si="1"/>
        <v>105.80000000000001</v>
      </c>
      <c r="I69" s="132" t="s">
        <v>714</v>
      </c>
    </row>
    <row r="70" spans="1:9" hidden="1">
      <c r="A70" s="119" t="s">
        <v>651</v>
      </c>
      <c r="B70" s="120" t="s">
        <v>805</v>
      </c>
      <c r="C70" s="120" t="s">
        <v>806</v>
      </c>
      <c r="D70" s="121">
        <v>2</v>
      </c>
      <c r="E70" s="122">
        <v>5.5</v>
      </c>
      <c r="F70" s="121">
        <v>23</v>
      </c>
      <c r="G70" s="123">
        <v>0.4</v>
      </c>
      <c r="H70" s="122">
        <f t="shared" si="1"/>
        <v>101.2</v>
      </c>
      <c r="I70" s="132" t="s">
        <v>714</v>
      </c>
    </row>
    <row r="71" spans="1:9" hidden="1">
      <c r="A71" s="119" t="s">
        <v>651</v>
      </c>
      <c r="B71" s="120" t="s">
        <v>807</v>
      </c>
      <c r="C71" s="120" t="s">
        <v>163</v>
      </c>
      <c r="D71" s="121">
        <v>2</v>
      </c>
      <c r="E71" s="122">
        <v>5</v>
      </c>
      <c r="F71" s="121">
        <v>23</v>
      </c>
      <c r="G71" s="123">
        <v>0.4</v>
      </c>
      <c r="H71" s="122">
        <f t="shared" si="1"/>
        <v>92</v>
      </c>
      <c r="I71" s="132" t="s">
        <v>714</v>
      </c>
    </row>
    <row r="72" spans="1:9" hidden="1">
      <c r="A72" s="119" t="s">
        <v>651</v>
      </c>
      <c r="B72" s="120" t="s">
        <v>808</v>
      </c>
      <c r="C72" s="120" t="s">
        <v>809</v>
      </c>
      <c r="D72" s="121">
        <v>2</v>
      </c>
      <c r="E72" s="122">
        <v>5</v>
      </c>
      <c r="F72" s="121">
        <v>23</v>
      </c>
      <c r="G72" s="123">
        <v>0.4</v>
      </c>
      <c r="H72" s="122">
        <f t="shared" si="1"/>
        <v>92</v>
      </c>
      <c r="I72" s="132" t="s">
        <v>714</v>
      </c>
    </row>
    <row r="73" spans="1:9" hidden="1">
      <c r="A73" s="119" t="s">
        <v>651</v>
      </c>
      <c r="B73" s="120" t="s">
        <v>810</v>
      </c>
      <c r="C73" s="120" t="s">
        <v>167</v>
      </c>
      <c r="D73" s="121">
        <v>2</v>
      </c>
      <c r="E73" s="122">
        <v>5</v>
      </c>
      <c r="F73" s="121">
        <v>23</v>
      </c>
      <c r="G73" s="123">
        <v>0.4</v>
      </c>
      <c r="H73" s="122">
        <f t="shared" si="1"/>
        <v>92</v>
      </c>
      <c r="I73" s="132" t="s">
        <v>714</v>
      </c>
    </row>
    <row r="74" spans="1:9" hidden="1">
      <c r="A74" s="119" t="s">
        <v>651</v>
      </c>
      <c r="B74" s="120" t="s">
        <v>811</v>
      </c>
      <c r="C74" s="120" t="s">
        <v>812</v>
      </c>
      <c r="D74" s="121">
        <v>2</v>
      </c>
      <c r="E74" s="122">
        <v>5</v>
      </c>
      <c r="F74" s="121">
        <v>23</v>
      </c>
      <c r="G74" s="123">
        <v>0.4</v>
      </c>
      <c r="H74" s="122">
        <f t="shared" si="1"/>
        <v>92</v>
      </c>
      <c r="I74" s="132" t="s">
        <v>714</v>
      </c>
    </row>
    <row r="75" spans="1:9" hidden="1">
      <c r="A75" s="119" t="s">
        <v>651</v>
      </c>
      <c r="B75" s="120" t="s">
        <v>813</v>
      </c>
      <c r="C75" s="120" t="s">
        <v>308</v>
      </c>
      <c r="D75" s="121">
        <v>2</v>
      </c>
      <c r="E75" s="122">
        <v>5</v>
      </c>
      <c r="F75" s="121">
        <v>23</v>
      </c>
      <c r="G75" s="123">
        <v>0.4</v>
      </c>
      <c r="H75" s="122">
        <f t="shared" si="1"/>
        <v>92</v>
      </c>
      <c r="I75" s="132" t="s">
        <v>714</v>
      </c>
    </row>
    <row r="76" spans="1:9" hidden="1">
      <c r="A76" s="119" t="s">
        <v>651</v>
      </c>
      <c r="B76" s="120" t="s">
        <v>814</v>
      </c>
      <c r="C76" s="120" t="s">
        <v>230</v>
      </c>
      <c r="D76" s="121">
        <v>1</v>
      </c>
      <c r="E76" s="122">
        <v>7</v>
      </c>
      <c r="F76" s="121">
        <v>23</v>
      </c>
      <c r="G76" s="123">
        <v>0.4</v>
      </c>
      <c r="H76" s="122">
        <f t="shared" si="1"/>
        <v>64.400000000000006</v>
      </c>
      <c r="I76" s="132" t="s">
        <v>714</v>
      </c>
    </row>
    <row r="77" spans="1:9" hidden="1">
      <c r="A77" s="119" t="s">
        <v>651</v>
      </c>
      <c r="B77" s="120" t="s">
        <v>815</v>
      </c>
      <c r="C77" s="120" t="s">
        <v>816</v>
      </c>
      <c r="D77" s="121">
        <v>1</v>
      </c>
      <c r="E77" s="122">
        <v>7</v>
      </c>
      <c r="F77" s="121">
        <v>23</v>
      </c>
      <c r="G77" s="123">
        <v>0.4</v>
      </c>
      <c r="H77" s="122">
        <f t="shared" si="1"/>
        <v>64.400000000000006</v>
      </c>
      <c r="I77" s="132" t="s">
        <v>714</v>
      </c>
    </row>
    <row r="78" spans="1:9" hidden="1">
      <c r="A78" s="119" t="s">
        <v>651</v>
      </c>
      <c r="B78" s="120" t="s">
        <v>817</v>
      </c>
      <c r="C78" s="120" t="s">
        <v>818</v>
      </c>
      <c r="D78" s="121">
        <v>1</v>
      </c>
      <c r="E78" s="122">
        <v>7</v>
      </c>
      <c r="F78" s="121">
        <v>23</v>
      </c>
      <c r="G78" s="123">
        <v>0.4</v>
      </c>
      <c r="H78" s="122">
        <f t="shared" si="1"/>
        <v>64.400000000000006</v>
      </c>
      <c r="I78" s="132" t="s">
        <v>714</v>
      </c>
    </row>
    <row r="79" spans="1:9" hidden="1">
      <c r="A79" s="119" t="s">
        <v>651</v>
      </c>
      <c r="B79" s="120" t="s">
        <v>819</v>
      </c>
      <c r="C79" s="120" t="s">
        <v>820</v>
      </c>
      <c r="D79" s="121">
        <v>1</v>
      </c>
      <c r="E79" s="122">
        <v>7</v>
      </c>
      <c r="F79" s="121">
        <v>23</v>
      </c>
      <c r="G79" s="123">
        <v>0.4</v>
      </c>
      <c r="H79" s="122">
        <f t="shared" si="1"/>
        <v>64.400000000000006</v>
      </c>
      <c r="I79" s="132" t="s">
        <v>714</v>
      </c>
    </row>
    <row r="80" spans="1:9" hidden="1">
      <c r="A80" s="119" t="s">
        <v>651</v>
      </c>
      <c r="B80" s="120" t="s">
        <v>821</v>
      </c>
      <c r="C80" s="120" t="s">
        <v>822</v>
      </c>
      <c r="D80" s="121">
        <v>6</v>
      </c>
      <c r="E80" s="122">
        <v>1</v>
      </c>
      <c r="F80" s="121">
        <v>23</v>
      </c>
      <c r="G80" s="123">
        <v>0.4</v>
      </c>
      <c r="H80" s="122">
        <f t="shared" si="1"/>
        <v>55.2</v>
      </c>
      <c r="I80" s="132" t="s">
        <v>714</v>
      </c>
    </row>
    <row r="81" spans="1:9" hidden="1">
      <c r="A81" s="119" t="s">
        <v>651</v>
      </c>
      <c r="B81" s="120" t="s">
        <v>735</v>
      </c>
      <c r="C81" s="120" t="s">
        <v>736</v>
      </c>
      <c r="D81" s="121">
        <v>1</v>
      </c>
      <c r="E81" s="122">
        <v>6</v>
      </c>
      <c r="F81" s="121">
        <v>23</v>
      </c>
      <c r="G81" s="123">
        <v>0.4</v>
      </c>
      <c r="H81" s="122">
        <f t="shared" si="1"/>
        <v>55.2</v>
      </c>
      <c r="I81" s="132" t="s">
        <v>714</v>
      </c>
    </row>
    <row r="82" spans="1:9" hidden="1">
      <c r="A82" s="119" t="s">
        <v>651</v>
      </c>
      <c r="B82" s="120" t="s">
        <v>823</v>
      </c>
      <c r="C82" s="120" t="s">
        <v>824</v>
      </c>
      <c r="D82" s="121">
        <v>1</v>
      </c>
      <c r="E82" s="122">
        <v>5</v>
      </c>
      <c r="F82" s="121">
        <v>23</v>
      </c>
      <c r="G82" s="123">
        <v>0.4</v>
      </c>
      <c r="H82" s="122">
        <f t="shared" si="1"/>
        <v>46</v>
      </c>
      <c r="I82" s="132" t="s">
        <v>714</v>
      </c>
    </row>
    <row r="83" spans="1:9" hidden="1">
      <c r="A83" s="119" t="s">
        <v>651</v>
      </c>
      <c r="B83" s="120" t="s">
        <v>825</v>
      </c>
      <c r="C83" s="120" t="s">
        <v>227</v>
      </c>
      <c r="D83" s="121">
        <v>5</v>
      </c>
      <c r="E83" s="122">
        <v>1</v>
      </c>
      <c r="F83" s="121">
        <v>23</v>
      </c>
      <c r="G83" s="123">
        <v>0.4</v>
      </c>
      <c r="H83" s="122">
        <f t="shared" si="1"/>
        <v>46</v>
      </c>
      <c r="I83" s="132" t="s">
        <v>714</v>
      </c>
    </row>
    <row r="84" spans="1:9" hidden="1">
      <c r="A84" s="119" t="s">
        <v>651</v>
      </c>
      <c r="B84" s="120" t="s">
        <v>826</v>
      </c>
      <c r="C84" s="120" t="s">
        <v>827</v>
      </c>
      <c r="D84" s="121">
        <v>1</v>
      </c>
      <c r="E84" s="122">
        <v>5</v>
      </c>
      <c r="F84" s="121">
        <v>23</v>
      </c>
      <c r="G84" s="123">
        <v>0.4</v>
      </c>
      <c r="H84" s="122">
        <f t="shared" si="1"/>
        <v>46</v>
      </c>
      <c r="I84" s="132" t="s">
        <v>714</v>
      </c>
    </row>
    <row r="85" spans="1:9" hidden="1">
      <c r="A85" s="119" t="s">
        <v>651</v>
      </c>
      <c r="B85" s="120" t="s">
        <v>828</v>
      </c>
      <c r="C85" s="120" t="s">
        <v>829</v>
      </c>
      <c r="D85" s="121">
        <v>1</v>
      </c>
      <c r="E85" s="122">
        <v>5</v>
      </c>
      <c r="F85" s="121">
        <v>23</v>
      </c>
      <c r="G85" s="123">
        <v>0.4</v>
      </c>
      <c r="H85" s="122">
        <f t="shared" si="1"/>
        <v>46</v>
      </c>
      <c r="I85" s="132" t="s">
        <v>714</v>
      </c>
    </row>
    <row r="86" spans="1:9" hidden="1">
      <c r="A86" s="119" t="s">
        <v>651</v>
      </c>
      <c r="B86" s="120" t="s">
        <v>830</v>
      </c>
      <c r="C86" s="120" t="s">
        <v>831</v>
      </c>
      <c r="D86" s="121">
        <v>1</v>
      </c>
      <c r="E86" s="122">
        <v>5</v>
      </c>
      <c r="F86" s="121">
        <v>23</v>
      </c>
      <c r="G86" s="123">
        <v>0.4</v>
      </c>
      <c r="H86" s="122">
        <f t="shared" si="1"/>
        <v>46</v>
      </c>
      <c r="I86" s="132" t="s">
        <v>714</v>
      </c>
    </row>
    <row r="87" spans="1:9" hidden="1">
      <c r="A87" s="119" t="s">
        <v>651</v>
      </c>
      <c r="B87" s="120" t="s">
        <v>832</v>
      </c>
      <c r="C87" s="120" t="s">
        <v>833</v>
      </c>
      <c r="D87" s="121">
        <v>1</v>
      </c>
      <c r="E87" s="122">
        <v>5</v>
      </c>
      <c r="F87" s="121">
        <v>23</v>
      </c>
      <c r="G87" s="123">
        <v>0.4</v>
      </c>
      <c r="H87" s="122">
        <f t="shared" si="1"/>
        <v>46</v>
      </c>
      <c r="I87" s="132" t="s">
        <v>714</v>
      </c>
    </row>
    <row r="88" spans="1:9" hidden="1">
      <c r="A88" s="119" t="s">
        <v>651</v>
      </c>
      <c r="B88" s="120" t="s">
        <v>834</v>
      </c>
      <c r="C88" s="120" t="s">
        <v>835</v>
      </c>
      <c r="D88" s="121">
        <v>3</v>
      </c>
      <c r="E88" s="122">
        <v>1</v>
      </c>
      <c r="F88" s="121">
        <v>23</v>
      </c>
      <c r="G88" s="123">
        <v>0.4</v>
      </c>
      <c r="H88" s="122">
        <f t="shared" si="1"/>
        <v>27.6</v>
      </c>
      <c r="I88" s="132" t="s">
        <v>714</v>
      </c>
    </row>
    <row r="89" spans="1:9" hidden="1">
      <c r="A89" s="119" t="s">
        <v>651</v>
      </c>
      <c r="B89" s="120" t="s">
        <v>836</v>
      </c>
      <c r="C89" s="120" t="s">
        <v>837</v>
      </c>
      <c r="D89" s="121">
        <v>3</v>
      </c>
      <c r="E89" s="122">
        <v>1</v>
      </c>
      <c r="F89" s="121">
        <v>23</v>
      </c>
      <c r="G89" s="123">
        <v>0.4</v>
      </c>
      <c r="H89" s="122">
        <f t="shared" si="1"/>
        <v>27.6</v>
      </c>
      <c r="I89" s="132" t="s">
        <v>714</v>
      </c>
    </row>
    <row r="90" spans="1:9" hidden="1">
      <c r="A90" s="119" t="s">
        <v>651</v>
      </c>
      <c r="B90" s="120" t="s">
        <v>838</v>
      </c>
      <c r="C90" s="120" t="s">
        <v>839</v>
      </c>
      <c r="D90" s="121">
        <v>2</v>
      </c>
      <c r="E90" s="122">
        <v>1</v>
      </c>
      <c r="F90" s="121">
        <v>23</v>
      </c>
      <c r="G90" s="123">
        <v>0.4</v>
      </c>
      <c r="H90" s="122">
        <f t="shared" si="1"/>
        <v>18.400000000000002</v>
      </c>
      <c r="I90" s="132" t="s">
        <v>714</v>
      </c>
    </row>
    <row r="91" spans="1:9" hidden="1">
      <c r="A91" s="119" t="s">
        <v>651</v>
      </c>
      <c r="B91" s="120" t="s">
        <v>840</v>
      </c>
      <c r="C91" s="120" t="s">
        <v>841</v>
      </c>
      <c r="D91" s="121">
        <v>2</v>
      </c>
      <c r="E91" s="122">
        <v>1</v>
      </c>
      <c r="F91" s="121">
        <v>23</v>
      </c>
      <c r="G91" s="123">
        <v>0.4</v>
      </c>
      <c r="H91" s="122">
        <f t="shared" si="1"/>
        <v>18.400000000000002</v>
      </c>
      <c r="I91" s="132" t="s">
        <v>714</v>
      </c>
    </row>
    <row r="92" spans="1:9" hidden="1">
      <c r="A92" s="119" t="s">
        <v>842</v>
      </c>
      <c r="B92" s="120" t="s">
        <v>843</v>
      </c>
      <c r="C92" s="120" t="s">
        <v>844</v>
      </c>
      <c r="D92" s="121">
        <v>3</v>
      </c>
      <c r="E92" s="122">
        <v>74</v>
      </c>
      <c r="F92" s="121">
        <v>23</v>
      </c>
      <c r="G92" s="123">
        <v>0.4</v>
      </c>
      <c r="H92" s="122">
        <f t="shared" si="1"/>
        <v>2042.4</v>
      </c>
      <c r="I92" s="132" t="s">
        <v>714</v>
      </c>
    </row>
    <row r="93" spans="1:9" hidden="1">
      <c r="A93" s="119" t="s">
        <v>842</v>
      </c>
      <c r="B93" s="120" t="s">
        <v>845</v>
      </c>
      <c r="C93" s="120" t="s">
        <v>846</v>
      </c>
      <c r="D93" s="121">
        <v>2</v>
      </c>
      <c r="E93" s="122">
        <v>65.28</v>
      </c>
      <c r="F93" s="121">
        <v>23</v>
      </c>
      <c r="G93" s="123">
        <v>0.4</v>
      </c>
      <c r="H93" s="122">
        <f t="shared" si="1"/>
        <v>1201.152</v>
      </c>
      <c r="I93" s="132" t="s">
        <v>714</v>
      </c>
    </row>
    <row r="94" spans="1:9" hidden="1">
      <c r="A94" s="119" t="s">
        <v>842</v>
      </c>
      <c r="B94" s="120" t="s">
        <v>847</v>
      </c>
      <c r="C94" s="120" t="s">
        <v>848</v>
      </c>
      <c r="D94" s="121">
        <v>2</v>
      </c>
      <c r="E94" s="122">
        <v>65.28</v>
      </c>
      <c r="F94" s="121">
        <v>23</v>
      </c>
      <c r="G94" s="123">
        <v>0.4</v>
      </c>
      <c r="H94" s="122">
        <f t="shared" si="1"/>
        <v>1201.152</v>
      </c>
      <c r="I94" s="132" t="s">
        <v>714</v>
      </c>
    </row>
    <row r="95" spans="1:9" hidden="1">
      <c r="A95" s="119" t="s">
        <v>842</v>
      </c>
      <c r="B95" s="120" t="s">
        <v>849</v>
      </c>
      <c r="C95" s="120" t="s">
        <v>273</v>
      </c>
      <c r="D95" s="121">
        <v>2</v>
      </c>
      <c r="E95" s="122">
        <v>59.49</v>
      </c>
      <c r="F95" s="121">
        <v>23</v>
      </c>
      <c r="G95" s="123">
        <v>0.4</v>
      </c>
      <c r="H95" s="122">
        <f t="shared" si="1"/>
        <v>1094.616</v>
      </c>
      <c r="I95" s="132" t="s">
        <v>714</v>
      </c>
    </row>
    <row r="96" spans="1:9" hidden="1">
      <c r="A96" s="119" t="s">
        <v>842</v>
      </c>
      <c r="B96" s="120" t="s">
        <v>850</v>
      </c>
      <c r="C96" s="120" t="s">
        <v>851</v>
      </c>
      <c r="D96" s="121">
        <v>3</v>
      </c>
      <c r="E96" s="122">
        <v>34</v>
      </c>
      <c r="F96" s="121">
        <v>23</v>
      </c>
      <c r="G96" s="123">
        <v>0.4</v>
      </c>
      <c r="H96" s="122">
        <f t="shared" si="1"/>
        <v>938.40000000000009</v>
      </c>
      <c r="I96" s="132" t="s">
        <v>714</v>
      </c>
    </row>
    <row r="97" spans="1:9" hidden="1">
      <c r="A97" s="119" t="s">
        <v>842</v>
      </c>
      <c r="B97" s="120" t="s">
        <v>852</v>
      </c>
      <c r="C97" s="120" t="s">
        <v>853</v>
      </c>
      <c r="D97" s="121">
        <v>2</v>
      </c>
      <c r="E97" s="122">
        <v>34</v>
      </c>
      <c r="F97" s="121">
        <v>23</v>
      </c>
      <c r="G97" s="123">
        <v>0.4</v>
      </c>
      <c r="H97" s="122">
        <f t="shared" si="1"/>
        <v>625.6</v>
      </c>
      <c r="I97" s="132" t="s">
        <v>714</v>
      </c>
    </row>
    <row r="98" spans="1:9" hidden="1">
      <c r="A98" s="119" t="s">
        <v>842</v>
      </c>
      <c r="B98" s="120" t="s">
        <v>854</v>
      </c>
      <c r="C98" s="120" t="s">
        <v>855</v>
      </c>
      <c r="D98" s="121">
        <v>2</v>
      </c>
      <c r="E98" s="122">
        <v>34</v>
      </c>
      <c r="F98" s="121">
        <v>23</v>
      </c>
      <c r="G98" s="123">
        <v>0.4</v>
      </c>
      <c r="H98" s="122">
        <f t="shared" si="1"/>
        <v>625.6</v>
      </c>
      <c r="I98" s="132" t="s">
        <v>714</v>
      </c>
    </row>
    <row r="99" spans="1:9" hidden="1">
      <c r="A99" s="119" t="s">
        <v>842</v>
      </c>
      <c r="B99" s="120" t="s">
        <v>856</v>
      </c>
      <c r="C99" s="120" t="s">
        <v>40</v>
      </c>
      <c r="D99" s="121">
        <v>4</v>
      </c>
      <c r="E99" s="122">
        <v>15</v>
      </c>
      <c r="F99" s="121">
        <v>23</v>
      </c>
      <c r="G99" s="123">
        <v>0.4</v>
      </c>
      <c r="H99" s="122">
        <f t="shared" si="1"/>
        <v>552</v>
      </c>
      <c r="I99" s="132" t="s">
        <v>714</v>
      </c>
    </row>
    <row r="100" spans="1:9" hidden="1">
      <c r="A100" s="119" t="s">
        <v>842</v>
      </c>
      <c r="B100" s="120" t="s">
        <v>857</v>
      </c>
      <c r="C100" s="120" t="s">
        <v>858</v>
      </c>
      <c r="D100" s="121">
        <v>1</v>
      </c>
      <c r="E100" s="122">
        <v>55.69</v>
      </c>
      <c r="F100" s="121">
        <v>23</v>
      </c>
      <c r="G100" s="123">
        <v>0.4</v>
      </c>
      <c r="H100" s="122">
        <f t="shared" si="1"/>
        <v>512.34799999999996</v>
      </c>
      <c r="I100" s="132" t="s">
        <v>714</v>
      </c>
    </row>
    <row r="101" spans="1:9" hidden="1">
      <c r="A101" s="119" t="s">
        <v>842</v>
      </c>
      <c r="B101" s="120" t="s">
        <v>859</v>
      </c>
      <c r="C101" s="120" t="s">
        <v>646</v>
      </c>
      <c r="D101" s="121">
        <v>1</v>
      </c>
      <c r="E101" s="122">
        <v>55.69</v>
      </c>
      <c r="F101" s="121">
        <v>23</v>
      </c>
      <c r="G101" s="123">
        <v>0.4</v>
      </c>
      <c r="H101" s="122">
        <f t="shared" si="1"/>
        <v>512.34799999999996</v>
      </c>
      <c r="I101" s="132" t="s">
        <v>714</v>
      </c>
    </row>
    <row r="102" spans="1:9" hidden="1">
      <c r="A102" s="119" t="s">
        <v>842</v>
      </c>
      <c r="B102" s="120" t="s">
        <v>860</v>
      </c>
      <c r="C102" s="120" t="s">
        <v>861</v>
      </c>
      <c r="D102" s="121">
        <v>1</v>
      </c>
      <c r="E102" s="122">
        <v>55.69</v>
      </c>
      <c r="F102" s="121">
        <v>23</v>
      </c>
      <c r="G102" s="123">
        <v>0.4</v>
      </c>
      <c r="H102" s="122">
        <f t="shared" si="1"/>
        <v>512.34799999999996</v>
      </c>
      <c r="I102" s="132" t="s">
        <v>714</v>
      </c>
    </row>
    <row r="103" spans="1:9" hidden="1">
      <c r="A103" s="119" t="s">
        <v>842</v>
      </c>
      <c r="B103" s="120" t="s">
        <v>862</v>
      </c>
      <c r="C103" s="120" t="s">
        <v>863</v>
      </c>
      <c r="D103" s="121">
        <v>2</v>
      </c>
      <c r="E103" s="122">
        <v>24.13</v>
      </c>
      <c r="F103" s="121">
        <v>23</v>
      </c>
      <c r="G103" s="123">
        <v>0.4</v>
      </c>
      <c r="H103" s="122">
        <f t="shared" si="1"/>
        <v>443.99200000000002</v>
      </c>
      <c r="I103" s="132" t="s">
        <v>714</v>
      </c>
    </row>
    <row r="104" spans="1:9" hidden="1">
      <c r="A104" s="119" t="s">
        <v>842</v>
      </c>
      <c r="B104" s="120" t="s">
        <v>864</v>
      </c>
      <c r="C104" s="120" t="s">
        <v>865</v>
      </c>
      <c r="D104" s="121">
        <v>1</v>
      </c>
      <c r="E104" s="122">
        <v>44.4</v>
      </c>
      <c r="F104" s="121">
        <v>23</v>
      </c>
      <c r="G104" s="123">
        <v>0.4</v>
      </c>
      <c r="H104" s="122">
        <f t="shared" si="1"/>
        <v>408.48</v>
      </c>
      <c r="I104" s="132" t="s">
        <v>714</v>
      </c>
    </row>
    <row r="105" spans="1:9" hidden="1">
      <c r="A105" s="119" t="s">
        <v>842</v>
      </c>
      <c r="B105" s="120" t="s">
        <v>866</v>
      </c>
      <c r="C105" s="120" t="s">
        <v>867</v>
      </c>
      <c r="D105" s="121">
        <v>1</v>
      </c>
      <c r="E105" s="122">
        <v>44.4</v>
      </c>
      <c r="F105" s="121">
        <v>23</v>
      </c>
      <c r="G105" s="123">
        <v>0.4</v>
      </c>
      <c r="H105" s="122">
        <f t="shared" si="1"/>
        <v>408.48</v>
      </c>
      <c r="I105" s="132" t="s">
        <v>714</v>
      </c>
    </row>
    <row r="106" spans="1:9" hidden="1">
      <c r="A106" s="119" t="s">
        <v>842</v>
      </c>
      <c r="B106" s="120" t="s">
        <v>868</v>
      </c>
      <c r="C106" s="120" t="s">
        <v>869</v>
      </c>
      <c r="D106" s="121">
        <v>2</v>
      </c>
      <c r="E106" s="122">
        <v>22</v>
      </c>
      <c r="F106" s="121">
        <v>23</v>
      </c>
      <c r="G106" s="123">
        <v>0.4</v>
      </c>
      <c r="H106" s="122">
        <f t="shared" si="1"/>
        <v>404.8</v>
      </c>
      <c r="I106" s="132" t="s">
        <v>714</v>
      </c>
    </row>
    <row r="107" spans="1:9" hidden="1">
      <c r="A107" s="119" t="s">
        <v>842</v>
      </c>
      <c r="B107" s="120" t="s">
        <v>870</v>
      </c>
      <c r="C107" s="120" t="s">
        <v>53</v>
      </c>
      <c r="D107" s="121">
        <v>2</v>
      </c>
      <c r="E107" s="122">
        <v>22</v>
      </c>
      <c r="F107" s="121">
        <v>23</v>
      </c>
      <c r="G107" s="123">
        <v>0.4</v>
      </c>
      <c r="H107" s="122">
        <f t="shared" si="1"/>
        <v>404.8</v>
      </c>
      <c r="I107" s="132" t="s">
        <v>714</v>
      </c>
    </row>
    <row r="108" spans="1:9" hidden="1">
      <c r="A108" s="119" t="s">
        <v>842</v>
      </c>
      <c r="B108" s="120" t="s">
        <v>871</v>
      </c>
      <c r="C108" s="120" t="s">
        <v>31</v>
      </c>
      <c r="D108" s="121">
        <v>2</v>
      </c>
      <c r="E108" s="122">
        <v>22</v>
      </c>
      <c r="F108" s="121">
        <v>23</v>
      </c>
      <c r="G108" s="123">
        <v>0.4</v>
      </c>
      <c r="H108" s="122">
        <f t="shared" si="1"/>
        <v>404.8</v>
      </c>
      <c r="I108" s="132" t="s">
        <v>714</v>
      </c>
    </row>
    <row r="109" spans="1:9" hidden="1">
      <c r="A109" s="119" t="s">
        <v>842</v>
      </c>
      <c r="B109" s="120" t="s">
        <v>872</v>
      </c>
      <c r="C109" s="120" t="s">
        <v>873</v>
      </c>
      <c r="D109" s="121">
        <v>1</v>
      </c>
      <c r="E109" s="122">
        <v>41.79</v>
      </c>
      <c r="F109" s="121">
        <v>23</v>
      </c>
      <c r="G109" s="123">
        <v>0.4</v>
      </c>
      <c r="H109" s="122">
        <f t="shared" si="1"/>
        <v>384.46800000000002</v>
      </c>
      <c r="I109" s="132" t="s">
        <v>714</v>
      </c>
    </row>
    <row r="110" spans="1:9" hidden="1">
      <c r="A110" s="119" t="s">
        <v>842</v>
      </c>
      <c r="B110" s="120" t="s">
        <v>874</v>
      </c>
      <c r="C110" s="120" t="s">
        <v>875</v>
      </c>
      <c r="D110" s="121">
        <v>1</v>
      </c>
      <c r="E110" s="122">
        <v>41.79</v>
      </c>
      <c r="F110" s="121">
        <v>23</v>
      </c>
      <c r="G110" s="123">
        <v>0.4</v>
      </c>
      <c r="H110" s="122">
        <f t="shared" si="1"/>
        <v>384.46800000000002</v>
      </c>
      <c r="I110" s="132" t="s">
        <v>714</v>
      </c>
    </row>
    <row r="111" spans="1:9" hidden="1">
      <c r="A111" s="119" t="s">
        <v>842</v>
      </c>
      <c r="B111" s="120" t="s">
        <v>876</v>
      </c>
      <c r="C111" s="120" t="s">
        <v>877</v>
      </c>
      <c r="D111" s="121">
        <v>1</v>
      </c>
      <c r="E111" s="122">
        <v>37.08</v>
      </c>
      <c r="F111" s="121">
        <v>23</v>
      </c>
      <c r="G111" s="123">
        <v>0.4</v>
      </c>
      <c r="H111" s="122">
        <f t="shared" si="1"/>
        <v>341.13599999999997</v>
      </c>
      <c r="I111" s="132" t="s">
        <v>714</v>
      </c>
    </row>
    <row r="112" spans="1:9" hidden="1">
      <c r="A112" s="119" t="s">
        <v>842</v>
      </c>
      <c r="B112" s="120" t="s">
        <v>878</v>
      </c>
      <c r="C112" s="120" t="s">
        <v>879</v>
      </c>
      <c r="D112" s="121">
        <v>1</v>
      </c>
      <c r="E112" s="122">
        <v>37.08</v>
      </c>
      <c r="F112" s="121">
        <v>23</v>
      </c>
      <c r="G112" s="123">
        <v>0.4</v>
      </c>
      <c r="H112" s="122">
        <f t="shared" si="1"/>
        <v>341.13599999999997</v>
      </c>
      <c r="I112" s="132" t="s">
        <v>714</v>
      </c>
    </row>
    <row r="113" spans="1:9" hidden="1">
      <c r="A113" s="119" t="s">
        <v>842</v>
      </c>
      <c r="B113" s="120" t="s">
        <v>880</v>
      </c>
      <c r="C113" s="120" t="s">
        <v>881</v>
      </c>
      <c r="D113" s="121">
        <v>1</v>
      </c>
      <c r="E113" s="122">
        <v>37.08</v>
      </c>
      <c r="F113" s="121">
        <v>23</v>
      </c>
      <c r="G113" s="123">
        <v>0.4</v>
      </c>
      <c r="H113" s="122">
        <f t="shared" si="1"/>
        <v>341.13599999999997</v>
      </c>
      <c r="I113" s="132" t="s">
        <v>714</v>
      </c>
    </row>
    <row r="114" spans="1:9" hidden="1">
      <c r="A114" s="119" t="s">
        <v>842</v>
      </c>
      <c r="B114" s="120" t="s">
        <v>882</v>
      </c>
      <c r="C114" s="120" t="s">
        <v>883</v>
      </c>
      <c r="D114" s="121">
        <v>3</v>
      </c>
      <c r="E114" s="122">
        <v>12</v>
      </c>
      <c r="F114" s="121">
        <v>23</v>
      </c>
      <c r="G114" s="123">
        <v>0.4</v>
      </c>
      <c r="H114" s="122">
        <f t="shared" si="1"/>
        <v>331.20000000000005</v>
      </c>
      <c r="I114" s="132" t="s">
        <v>714</v>
      </c>
    </row>
    <row r="115" spans="1:9" hidden="1">
      <c r="A115" s="119" t="s">
        <v>842</v>
      </c>
      <c r="B115" s="120" t="s">
        <v>884</v>
      </c>
      <c r="C115" s="120" t="s">
        <v>885</v>
      </c>
      <c r="D115" s="121">
        <v>2</v>
      </c>
      <c r="E115" s="122">
        <v>15.6</v>
      </c>
      <c r="F115" s="121">
        <v>23</v>
      </c>
      <c r="G115" s="123">
        <v>0.4</v>
      </c>
      <c r="H115" s="122">
        <f t="shared" si="1"/>
        <v>287.04000000000002</v>
      </c>
      <c r="I115" s="132" t="s">
        <v>714</v>
      </c>
    </row>
    <row r="116" spans="1:9" hidden="1">
      <c r="A116" s="119" t="s">
        <v>842</v>
      </c>
      <c r="B116" s="120" t="s">
        <v>886</v>
      </c>
      <c r="C116" s="120" t="s">
        <v>30</v>
      </c>
      <c r="D116" s="121">
        <v>1</v>
      </c>
      <c r="E116" s="122">
        <v>29</v>
      </c>
      <c r="F116" s="121">
        <v>23</v>
      </c>
      <c r="G116" s="123">
        <v>0.4</v>
      </c>
      <c r="H116" s="122">
        <f t="shared" si="1"/>
        <v>266.8</v>
      </c>
      <c r="I116" s="132" t="s">
        <v>714</v>
      </c>
    </row>
    <row r="117" spans="1:9" hidden="1">
      <c r="A117" s="119" t="s">
        <v>842</v>
      </c>
      <c r="B117" s="120" t="s">
        <v>887</v>
      </c>
      <c r="C117" s="120" t="s">
        <v>888</v>
      </c>
      <c r="D117" s="121">
        <v>2</v>
      </c>
      <c r="E117" s="122">
        <v>13.6</v>
      </c>
      <c r="F117" s="121">
        <v>23</v>
      </c>
      <c r="G117" s="123">
        <v>0.4</v>
      </c>
      <c r="H117" s="122">
        <f t="shared" si="1"/>
        <v>250.24</v>
      </c>
      <c r="I117" s="132" t="s">
        <v>714</v>
      </c>
    </row>
    <row r="118" spans="1:9" hidden="1">
      <c r="A118" s="119" t="s">
        <v>842</v>
      </c>
      <c r="B118" s="120" t="s">
        <v>889</v>
      </c>
      <c r="C118" s="120" t="s">
        <v>890</v>
      </c>
      <c r="D118" s="121">
        <v>2</v>
      </c>
      <c r="E118" s="122">
        <v>13.6</v>
      </c>
      <c r="F118" s="121">
        <v>23</v>
      </c>
      <c r="G118" s="123">
        <v>0.4</v>
      </c>
      <c r="H118" s="122">
        <f t="shared" si="1"/>
        <v>250.24</v>
      </c>
      <c r="I118" s="132" t="s">
        <v>714</v>
      </c>
    </row>
    <row r="119" spans="1:9" hidden="1">
      <c r="A119" s="119" t="s">
        <v>842</v>
      </c>
      <c r="B119" s="120" t="s">
        <v>891</v>
      </c>
      <c r="C119" s="120" t="s">
        <v>892</v>
      </c>
      <c r="D119" s="121">
        <v>1</v>
      </c>
      <c r="E119" s="122">
        <v>25</v>
      </c>
      <c r="F119" s="121">
        <v>23</v>
      </c>
      <c r="G119" s="123">
        <v>0.4</v>
      </c>
      <c r="H119" s="122">
        <f t="shared" si="1"/>
        <v>230</v>
      </c>
      <c r="I119" s="132" t="s">
        <v>714</v>
      </c>
    </row>
    <row r="120" spans="1:9" hidden="1">
      <c r="A120" s="119" t="s">
        <v>842</v>
      </c>
      <c r="B120" s="120" t="s">
        <v>893</v>
      </c>
      <c r="C120" s="120" t="s">
        <v>894</v>
      </c>
      <c r="D120" s="121">
        <v>1</v>
      </c>
      <c r="E120" s="122">
        <v>25</v>
      </c>
      <c r="F120" s="121">
        <v>23</v>
      </c>
      <c r="G120" s="123">
        <v>0.4</v>
      </c>
      <c r="H120" s="122">
        <f t="shared" si="1"/>
        <v>230</v>
      </c>
      <c r="I120" s="132" t="s">
        <v>714</v>
      </c>
    </row>
    <row r="121" spans="1:9" hidden="1">
      <c r="A121" s="119" t="s">
        <v>842</v>
      </c>
      <c r="B121" s="120" t="s">
        <v>895</v>
      </c>
      <c r="C121" s="120" t="s">
        <v>102</v>
      </c>
      <c r="D121" s="121">
        <v>2</v>
      </c>
      <c r="E121" s="122">
        <v>12</v>
      </c>
      <c r="F121" s="121">
        <v>23</v>
      </c>
      <c r="G121" s="123">
        <v>0.4</v>
      </c>
      <c r="H121" s="122">
        <f t="shared" si="1"/>
        <v>220.8</v>
      </c>
      <c r="I121" s="132" t="s">
        <v>714</v>
      </c>
    </row>
    <row r="122" spans="1:9" hidden="1">
      <c r="A122" s="119" t="s">
        <v>842</v>
      </c>
      <c r="B122" s="120" t="s">
        <v>896</v>
      </c>
      <c r="C122" s="120" t="s">
        <v>96</v>
      </c>
      <c r="D122" s="121">
        <v>2</v>
      </c>
      <c r="E122" s="122">
        <v>12</v>
      </c>
      <c r="F122" s="121">
        <v>23</v>
      </c>
      <c r="G122" s="123">
        <v>0.4</v>
      </c>
      <c r="H122" s="122">
        <f t="shared" si="1"/>
        <v>220.8</v>
      </c>
      <c r="I122" s="132" t="s">
        <v>714</v>
      </c>
    </row>
    <row r="123" spans="1:9" hidden="1">
      <c r="A123" s="119" t="s">
        <v>842</v>
      </c>
      <c r="B123" s="120" t="s">
        <v>897</v>
      </c>
      <c r="C123" s="120" t="s">
        <v>898</v>
      </c>
      <c r="D123" s="121">
        <v>2</v>
      </c>
      <c r="E123" s="122">
        <v>12</v>
      </c>
      <c r="F123" s="121">
        <v>23</v>
      </c>
      <c r="G123" s="123">
        <v>0.4</v>
      </c>
      <c r="H123" s="122">
        <f t="shared" si="1"/>
        <v>220.8</v>
      </c>
      <c r="I123" s="132" t="s">
        <v>714</v>
      </c>
    </row>
    <row r="124" spans="1:9" hidden="1">
      <c r="A124" s="119" t="s">
        <v>842</v>
      </c>
      <c r="B124" s="120" t="s">
        <v>899</v>
      </c>
      <c r="C124" s="120" t="s">
        <v>900</v>
      </c>
      <c r="D124" s="121">
        <v>2</v>
      </c>
      <c r="E124" s="122">
        <v>12</v>
      </c>
      <c r="F124" s="121">
        <v>23</v>
      </c>
      <c r="G124" s="123">
        <v>0.4</v>
      </c>
      <c r="H124" s="122">
        <f t="shared" si="1"/>
        <v>220.8</v>
      </c>
      <c r="I124" s="132" t="s">
        <v>714</v>
      </c>
    </row>
    <row r="125" spans="1:9" hidden="1">
      <c r="A125" s="119" t="s">
        <v>842</v>
      </c>
      <c r="B125" s="120" t="s">
        <v>901</v>
      </c>
      <c r="C125" s="120" t="s">
        <v>902</v>
      </c>
      <c r="D125" s="121">
        <v>2</v>
      </c>
      <c r="E125" s="122">
        <v>12</v>
      </c>
      <c r="F125" s="121">
        <v>23</v>
      </c>
      <c r="G125" s="123">
        <v>0.4</v>
      </c>
      <c r="H125" s="122">
        <f t="shared" si="1"/>
        <v>220.8</v>
      </c>
      <c r="I125" s="132" t="s">
        <v>714</v>
      </c>
    </row>
    <row r="126" spans="1:9" hidden="1">
      <c r="A126" s="119" t="s">
        <v>842</v>
      </c>
      <c r="B126" s="120" t="s">
        <v>903</v>
      </c>
      <c r="C126" s="120" t="s">
        <v>904</v>
      </c>
      <c r="D126" s="121">
        <v>1</v>
      </c>
      <c r="E126" s="122">
        <v>22</v>
      </c>
      <c r="F126" s="121">
        <v>23</v>
      </c>
      <c r="G126" s="123">
        <v>0.4</v>
      </c>
      <c r="H126" s="122">
        <f t="shared" si="1"/>
        <v>202.4</v>
      </c>
      <c r="I126" s="132" t="s">
        <v>714</v>
      </c>
    </row>
    <row r="127" spans="1:9" hidden="1">
      <c r="A127" s="119" t="s">
        <v>842</v>
      </c>
      <c r="B127" s="120" t="s">
        <v>905</v>
      </c>
      <c r="C127" s="120" t="s">
        <v>645</v>
      </c>
      <c r="D127" s="121">
        <v>1</v>
      </c>
      <c r="E127" s="122">
        <v>22</v>
      </c>
      <c r="F127" s="121">
        <v>23</v>
      </c>
      <c r="G127" s="123">
        <v>0.4</v>
      </c>
      <c r="H127" s="122">
        <f t="shared" si="1"/>
        <v>202.4</v>
      </c>
      <c r="I127" s="132" t="s">
        <v>714</v>
      </c>
    </row>
    <row r="128" spans="1:9" hidden="1">
      <c r="A128" s="119" t="s">
        <v>842</v>
      </c>
      <c r="B128" s="120" t="s">
        <v>906</v>
      </c>
      <c r="C128" s="120" t="s">
        <v>907</v>
      </c>
      <c r="D128" s="121">
        <v>1</v>
      </c>
      <c r="E128" s="122">
        <v>20</v>
      </c>
      <c r="F128" s="121">
        <v>23</v>
      </c>
      <c r="G128" s="123">
        <v>0.4</v>
      </c>
      <c r="H128" s="122">
        <f t="shared" si="1"/>
        <v>184</v>
      </c>
      <c r="I128" s="132" t="s">
        <v>714</v>
      </c>
    </row>
    <row r="129" spans="1:9" hidden="1">
      <c r="A129" s="119" t="s">
        <v>842</v>
      </c>
      <c r="B129" s="120" t="s">
        <v>908</v>
      </c>
      <c r="C129" s="120" t="s">
        <v>909</v>
      </c>
      <c r="D129" s="121">
        <v>1</v>
      </c>
      <c r="E129" s="122">
        <v>15.6</v>
      </c>
      <c r="F129" s="121">
        <v>23</v>
      </c>
      <c r="G129" s="123">
        <v>0.4</v>
      </c>
      <c r="H129" s="122">
        <f t="shared" si="1"/>
        <v>143.52000000000001</v>
      </c>
      <c r="I129" s="132" t="s">
        <v>714</v>
      </c>
    </row>
    <row r="130" spans="1:9" hidden="1">
      <c r="A130" s="119" t="s">
        <v>842</v>
      </c>
      <c r="B130" s="120" t="s">
        <v>910</v>
      </c>
      <c r="C130" s="120" t="s">
        <v>32</v>
      </c>
      <c r="D130" s="121">
        <v>15</v>
      </c>
      <c r="E130" s="122">
        <v>1</v>
      </c>
      <c r="F130" s="121">
        <v>23</v>
      </c>
      <c r="G130" s="123">
        <v>0.4</v>
      </c>
      <c r="H130" s="122">
        <f t="shared" ref="H130:H193" si="2">D130*E130*F130*G130</f>
        <v>138</v>
      </c>
      <c r="I130" s="132" t="s">
        <v>714</v>
      </c>
    </row>
    <row r="131" spans="1:9" hidden="1">
      <c r="A131" s="119" t="s">
        <v>842</v>
      </c>
      <c r="B131" s="120" t="s">
        <v>911</v>
      </c>
      <c r="C131" s="120" t="s">
        <v>912</v>
      </c>
      <c r="D131" s="121">
        <v>1</v>
      </c>
      <c r="E131" s="122">
        <v>3.48</v>
      </c>
      <c r="F131" s="121">
        <v>23</v>
      </c>
      <c r="G131" s="123">
        <v>0.4</v>
      </c>
      <c r="H131" s="122">
        <f t="shared" si="2"/>
        <v>32.016000000000005</v>
      </c>
      <c r="I131" s="132" t="s">
        <v>714</v>
      </c>
    </row>
    <row r="132" spans="1:9" hidden="1">
      <c r="A132" s="119" t="s">
        <v>842</v>
      </c>
      <c r="B132" s="120" t="s">
        <v>913</v>
      </c>
      <c r="C132" s="120" t="s">
        <v>914</v>
      </c>
      <c r="D132" s="121">
        <v>1</v>
      </c>
      <c r="E132" s="122">
        <v>2.5</v>
      </c>
      <c r="F132" s="121">
        <v>23</v>
      </c>
      <c r="G132" s="123">
        <v>0.4</v>
      </c>
      <c r="H132" s="122">
        <f t="shared" si="2"/>
        <v>23</v>
      </c>
      <c r="I132" s="132" t="s">
        <v>714</v>
      </c>
    </row>
    <row r="133" spans="1:9" hidden="1">
      <c r="A133" s="119" t="s">
        <v>915</v>
      </c>
      <c r="B133" s="120" t="s">
        <v>916</v>
      </c>
      <c r="C133" s="120" t="s">
        <v>23</v>
      </c>
      <c r="D133" s="121">
        <v>8</v>
      </c>
      <c r="E133" s="122">
        <v>5</v>
      </c>
      <c r="F133" s="121">
        <v>23</v>
      </c>
      <c r="G133" s="123">
        <v>0.4</v>
      </c>
      <c r="H133" s="122">
        <f t="shared" si="2"/>
        <v>368</v>
      </c>
      <c r="I133" s="132" t="s">
        <v>714</v>
      </c>
    </row>
    <row r="134" spans="1:9" hidden="1">
      <c r="A134" s="119" t="s">
        <v>915</v>
      </c>
      <c r="B134" s="120" t="s">
        <v>917</v>
      </c>
      <c r="C134" s="120" t="s">
        <v>918</v>
      </c>
      <c r="D134" s="121">
        <v>3</v>
      </c>
      <c r="E134" s="122">
        <v>11.07</v>
      </c>
      <c r="F134" s="121">
        <v>23</v>
      </c>
      <c r="G134" s="123">
        <v>0.4</v>
      </c>
      <c r="H134" s="122">
        <f t="shared" si="2"/>
        <v>305.53200000000004</v>
      </c>
      <c r="I134" s="132" t="s">
        <v>714</v>
      </c>
    </row>
    <row r="135" spans="1:9" hidden="1">
      <c r="A135" s="119" t="s">
        <v>915</v>
      </c>
      <c r="B135" s="120" t="s">
        <v>919</v>
      </c>
      <c r="C135" s="120" t="s">
        <v>84</v>
      </c>
      <c r="D135" s="121">
        <v>6</v>
      </c>
      <c r="E135" s="122">
        <v>4</v>
      </c>
      <c r="F135" s="121">
        <v>23</v>
      </c>
      <c r="G135" s="123">
        <v>0.4</v>
      </c>
      <c r="H135" s="122">
        <f t="shared" si="2"/>
        <v>220.8</v>
      </c>
      <c r="I135" s="132" t="s">
        <v>714</v>
      </c>
    </row>
    <row r="136" spans="1:9" hidden="1">
      <c r="A136" s="119" t="s">
        <v>915</v>
      </c>
      <c r="B136" s="120" t="s">
        <v>825</v>
      </c>
      <c r="C136" s="120" t="s">
        <v>227</v>
      </c>
      <c r="D136" s="121">
        <v>12</v>
      </c>
      <c r="E136" s="122">
        <v>1</v>
      </c>
      <c r="F136" s="121">
        <v>23</v>
      </c>
      <c r="G136" s="123">
        <v>0.4</v>
      </c>
      <c r="H136" s="122">
        <f t="shared" si="2"/>
        <v>110.4</v>
      </c>
      <c r="I136" s="132" t="s">
        <v>714</v>
      </c>
    </row>
    <row r="137" spans="1:9" hidden="1">
      <c r="A137" s="119" t="s">
        <v>915</v>
      </c>
      <c r="B137" s="120" t="s">
        <v>920</v>
      </c>
      <c r="C137" s="120" t="s">
        <v>921</v>
      </c>
      <c r="D137" s="121">
        <v>6</v>
      </c>
      <c r="E137" s="122">
        <v>2</v>
      </c>
      <c r="F137" s="121">
        <v>23</v>
      </c>
      <c r="G137" s="123">
        <v>0.4</v>
      </c>
      <c r="H137" s="122">
        <f t="shared" si="2"/>
        <v>110.4</v>
      </c>
      <c r="I137" s="132" t="s">
        <v>714</v>
      </c>
    </row>
    <row r="138" spans="1:9" hidden="1">
      <c r="A138" s="119" t="s">
        <v>915</v>
      </c>
      <c r="B138" s="120" t="s">
        <v>922</v>
      </c>
      <c r="C138" s="120" t="s">
        <v>35</v>
      </c>
      <c r="D138" s="121">
        <v>1</v>
      </c>
      <c r="E138" s="122">
        <v>11.07</v>
      </c>
      <c r="F138" s="121">
        <v>23</v>
      </c>
      <c r="G138" s="123">
        <v>0.4</v>
      </c>
      <c r="H138" s="122">
        <f t="shared" si="2"/>
        <v>101.84400000000001</v>
      </c>
      <c r="I138" s="132" t="s">
        <v>714</v>
      </c>
    </row>
    <row r="139" spans="1:9" hidden="1">
      <c r="A139" s="119" t="s">
        <v>915</v>
      </c>
      <c r="B139" s="120" t="s">
        <v>923</v>
      </c>
      <c r="C139" s="120" t="s">
        <v>924</v>
      </c>
      <c r="D139" s="121">
        <v>1</v>
      </c>
      <c r="E139" s="122">
        <v>11.07</v>
      </c>
      <c r="F139" s="121">
        <v>23</v>
      </c>
      <c r="G139" s="123">
        <v>0.4</v>
      </c>
      <c r="H139" s="122">
        <f t="shared" si="2"/>
        <v>101.84400000000001</v>
      </c>
      <c r="I139" s="132" t="s">
        <v>714</v>
      </c>
    </row>
    <row r="140" spans="1:9" hidden="1">
      <c r="A140" s="119" t="s">
        <v>915</v>
      </c>
      <c r="B140" s="120" t="s">
        <v>738</v>
      </c>
      <c r="C140" s="120" t="s">
        <v>63</v>
      </c>
      <c r="D140" s="121">
        <v>4</v>
      </c>
      <c r="E140" s="122">
        <v>1</v>
      </c>
      <c r="F140" s="121">
        <v>23</v>
      </c>
      <c r="G140" s="123">
        <v>0.4</v>
      </c>
      <c r="H140" s="122">
        <f t="shared" si="2"/>
        <v>36.800000000000004</v>
      </c>
      <c r="I140" s="132" t="s">
        <v>714</v>
      </c>
    </row>
    <row r="141" spans="1:9" hidden="1">
      <c r="A141" s="119" t="s">
        <v>915</v>
      </c>
      <c r="B141" s="120" t="s">
        <v>925</v>
      </c>
      <c r="C141" s="120" t="s">
        <v>282</v>
      </c>
      <c r="D141" s="121">
        <v>4</v>
      </c>
      <c r="E141" s="122">
        <v>0.1</v>
      </c>
      <c r="F141" s="121">
        <v>23</v>
      </c>
      <c r="G141" s="123">
        <v>0.4</v>
      </c>
      <c r="H141" s="122">
        <f t="shared" si="2"/>
        <v>3.6800000000000006</v>
      </c>
      <c r="I141" s="132" t="s">
        <v>714</v>
      </c>
    </row>
    <row r="142" spans="1:9" hidden="1">
      <c r="A142" s="119" t="s">
        <v>915</v>
      </c>
      <c r="B142" s="120" t="s">
        <v>926</v>
      </c>
      <c r="C142" s="120" t="s">
        <v>927</v>
      </c>
      <c r="D142" s="121">
        <v>3</v>
      </c>
      <c r="E142" s="122">
        <v>0.1</v>
      </c>
      <c r="F142" s="121">
        <v>23</v>
      </c>
      <c r="G142" s="123">
        <v>0.4</v>
      </c>
      <c r="H142" s="122">
        <f t="shared" si="2"/>
        <v>2.7600000000000007</v>
      </c>
      <c r="I142" s="132" t="s">
        <v>714</v>
      </c>
    </row>
    <row r="143" spans="1:9" hidden="1">
      <c r="A143" s="119" t="s">
        <v>915</v>
      </c>
      <c r="B143" s="120" t="s">
        <v>928</v>
      </c>
      <c r="C143" s="120" t="s">
        <v>929</v>
      </c>
      <c r="D143" s="121">
        <v>2</v>
      </c>
      <c r="E143" s="122">
        <v>0.1</v>
      </c>
      <c r="F143" s="121">
        <v>23</v>
      </c>
      <c r="G143" s="123">
        <v>0.4</v>
      </c>
      <c r="H143" s="122">
        <f t="shared" si="2"/>
        <v>1.8400000000000003</v>
      </c>
      <c r="I143" s="132" t="s">
        <v>714</v>
      </c>
    </row>
    <row r="144" spans="1:9" hidden="1">
      <c r="A144" s="119" t="s">
        <v>644</v>
      </c>
      <c r="B144" s="120" t="s">
        <v>930</v>
      </c>
      <c r="C144" s="120" t="s">
        <v>931</v>
      </c>
      <c r="D144" s="121">
        <v>13</v>
      </c>
      <c r="E144" s="122">
        <v>26.76</v>
      </c>
      <c r="F144" s="121">
        <v>23</v>
      </c>
      <c r="G144" s="123">
        <v>0.4</v>
      </c>
      <c r="H144" s="122">
        <f t="shared" si="2"/>
        <v>3200.4960000000001</v>
      </c>
      <c r="I144" s="132" t="s">
        <v>714</v>
      </c>
    </row>
    <row r="145" spans="1:9" hidden="1">
      <c r="A145" s="119" t="s">
        <v>644</v>
      </c>
      <c r="B145" s="120" t="s">
        <v>932</v>
      </c>
      <c r="C145" s="120" t="s">
        <v>933</v>
      </c>
      <c r="D145" s="121">
        <v>17</v>
      </c>
      <c r="E145" s="122">
        <v>20</v>
      </c>
      <c r="F145" s="121">
        <v>23</v>
      </c>
      <c r="G145" s="123">
        <v>0.4</v>
      </c>
      <c r="H145" s="122">
        <f t="shared" si="2"/>
        <v>3128</v>
      </c>
      <c r="I145" s="132" t="s">
        <v>714</v>
      </c>
    </row>
    <row r="146" spans="1:9" hidden="1">
      <c r="A146" s="119" t="s">
        <v>644</v>
      </c>
      <c r="B146" s="120" t="s">
        <v>934</v>
      </c>
      <c r="C146" s="120" t="s">
        <v>49</v>
      </c>
      <c r="D146" s="121">
        <v>22</v>
      </c>
      <c r="E146" s="122">
        <v>15</v>
      </c>
      <c r="F146" s="121">
        <v>23</v>
      </c>
      <c r="G146" s="123">
        <v>0.4</v>
      </c>
      <c r="H146" s="122">
        <f t="shared" si="2"/>
        <v>3036</v>
      </c>
      <c r="I146" s="132" t="s">
        <v>714</v>
      </c>
    </row>
    <row r="147" spans="1:9" hidden="1">
      <c r="A147" s="119" t="s">
        <v>644</v>
      </c>
      <c r="B147" s="120" t="s">
        <v>935</v>
      </c>
      <c r="C147" s="120" t="s">
        <v>936</v>
      </c>
      <c r="D147" s="121">
        <v>13</v>
      </c>
      <c r="E147" s="122">
        <v>25</v>
      </c>
      <c r="F147" s="121">
        <v>23</v>
      </c>
      <c r="G147" s="123">
        <v>0.4</v>
      </c>
      <c r="H147" s="122">
        <f t="shared" si="2"/>
        <v>2990</v>
      </c>
      <c r="I147" s="132" t="s">
        <v>714</v>
      </c>
    </row>
    <row r="148" spans="1:9" hidden="1">
      <c r="A148" s="119" t="s">
        <v>644</v>
      </c>
      <c r="B148" s="120" t="s">
        <v>937</v>
      </c>
      <c r="C148" s="120" t="s">
        <v>46</v>
      </c>
      <c r="D148" s="121">
        <v>30</v>
      </c>
      <c r="E148" s="122">
        <v>7</v>
      </c>
      <c r="F148" s="121">
        <v>23</v>
      </c>
      <c r="G148" s="123">
        <v>0.4</v>
      </c>
      <c r="H148" s="122">
        <f t="shared" si="2"/>
        <v>1932</v>
      </c>
      <c r="I148" s="132" t="s">
        <v>714</v>
      </c>
    </row>
    <row r="149" spans="1:9" hidden="1">
      <c r="A149" s="119" t="s">
        <v>644</v>
      </c>
      <c r="B149" s="120" t="s">
        <v>938</v>
      </c>
      <c r="C149" s="120" t="s">
        <v>104</v>
      </c>
      <c r="D149" s="121">
        <v>2</v>
      </c>
      <c r="E149" s="122">
        <v>80</v>
      </c>
      <c r="F149" s="121">
        <v>23</v>
      </c>
      <c r="G149" s="123">
        <v>0.4</v>
      </c>
      <c r="H149" s="122">
        <f t="shared" si="2"/>
        <v>1472</v>
      </c>
      <c r="I149" s="132" t="s">
        <v>714</v>
      </c>
    </row>
    <row r="150" spans="1:9" hidden="1">
      <c r="A150" s="119" t="s">
        <v>644</v>
      </c>
      <c r="B150" s="120" t="s">
        <v>939</v>
      </c>
      <c r="C150" s="120" t="s">
        <v>97</v>
      </c>
      <c r="D150" s="121">
        <v>22</v>
      </c>
      <c r="E150" s="122">
        <v>7</v>
      </c>
      <c r="F150" s="121">
        <v>23</v>
      </c>
      <c r="G150" s="123">
        <v>0.4</v>
      </c>
      <c r="H150" s="122">
        <f t="shared" si="2"/>
        <v>1416.8000000000002</v>
      </c>
      <c r="I150" s="132" t="s">
        <v>714</v>
      </c>
    </row>
    <row r="151" spans="1:9" hidden="1">
      <c r="A151" s="119" t="s">
        <v>644</v>
      </c>
      <c r="B151" s="120" t="s">
        <v>940</v>
      </c>
      <c r="C151" s="120" t="s">
        <v>99</v>
      </c>
      <c r="D151" s="121">
        <v>24</v>
      </c>
      <c r="E151" s="122">
        <v>6</v>
      </c>
      <c r="F151" s="121">
        <v>23</v>
      </c>
      <c r="G151" s="123">
        <v>0.4</v>
      </c>
      <c r="H151" s="122">
        <f t="shared" si="2"/>
        <v>1324.8000000000002</v>
      </c>
      <c r="I151" s="132" t="s">
        <v>714</v>
      </c>
    </row>
    <row r="152" spans="1:9" hidden="1">
      <c r="A152" s="119" t="s">
        <v>644</v>
      </c>
      <c r="B152" s="120" t="s">
        <v>941</v>
      </c>
      <c r="C152" s="120" t="s">
        <v>79</v>
      </c>
      <c r="D152" s="121">
        <v>7</v>
      </c>
      <c r="E152" s="122">
        <v>20</v>
      </c>
      <c r="F152" s="121">
        <v>23</v>
      </c>
      <c r="G152" s="123">
        <v>0.4</v>
      </c>
      <c r="H152" s="122">
        <f t="shared" si="2"/>
        <v>1288</v>
      </c>
      <c r="I152" s="132" t="s">
        <v>714</v>
      </c>
    </row>
    <row r="153" spans="1:9" hidden="1">
      <c r="A153" s="119" t="s">
        <v>644</v>
      </c>
      <c r="B153" s="120" t="s">
        <v>942</v>
      </c>
      <c r="C153" s="120" t="s">
        <v>316</v>
      </c>
      <c r="D153" s="121">
        <v>8</v>
      </c>
      <c r="E153" s="122">
        <v>15</v>
      </c>
      <c r="F153" s="121">
        <v>23</v>
      </c>
      <c r="G153" s="123">
        <v>0.4</v>
      </c>
      <c r="H153" s="122">
        <f t="shared" si="2"/>
        <v>1104</v>
      </c>
      <c r="I153" s="132" t="s">
        <v>714</v>
      </c>
    </row>
    <row r="154" spans="1:9" hidden="1">
      <c r="A154" s="119" t="s">
        <v>644</v>
      </c>
      <c r="B154" s="120" t="s">
        <v>943</v>
      </c>
      <c r="C154" s="120" t="s">
        <v>67</v>
      </c>
      <c r="D154" s="121">
        <v>11</v>
      </c>
      <c r="E154" s="122">
        <v>10</v>
      </c>
      <c r="F154" s="121">
        <v>23</v>
      </c>
      <c r="G154" s="123">
        <v>0.4</v>
      </c>
      <c r="H154" s="122">
        <f t="shared" si="2"/>
        <v>1012</v>
      </c>
      <c r="I154" s="132" t="s">
        <v>714</v>
      </c>
    </row>
    <row r="155" spans="1:9" hidden="1">
      <c r="A155" s="119" t="s">
        <v>644</v>
      </c>
      <c r="B155" s="120" t="s">
        <v>944</v>
      </c>
      <c r="C155" s="120" t="s">
        <v>945</v>
      </c>
      <c r="D155" s="121">
        <v>4</v>
      </c>
      <c r="E155" s="122">
        <v>25</v>
      </c>
      <c r="F155" s="121">
        <v>23</v>
      </c>
      <c r="G155" s="123">
        <v>0.4</v>
      </c>
      <c r="H155" s="122">
        <f t="shared" si="2"/>
        <v>920</v>
      </c>
      <c r="I155" s="132" t="s">
        <v>714</v>
      </c>
    </row>
    <row r="156" spans="1:9" hidden="1">
      <c r="A156" s="119" t="s">
        <v>644</v>
      </c>
      <c r="B156" s="120" t="s">
        <v>946</v>
      </c>
      <c r="C156" s="120" t="s">
        <v>43</v>
      </c>
      <c r="D156" s="121">
        <v>12</v>
      </c>
      <c r="E156" s="122">
        <v>7.62</v>
      </c>
      <c r="F156" s="121">
        <v>23</v>
      </c>
      <c r="G156" s="123">
        <v>0.4</v>
      </c>
      <c r="H156" s="122">
        <f t="shared" si="2"/>
        <v>841.24800000000005</v>
      </c>
      <c r="I156" s="132" t="s">
        <v>714</v>
      </c>
    </row>
    <row r="157" spans="1:9" hidden="1">
      <c r="A157" s="119" t="s">
        <v>644</v>
      </c>
      <c r="B157" s="120" t="s">
        <v>947</v>
      </c>
      <c r="C157" s="120" t="s">
        <v>948</v>
      </c>
      <c r="D157" s="121">
        <v>2</v>
      </c>
      <c r="E157" s="122">
        <v>40</v>
      </c>
      <c r="F157" s="121">
        <v>23</v>
      </c>
      <c r="G157" s="123">
        <v>0.4</v>
      </c>
      <c r="H157" s="122">
        <f t="shared" si="2"/>
        <v>736</v>
      </c>
      <c r="I157" s="132" t="s">
        <v>714</v>
      </c>
    </row>
    <row r="158" spans="1:9" hidden="1">
      <c r="A158" s="119" t="s">
        <v>644</v>
      </c>
      <c r="B158" s="120" t="s">
        <v>949</v>
      </c>
      <c r="C158" s="120" t="s">
        <v>950</v>
      </c>
      <c r="D158" s="121">
        <v>4</v>
      </c>
      <c r="E158" s="122">
        <v>20</v>
      </c>
      <c r="F158" s="121">
        <v>23</v>
      </c>
      <c r="G158" s="123">
        <v>0.4</v>
      </c>
      <c r="H158" s="122">
        <f t="shared" si="2"/>
        <v>736</v>
      </c>
      <c r="I158" s="132" t="s">
        <v>714</v>
      </c>
    </row>
    <row r="159" spans="1:9" hidden="1">
      <c r="A159" s="119" t="s">
        <v>644</v>
      </c>
      <c r="B159" s="120" t="s">
        <v>951</v>
      </c>
      <c r="C159" s="120" t="s">
        <v>952</v>
      </c>
      <c r="D159" s="121">
        <v>5</v>
      </c>
      <c r="E159" s="122">
        <v>15</v>
      </c>
      <c r="F159" s="121">
        <v>23</v>
      </c>
      <c r="G159" s="123">
        <v>0.4</v>
      </c>
      <c r="H159" s="122">
        <f t="shared" si="2"/>
        <v>690</v>
      </c>
      <c r="I159" s="132" t="s">
        <v>714</v>
      </c>
    </row>
    <row r="160" spans="1:9" hidden="1">
      <c r="A160" s="119" t="s">
        <v>644</v>
      </c>
      <c r="B160" s="120" t="s">
        <v>953</v>
      </c>
      <c r="C160" s="120" t="s">
        <v>954</v>
      </c>
      <c r="D160" s="121">
        <v>3</v>
      </c>
      <c r="E160" s="122">
        <v>25</v>
      </c>
      <c r="F160" s="121">
        <v>23</v>
      </c>
      <c r="G160" s="123">
        <v>0.4</v>
      </c>
      <c r="H160" s="122">
        <f t="shared" si="2"/>
        <v>690</v>
      </c>
      <c r="I160" s="132" t="s">
        <v>714</v>
      </c>
    </row>
    <row r="161" spans="1:9" hidden="1">
      <c r="A161" s="119" t="s">
        <v>644</v>
      </c>
      <c r="B161" s="120" t="s">
        <v>955</v>
      </c>
      <c r="C161" s="120" t="s">
        <v>58</v>
      </c>
      <c r="D161" s="121">
        <v>6</v>
      </c>
      <c r="E161" s="122">
        <v>12</v>
      </c>
      <c r="F161" s="121">
        <v>23</v>
      </c>
      <c r="G161" s="123">
        <v>0.4</v>
      </c>
      <c r="H161" s="122">
        <f t="shared" si="2"/>
        <v>662.40000000000009</v>
      </c>
      <c r="I161" s="132" t="s">
        <v>714</v>
      </c>
    </row>
    <row r="162" spans="1:9" hidden="1">
      <c r="A162" s="119" t="s">
        <v>644</v>
      </c>
      <c r="B162" s="120" t="s">
        <v>956</v>
      </c>
      <c r="C162" s="120" t="s">
        <v>106</v>
      </c>
      <c r="D162" s="121">
        <v>7</v>
      </c>
      <c r="E162" s="122">
        <v>9.0399999999999991</v>
      </c>
      <c r="F162" s="121">
        <v>23</v>
      </c>
      <c r="G162" s="123">
        <v>0.4</v>
      </c>
      <c r="H162" s="122">
        <f t="shared" si="2"/>
        <v>582.17599999999993</v>
      </c>
      <c r="I162" s="132" t="s">
        <v>714</v>
      </c>
    </row>
    <row r="163" spans="1:9" hidden="1">
      <c r="A163" s="119" t="s">
        <v>644</v>
      </c>
      <c r="B163" s="120" t="s">
        <v>957</v>
      </c>
      <c r="C163" s="120" t="s">
        <v>958</v>
      </c>
      <c r="D163" s="121">
        <v>2</v>
      </c>
      <c r="E163" s="122">
        <v>26.76</v>
      </c>
      <c r="F163" s="121">
        <v>23</v>
      </c>
      <c r="G163" s="123">
        <v>0.4</v>
      </c>
      <c r="H163" s="122">
        <f t="shared" si="2"/>
        <v>492.38400000000001</v>
      </c>
      <c r="I163" s="132" t="s">
        <v>714</v>
      </c>
    </row>
    <row r="164" spans="1:9" hidden="1">
      <c r="A164" s="119" t="s">
        <v>644</v>
      </c>
      <c r="B164" s="120" t="s">
        <v>959</v>
      </c>
      <c r="C164" s="120" t="s">
        <v>960</v>
      </c>
      <c r="D164" s="121">
        <v>2</v>
      </c>
      <c r="E164" s="122">
        <v>26.51</v>
      </c>
      <c r="F164" s="121">
        <v>23</v>
      </c>
      <c r="G164" s="123">
        <v>0.4</v>
      </c>
      <c r="H164" s="122">
        <f t="shared" si="2"/>
        <v>487.78400000000005</v>
      </c>
      <c r="I164" s="132" t="s">
        <v>714</v>
      </c>
    </row>
    <row r="165" spans="1:9" hidden="1">
      <c r="A165" s="119" t="s">
        <v>644</v>
      </c>
      <c r="B165" s="120" t="s">
        <v>961</v>
      </c>
      <c r="C165" s="120" t="s">
        <v>962</v>
      </c>
      <c r="D165" s="121">
        <v>5</v>
      </c>
      <c r="E165" s="122">
        <v>10.32</v>
      </c>
      <c r="F165" s="121">
        <v>23</v>
      </c>
      <c r="G165" s="123">
        <v>0.4</v>
      </c>
      <c r="H165" s="122">
        <f t="shared" si="2"/>
        <v>474.72</v>
      </c>
      <c r="I165" s="132" t="s">
        <v>714</v>
      </c>
    </row>
    <row r="166" spans="1:9" hidden="1">
      <c r="A166" s="119" t="s">
        <v>644</v>
      </c>
      <c r="B166" s="120" t="s">
        <v>963</v>
      </c>
      <c r="C166" s="120" t="s">
        <v>314</v>
      </c>
      <c r="D166" s="121">
        <v>9</v>
      </c>
      <c r="E166" s="122">
        <v>5</v>
      </c>
      <c r="F166" s="121">
        <v>23</v>
      </c>
      <c r="G166" s="123">
        <v>0.4</v>
      </c>
      <c r="H166" s="122">
        <f t="shared" si="2"/>
        <v>414</v>
      </c>
      <c r="I166" s="132" t="s">
        <v>714</v>
      </c>
    </row>
    <row r="167" spans="1:9" hidden="1">
      <c r="A167" s="119" t="s">
        <v>644</v>
      </c>
      <c r="B167" s="120" t="s">
        <v>964</v>
      </c>
      <c r="C167" s="120" t="s">
        <v>100</v>
      </c>
      <c r="D167" s="121">
        <v>1</v>
      </c>
      <c r="E167" s="122">
        <v>40</v>
      </c>
      <c r="F167" s="121">
        <v>23</v>
      </c>
      <c r="G167" s="123">
        <v>0.4</v>
      </c>
      <c r="H167" s="122">
        <f t="shared" si="2"/>
        <v>368</v>
      </c>
      <c r="I167" s="132" t="s">
        <v>714</v>
      </c>
    </row>
    <row r="168" spans="1:9" hidden="1">
      <c r="A168" s="119" t="s">
        <v>644</v>
      </c>
      <c r="B168" s="120" t="s">
        <v>965</v>
      </c>
      <c r="C168" s="120" t="s">
        <v>966</v>
      </c>
      <c r="D168" s="121">
        <v>3</v>
      </c>
      <c r="E168" s="122">
        <v>12</v>
      </c>
      <c r="F168" s="121">
        <v>23</v>
      </c>
      <c r="G168" s="123">
        <v>0.4</v>
      </c>
      <c r="H168" s="122">
        <f t="shared" si="2"/>
        <v>331.20000000000005</v>
      </c>
      <c r="I168" s="132" t="s">
        <v>714</v>
      </c>
    </row>
    <row r="169" spans="1:9" hidden="1">
      <c r="A169" s="119" t="s">
        <v>644</v>
      </c>
      <c r="B169" s="120" t="s">
        <v>967</v>
      </c>
      <c r="C169" s="120" t="s">
        <v>968</v>
      </c>
      <c r="D169" s="121">
        <v>3</v>
      </c>
      <c r="E169" s="122">
        <v>10.32</v>
      </c>
      <c r="F169" s="121">
        <v>23</v>
      </c>
      <c r="G169" s="123">
        <v>0.4</v>
      </c>
      <c r="H169" s="122">
        <f t="shared" si="2"/>
        <v>284.83200000000005</v>
      </c>
      <c r="I169" s="132" t="s">
        <v>714</v>
      </c>
    </row>
    <row r="170" spans="1:9" hidden="1">
      <c r="A170" s="119" t="s">
        <v>644</v>
      </c>
      <c r="B170" s="120" t="s">
        <v>969</v>
      </c>
      <c r="C170" s="120" t="s">
        <v>101</v>
      </c>
      <c r="D170" s="121">
        <v>5</v>
      </c>
      <c r="E170" s="122">
        <v>5</v>
      </c>
      <c r="F170" s="121">
        <v>23</v>
      </c>
      <c r="G170" s="123">
        <v>0.4</v>
      </c>
      <c r="H170" s="122">
        <f t="shared" si="2"/>
        <v>230</v>
      </c>
      <c r="I170" s="132" t="s">
        <v>714</v>
      </c>
    </row>
    <row r="171" spans="1:9" hidden="1">
      <c r="A171" s="119" t="s">
        <v>644</v>
      </c>
      <c r="B171" s="120" t="s">
        <v>970</v>
      </c>
      <c r="C171" s="120" t="s">
        <v>95</v>
      </c>
      <c r="D171" s="121">
        <v>4</v>
      </c>
      <c r="E171" s="122">
        <v>6</v>
      </c>
      <c r="F171" s="121">
        <v>23</v>
      </c>
      <c r="G171" s="123">
        <v>0.4</v>
      </c>
      <c r="H171" s="122">
        <f t="shared" si="2"/>
        <v>220.8</v>
      </c>
      <c r="I171" s="132" t="s">
        <v>714</v>
      </c>
    </row>
    <row r="172" spans="1:9" hidden="1">
      <c r="A172" s="119" t="s">
        <v>644</v>
      </c>
      <c r="B172" s="120" t="s">
        <v>971</v>
      </c>
      <c r="C172" s="120" t="s">
        <v>972</v>
      </c>
      <c r="D172" s="121">
        <v>2</v>
      </c>
      <c r="E172" s="122">
        <v>10.32</v>
      </c>
      <c r="F172" s="121">
        <v>23</v>
      </c>
      <c r="G172" s="123">
        <v>0.4</v>
      </c>
      <c r="H172" s="122">
        <f t="shared" si="2"/>
        <v>189.88800000000003</v>
      </c>
      <c r="I172" s="132" t="s">
        <v>714</v>
      </c>
    </row>
    <row r="173" spans="1:9" hidden="1">
      <c r="A173" s="119" t="s">
        <v>644</v>
      </c>
      <c r="B173" s="120" t="s">
        <v>973</v>
      </c>
      <c r="C173" s="120" t="s">
        <v>974</v>
      </c>
      <c r="D173" s="121">
        <v>2</v>
      </c>
      <c r="E173" s="122">
        <v>10</v>
      </c>
      <c r="F173" s="121">
        <v>23</v>
      </c>
      <c r="G173" s="123">
        <v>0.4</v>
      </c>
      <c r="H173" s="122">
        <f t="shared" si="2"/>
        <v>184</v>
      </c>
      <c r="I173" s="132" t="s">
        <v>714</v>
      </c>
    </row>
    <row r="174" spans="1:9" hidden="1">
      <c r="A174" s="119" t="s">
        <v>644</v>
      </c>
      <c r="B174" s="120" t="s">
        <v>975</v>
      </c>
      <c r="C174" s="120" t="s">
        <v>21</v>
      </c>
      <c r="D174" s="121">
        <v>2</v>
      </c>
      <c r="E174" s="122">
        <v>9.0399999999999991</v>
      </c>
      <c r="F174" s="121">
        <v>23</v>
      </c>
      <c r="G174" s="123">
        <v>0.4</v>
      </c>
      <c r="H174" s="122">
        <f t="shared" si="2"/>
        <v>166.33600000000001</v>
      </c>
      <c r="I174" s="132" t="s">
        <v>714</v>
      </c>
    </row>
    <row r="175" spans="1:9" hidden="1">
      <c r="A175" s="119" t="s">
        <v>644</v>
      </c>
      <c r="B175" s="120" t="s">
        <v>976</v>
      </c>
      <c r="C175" s="120" t="s">
        <v>284</v>
      </c>
      <c r="D175" s="121">
        <v>7</v>
      </c>
      <c r="E175" s="122">
        <v>2.5</v>
      </c>
      <c r="F175" s="121">
        <v>23</v>
      </c>
      <c r="G175" s="123">
        <v>0.4</v>
      </c>
      <c r="H175" s="122">
        <f t="shared" si="2"/>
        <v>161</v>
      </c>
      <c r="I175" s="132" t="s">
        <v>714</v>
      </c>
    </row>
    <row r="176" spans="1:9" hidden="1">
      <c r="A176" s="119" t="s">
        <v>644</v>
      </c>
      <c r="B176" s="120" t="s">
        <v>977</v>
      </c>
      <c r="C176" s="120" t="s">
        <v>978</v>
      </c>
      <c r="D176" s="121">
        <v>1</v>
      </c>
      <c r="E176" s="122">
        <v>10.32</v>
      </c>
      <c r="F176" s="121">
        <v>23</v>
      </c>
      <c r="G176" s="123">
        <v>0.4</v>
      </c>
      <c r="H176" s="122">
        <f t="shared" si="2"/>
        <v>94.944000000000017</v>
      </c>
      <c r="I176" s="132" t="s">
        <v>714</v>
      </c>
    </row>
    <row r="177" spans="1:9" hidden="1">
      <c r="A177" s="119" t="s">
        <v>644</v>
      </c>
      <c r="B177" s="120" t="s">
        <v>979</v>
      </c>
      <c r="C177" s="120" t="s">
        <v>972</v>
      </c>
      <c r="D177" s="121">
        <v>1</v>
      </c>
      <c r="E177" s="122">
        <v>10.32</v>
      </c>
      <c r="F177" s="121">
        <v>23</v>
      </c>
      <c r="G177" s="123">
        <v>0.4</v>
      </c>
      <c r="H177" s="122">
        <f t="shared" si="2"/>
        <v>94.944000000000017</v>
      </c>
      <c r="I177" s="132" t="s">
        <v>714</v>
      </c>
    </row>
    <row r="178" spans="1:9" hidden="1">
      <c r="A178" s="119" t="s">
        <v>644</v>
      </c>
      <c r="B178" s="120" t="s">
        <v>980</v>
      </c>
      <c r="C178" s="120" t="s">
        <v>981</v>
      </c>
      <c r="D178" s="121">
        <v>2</v>
      </c>
      <c r="E178" s="122">
        <v>5</v>
      </c>
      <c r="F178" s="121">
        <v>23</v>
      </c>
      <c r="G178" s="123">
        <v>0.4</v>
      </c>
      <c r="H178" s="122">
        <f t="shared" si="2"/>
        <v>92</v>
      </c>
      <c r="I178" s="132" t="s">
        <v>714</v>
      </c>
    </row>
    <row r="179" spans="1:9" hidden="1">
      <c r="A179" s="119" t="s">
        <v>644</v>
      </c>
      <c r="B179" s="120" t="s">
        <v>982</v>
      </c>
      <c r="C179" s="120" t="s">
        <v>983</v>
      </c>
      <c r="D179" s="121">
        <v>4</v>
      </c>
      <c r="E179" s="122">
        <v>1</v>
      </c>
      <c r="F179" s="121">
        <v>23</v>
      </c>
      <c r="G179" s="123">
        <v>0.4</v>
      </c>
      <c r="H179" s="122">
        <f t="shared" si="2"/>
        <v>36.800000000000004</v>
      </c>
      <c r="I179" s="132" t="s">
        <v>714</v>
      </c>
    </row>
    <row r="180" spans="1:9">
      <c r="A180" s="119" t="s">
        <v>644</v>
      </c>
      <c r="B180" s="120" t="s">
        <v>984</v>
      </c>
      <c r="C180" s="120" t="s">
        <v>985</v>
      </c>
      <c r="D180" s="121">
        <v>37</v>
      </c>
      <c r="E180" s="122">
        <v>0.1</v>
      </c>
      <c r="F180" s="121">
        <v>23</v>
      </c>
      <c r="G180" s="123">
        <v>0.4</v>
      </c>
      <c r="H180" s="122">
        <f t="shared" si="2"/>
        <v>34.040000000000006</v>
      </c>
      <c r="I180" s="132" t="s">
        <v>714</v>
      </c>
    </row>
    <row r="181" spans="1:9">
      <c r="A181" s="119" t="s">
        <v>644</v>
      </c>
      <c r="B181" s="120" t="s">
        <v>986</v>
      </c>
      <c r="C181" s="120" t="s">
        <v>987</v>
      </c>
      <c r="D181" s="121">
        <v>25</v>
      </c>
      <c r="E181" s="122">
        <v>0.1</v>
      </c>
      <c r="F181" s="121">
        <v>23</v>
      </c>
      <c r="G181" s="123">
        <v>0.4</v>
      </c>
      <c r="H181" s="122">
        <f t="shared" si="2"/>
        <v>23</v>
      </c>
      <c r="I181" s="132" t="s">
        <v>714</v>
      </c>
    </row>
    <row r="182" spans="1:9" hidden="1">
      <c r="A182" s="119" t="s">
        <v>644</v>
      </c>
      <c r="B182" s="120" t="s">
        <v>988</v>
      </c>
      <c r="C182" s="120" t="s">
        <v>989</v>
      </c>
      <c r="D182" s="121">
        <v>16</v>
      </c>
      <c r="E182" s="122">
        <v>0.1</v>
      </c>
      <c r="F182" s="121">
        <v>23</v>
      </c>
      <c r="G182" s="123">
        <v>0.4</v>
      </c>
      <c r="H182" s="122">
        <f t="shared" si="2"/>
        <v>14.720000000000002</v>
      </c>
      <c r="I182" s="132" t="s">
        <v>714</v>
      </c>
    </row>
    <row r="183" spans="1:9" hidden="1">
      <c r="A183" s="119" t="s">
        <v>644</v>
      </c>
      <c r="B183" s="120" t="s">
        <v>990</v>
      </c>
      <c r="C183" s="120" t="s">
        <v>991</v>
      </c>
      <c r="D183" s="121">
        <v>8</v>
      </c>
      <c r="E183" s="122">
        <v>0.1</v>
      </c>
      <c r="F183" s="121">
        <v>23</v>
      </c>
      <c r="G183" s="123">
        <v>0.4</v>
      </c>
      <c r="H183" s="122">
        <f t="shared" si="2"/>
        <v>7.3600000000000012</v>
      </c>
      <c r="I183" s="132" t="s">
        <v>714</v>
      </c>
    </row>
    <row r="184" spans="1:9" hidden="1">
      <c r="A184" s="119" t="s">
        <v>644</v>
      </c>
      <c r="B184" s="120" t="s">
        <v>992</v>
      </c>
      <c r="C184" s="120" t="s">
        <v>993</v>
      </c>
      <c r="D184" s="121">
        <v>8</v>
      </c>
      <c r="E184" s="122">
        <v>0.1</v>
      </c>
      <c r="F184" s="121">
        <v>23</v>
      </c>
      <c r="G184" s="123">
        <v>0.4</v>
      </c>
      <c r="H184" s="122">
        <f t="shared" si="2"/>
        <v>7.3600000000000012</v>
      </c>
      <c r="I184" s="132" t="s">
        <v>714</v>
      </c>
    </row>
    <row r="185" spans="1:9">
      <c r="A185" s="119" t="s">
        <v>644</v>
      </c>
      <c r="B185" s="120" t="s">
        <v>994</v>
      </c>
      <c r="C185" s="120" t="s">
        <v>995</v>
      </c>
      <c r="D185" s="121">
        <v>7</v>
      </c>
      <c r="E185" s="122">
        <v>0.1</v>
      </c>
      <c r="F185" s="121">
        <v>23</v>
      </c>
      <c r="G185" s="123">
        <v>0.4</v>
      </c>
      <c r="H185" s="122">
        <f t="shared" si="2"/>
        <v>6.4400000000000013</v>
      </c>
      <c r="I185" s="132" t="s">
        <v>714</v>
      </c>
    </row>
    <row r="186" spans="1:9" hidden="1">
      <c r="A186" s="119" t="s">
        <v>644</v>
      </c>
      <c r="B186" s="120" t="s">
        <v>996</v>
      </c>
      <c r="C186" s="120" t="s">
        <v>997</v>
      </c>
      <c r="D186" s="121">
        <v>4</v>
      </c>
      <c r="E186" s="122">
        <v>0.1</v>
      </c>
      <c r="F186" s="121">
        <v>23</v>
      </c>
      <c r="G186" s="123">
        <v>0.4</v>
      </c>
      <c r="H186" s="122">
        <f t="shared" si="2"/>
        <v>3.6800000000000006</v>
      </c>
      <c r="I186" s="132" t="s">
        <v>714</v>
      </c>
    </row>
    <row r="187" spans="1:9" hidden="1">
      <c r="A187" s="119" t="s">
        <v>644</v>
      </c>
      <c r="B187" s="120" t="s">
        <v>998</v>
      </c>
      <c r="C187" s="120" t="s">
        <v>999</v>
      </c>
      <c r="D187" s="121">
        <v>4</v>
      </c>
      <c r="E187" s="122">
        <v>0.1</v>
      </c>
      <c r="F187" s="121">
        <v>23</v>
      </c>
      <c r="G187" s="123">
        <v>0.4</v>
      </c>
      <c r="H187" s="122">
        <f t="shared" si="2"/>
        <v>3.6800000000000006</v>
      </c>
      <c r="I187" s="132" t="s">
        <v>714</v>
      </c>
    </row>
    <row r="188" spans="1:9">
      <c r="A188" s="119" t="s">
        <v>644</v>
      </c>
      <c r="B188" s="120" t="s">
        <v>1000</v>
      </c>
      <c r="C188" s="120" t="s">
        <v>1001</v>
      </c>
      <c r="D188" s="121">
        <v>1</v>
      </c>
      <c r="E188" s="122">
        <v>0.1</v>
      </c>
      <c r="F188" s="121">
        <v>23</v>
      </c>
      <c r="G188" s="123">
        <v>0.4</v>
      </c>
      <c r="H188" s="122">
        <f t="shared" si="2"/>
        <v>0.92000000000000015</v>
      </c>
      <c r="I188" s="132" t="s">
        <v>714</v>
      </c>
    </row>
    <row r="189" spans="1:9" hidden="1">
      <c r="A189" s="119" t="s">
        <v>1002</v>
      </c>
      <c r="B189" s="120" t="s">
        <v>1003</v>
      </c>
      <c r="C189" s="120" t="s">
        <v>27</v>
      </c>
      <c r="D189" s="121">
        <v>213</v>
      </c>
      <c r="E189" s="122">
        <v>0.1</v>
      </c>
      <c r="F189" s="121">
        <v>23</v>
      </c>
      <c r="G189" s="123">
        <v>0.4</v>
      </c>
      <c r="H189" s="122">
        <f t="shared" si="2"/>
        <v>195.96000000000004</v>
      </c>
      <c r="I189" s="132" t="s">
        <v>714</v>
      </c>
    </row>
    <row r="190" spans="1:9" hidden="1">
      <c r="A190" s="119" t="s">
        <v>1002</v>
      </c>
      <c r="B190" s="120" t="s">
        <v>1004</v>
      </c>
      <c r="C190" s="120" t="s">
        <v>1005</v>
      </c>
      <c r="D190" s="121">
        <v>3</v>
      </c>
      <c r="E190" s="122">
        <v>5</v>
      </c>
      <c r="F190" s="121">
        <v>23</v>
      </c>
      <c r="G190" s="123">
        <v>0.4</v>
      </c>
      <c r="H190" s="122">
        <f t="shared" si="2"/>
        <v>138</v>
      </c>
      <c r="I190" s="132" t="s">
        <v>714</v>
      </c>
    </row>
    <row r="191" spans="1:9" hidden="1">
      <c r="A191" s="119" t="s">
        <v>1002</v>
      </c>
      <c r="B191" s="120" t="s">
        <v>1006</v>
      </c>
      <c r="C191" s="120" t="s">
        <v>1007</v>
      </c>
      <c r="D191" s="121">
        <v>38</v>
      </c>
      <c r="E191" s="122">
        <v>0.1</v>
      </c>
      <c r="F191" s="121">
        <v>23</v>
      </c>
      <c r="G191" s="123">
        <v>0.4</v>
      </c>
      <c r="H191" s="122">
        <f t="shared" si="2"/>
        <v>34.96</v>
      </c>
      <c r="I191" s="132" t="s">
        <v>714</v>
      </c>
    </row>
    <row r="192" spans="1:9" hidden="1">
      <c r="A192" s="119" t="s">
        <v>1002</v>
      </c>
      <c r="B192" s="120" t="s">
        <v>1008</v>
      </c>
      <c r="C192" s="120" t="s">
        <v>221</v>
      </c>
      <c r="D192" s="121">
        <v>3</v>
      </c>
      <c r="E192" s="122">
        <v>1</v>
      </c>
      <c r="F192" s="121">
        <v>23</v>
      </c>
      <c r="G192" s="123">
        <v>0.4</v>
      </c>
      <c r="H192" s="122">
        <f t="shared" si="2"/>
        <v>27.6</v>
      </c>
      <c r="I192" s="132" t="s">
        <v>714</v>
      </c>
    </row>
    <row r="193" spans="1:9" hidden="1">
      <c r="A193" s="119" t="s">
        <v>1002</v>
      </c>
      <c r="B193" s="120" t="s">
        <v>1009</v>
      </c>
      <c r="C193" s="120" t="s">
        <v>283</v>
      </c>
      <c r="D193" s="121">
        <v>2</v>
      </c>
      <c r="E193" s="122">
        <v>1</v>
      </c>
      <c r="F193" s="121">
        <v>23</v>
      </c>
      <c r="G193" s="123">
        <v>0.4</v>
      </c>
      <c r="H193" s="122">
        <f t="shared" si="2"/>
        <v>18.400000000000002</v>
      </c>
      <c r="I193" s="132" t="s">
        <v>714</v>
      </c>
    </row>
    <row r="194" spans="1:9" hidden="1">
      <c r="A194" s="119" t="s">
        <v>1002</v>
      </c>
      <c r="B194" s="120" t="s">
        <v>1010</v>
      </c>
      <c r="C194" s="120" t="s">
        <v>324</v>
      </c>
      <c r="D194" s="121">
        <v>20</v>
      </c>
      <c r="E194" s="122">
        <v>0.1</v>
      </c>
      <c r="F194" s="121">
        <v>23</v>
      </c>
      <c r="G194" s="123">
        <v>0.4</v>
      </c>
      <c r="H194" s="122">
        <f t="shared" ref="H194:H257" si="3">D194*E194*F194*G194</f>
        <v>18.400000000000002</v>
      </c>
      <c r="I194" s="132" t="s">
        <v>714</v>
      </c>
    </row>
    <row r="195" spans="1:9" hidden="1">
      <c r="A195" s="119" t="s">
        <v>1002</v>
      </c>
      <c r="B195" s="120" t="s">
        <v>1011</v>
      </c>
      <c r="C195" s="120" t="s">
        <v>442</v>
      </c>
      <c r="D195" s="121">
        <v>16</v>
      </c>
      <c r="E195" s="122">
        <v>0.1</v>
      </c>
      <c r="F195" s="121">
        <v>23</v>
      </c>
      <c r="G195" s="123">
        <v>0.4</v>
      </c>
      <c r="H195" s="122">
        <f t="shared" si="3"/>
        <v>14.720000000000002</v>
      </c>
      <c r="I195" s="132" t="s">
        <v>714</v>
      </c>
    </row>
    <row r="196" spans="1:9" hidden="1">
      <c r="A196" s="119" t="s">
        <v>1002</v>
      </c>
      <c r="B196" s="120" t="s">
        <v>1012</v>
      </c>
      <c r="C196" s="120" t="s">
        <v>1013</v>
      </c>
      <c r="D196" s="121">
        <v>16</v>
      </c>
      <c r="E196" s="122">
        <v>0.1</v>
      </c>
      <c r="F196" s="121">
        <v>23</v>
      </c>
      <c r="G196" s="123">
        <v>0.4</v>
      </c>
      <c r="H196" s="122">
        <f t="shared" si="3"/>
        <v>14.720000000000002</v>
      </c>
      <c r="I196" s="132" t="s">
        <v>714</v>
      </c>
    </row>
    <row r="197" spans="1:9" hidden="1">
      <c r="A197" s="119" t="s">
        <v>1002</v>
      </c>
      <c r="B197" s="120" t="s">
        <v>1014</v>
      </c>
      <c r="C197" s="120" t="s">
        <v>1015</v>
      </c>
      <c r="D197" s="121">
        <v>15</v>
      </c>
      <c r="E197" s="122">
        <v>0.1</v>
      </c>
      <c r="F197" s="121">
        <v>23</v>
      </c>
      <c r="G197" s="123">
        <v>0.4</v>
      </c>
      <c r="H197" s="122">
        <f t="shared" si="3"/>
        <v>13.8</v>
      </c>
      <c r="I197" s="132" t="s">
        <v>714</v>
      </c>
    </row>
    <row r="198" spans="1:9" hidden="1">
      <c r="A198" s="119" t="s">
        <v>1002</v>
      </c>
      <c r="B198" s="120" t="s">
        <v>1016</v>
      </c>
      <c r="C198" s="120" t="s">
        <v>1017</v>
      </c>
      <c r="D198" s="121">
        <v>15</v>
      </c>
      <c r="E198" s="122">
        <v>0.1</v>
      </c>
      <c r="F198" s="121">
        <v>23</v>
      </c>
      <c r="G198" s="123">
        <v>0.4</v>
      </c>
      <c r="H198" s="122">
        <f t="shared" si="3"/>
        <v>13.8</v>
      </c>
      <c r="I198" s="132" t="s">
        <v>714</v>
      </c>
    </row>
    <row r="199" spans="1:9" hidden="1">
      <c r="A199" s="119" t="s">
        <v>1002</v>
      </c>
      <c r="B199" s="120" t="s">
        <v>1018</v>
      </c>
      <c r="C199" s="120" t="s">
        <v>1019</v>
      </c>
      <c r="D199" s="121">
        <v>15</v>
      </c>
      <c r="E199" s="122">
        <v>0.1</v>
      </c>
      <c r="F199" s="121">
        <v>23</v>
      </c>
      <c r="G199" s="123">
        <v>0.4</v>
      </c>
      <c r="H199" s="122">
        <f t="shared" si="3"/>
        <v>13.8</v>
      </c>
      <c r="I199" s="132" t="s">
        <v>714</v>
      </c>
    </row>
    <row r="200" spans="1:9" hidden="1">
      <c r="A200" s="119" t="s">
        <v>1002</v>
      </c>
      <c r="B200" s="120" t="s">
        <v>1020</v>
      </c>
      <c r="C200" s="120" t="s">
        <v>1021</v>
      </c>
      <c r="D200" s="121">
        <v>15</v>
      </c>
      <c r="E200" s="122">
        <v>0.1</v>
      </c>
      <c r="F200" s="121">
        <v>23</v>
      </c>
      <c r="G200" s="123">
        <v>0.4</v>
      </c>
      <c r="H200" s="122">
        <f t="shared" si="3"/>
        <v>13.8</v>
      </c>
      <c r="I200" s="132" t="s">
        <v>714</v>
      </c>
    </row>
    <row r="201" spans="1:9" hidden="1">
      <c r="A201" s="119" t="s">
        <v>1002</v>
      </c>
      <c r="B201" s="120" t="s">
        <v>1022</v>
      </c>
      <c r="C201" s="120" t="s">
        <v>315</v>
      </c>
      <c r="D201" s="121">
        <v>14</v>
      </c>
      <c r="E201" s="122">
        <v>0.1</v>
      </c>
      <c r="F201" s="121">
        <v>23</v>
      </c>
      <c r="G201" s="123">
        <v>0.4</v>
      </c>
      <c r="H201" s="122">
        <f t="shared" si="3"/>
        <v>12.880000000000003</v>
      </c>
      <c r="I201" s="132" t="s">
        <v>714</v>
      </c>
    </row>
    <row r="202" spans="1:9" hidden="1">
      <c r="A202" s="119" t="s">
        <v>1002</v>
      </c>
      <c r="B202" s="120" t="s">
        <v>1023</v>
      </c>
      <c r="C202" s="120" t="s">
        <v>458</v>
      </c>
      <c r="D202" s="121">
        <v>14</v>
      </c>
      <c r="E202" s="122">
        <v>0.1</v>
      </c>
      <c r="F202" s="121">
        <v>23</v>
      </c>
      <c r="G202" s="123">
        <v>0.4</v>
      </c>
      <c r="H202" s="122">
        <f t="shared" si="3"/>
        <v>12.880000000000003</v>
      </c>
      <c r="I202" s="132" t="s">
        <v>714</v>
      </c>
    </row>
    <row r="203" spans="1:9" hidden="1">
      <c r="A203" s="119" t="s">
        <v>1002</v>
      </c>
      <c r="B203" s="120" t="s">
        <v>1024</v>
      </c>
      <c r="C203" s="120" t="s">
        <v>1025</v>
      </c>
      <c r="D203" s="121">
        <v>14</v>
      </c>
      <c r="E203" s="122">
        <v>0.1</v>
      </c>
      <c r="F203" s="121">
        <v>23</v>
      </c>
      <c r="G203" s="123">
        <v>0.4</v>
      </c>
      <c r="H203" s="122">
        <f t="shared" si="3"/>
        <v>12.880000000000003</v>
      </c>
      <c r="I203" s="132" t="s">
        <v>714</v>
      </c>
    </row>
    <row r="204" spans="1:9" hidden="1">
      <c r="A204" s="119" t="s">
        <v>1002</v>
      </c>
      <c r="B204" s="120" t="s">
        <v>1026</v>
      </c>
      <c r="C204" s="120" t="s">
        <v>456</v>
      </c>
      <c r="D204" s="121">
        <v>13</v>
      </c>
      <c r="E204" s="122">
        <v>0.1</v>
      </c>
      <c r="F204" s="121">
        <v>23</v>
      </c>
      <c r="G204" s="123">
        <v>0.4</v>
      </c>
      <c r="H204" s="122">
        <f t="shared" si="3"/>
        <v>11.96</v>
      </c>
      <c r="I204" s="132" t="s">
        <v>714</v>
      </c>
    </row>
    <row r="205" spans="1:9" hidden="1">
      <c r="A205" s="119" t="s">
        <v>1002</v>
      </c>
      <c r="B205" s="120" t="s">
        <v>1027</v>
      </c>
      <c r="C205" s="120" t="s">
        <v>457</v>
      </c>
      <c r="D205" s="121">
        <v>13</v>
      </c>
      <c r="E205" s="122">
        <v>0.1</v>
      </c>
      <c r="F205" s="121">
        <v>23</v>
      </c>
      <c r="G205" s="123">
        <v>0.4</v>
      </c>
      <c r="H205" s="122">
        <f t="shared" si="3"/>
        <v>11.96</v>
      </c>
      <c r="I205" s="132" t="s">
        <v>714</v>
      </c>
    </row>
    <row r="206" spans="1:9" hidden="1">
      <c r="A206" s="119" t="s">
        <v>1002</v>
      </c>
      <c r="B206" s="120" t="s">
        <v>1028</v>
      </c>
      <c r="C206" s="120" t="s">
        <v>472</v>
      </c>
      <c r="D206" s="121">
        <v>13</v>
      </c>
      <c r="E206" s="122">
        <v>0.1</v>
      </c>
      <c r="F206" s="121">
        <v>23</v>
      </c>
      <c r="G206" s="123">
        <v>0.4</v>
      </c>
      <c r="H206" s="122">
        <f t="shared" si="3"/>
        <v>11.96</v>
      </c>
      <c r="I206" s="132" t="s">
        <v>714</v>
      </c>
    </row>
    <row r="207" spans="1:9" hidden="1">
      <c r="A207" s="119" t="s">
        <v>1002</v>
      </c>
      <c r="B207" s="120" t="s">
        <v>1029</v>
      </c>
      <c r="C207" s="120" t="s">
        <v>471</v>
      </c>
      <c r="D207" s="121">
        <v>12</v>
      </c>
      <c r="E207" s="122">
        <v>0.1</v>
      </c>
      <c r="F207" s="121">
        <v>23</v>
      </c>
      <c r="G207" s="123">
        <v>0.4</v>
      </c>
      <c r="H207" s="122">
        <f t="shared" si="3"/>
        <v>11.040000000000003</v>
      </c>
      <c r="I207" s="132" t="s">
        <v>714</v>
      </c>
    </row>
    <row r="208" spans="1:9" hidden="1">
      <c r="A208" s="119" t="s">
        <v>1002</v>
      </c>
      <c r="B208" s="120" t="s">
        <v>1030</v>
      </c>
      <c r="C208" s="120" t="s">
        <v>1031</v>
      </c>
      <c r="D208" s="121">
        <v>11</v>
      </c>
      <c r="E208" s="122">
        <v>0.1</v>
      </c>
      <c r="F208" s="121">
        <v>23</v>
      </c>
      <c r="G208" s="123">
        <v>0.4</v>
      </c>
      <c r="H208" s="122">
        <f t="shared" si="3"/>
        <v>10.120000000000001</v>
      </c>
      <c r="I208" s="132" t="s">
        <v>714</v>
      </c>
    </row>
    <row r="209" spans="1:9" hidden="1">
      <c r="A209" s="119" t="s">
        <v>1002</v>
      </c>
      <c r="B209" s="120" t="s">
        <v>1032</v>
      </c>
      <c r="C209" s="120" t="s">
        <v>1033</v>
      </c>
      <c r="D209" s="121">
        <v>1</v>
      </c>
      <c r="E209" s="122">
        <v>1</v>
      </c>
      <c r="F209" s="121">
        <v>23</v>
      </c>
      <c r="G209" s="123">
        <v>0.4</v>
      </c>
      <c r="H209" s="122">
        <f t="shared" si="3"/>
        <v>9.2000000000000011</v>
      </c>
      <c r="I209" s="132" t="s">
        <v>714</v>
      </c>
    </row>
    <row r="210" spans="1:9" hidden="1">
      <c r="A210" s="119" t="s">
        <v>1002</v>
      </c>
      <c r="B210" s="120" t="s">
        <v>1034</v>
      </c>
      <c r="C210" s="120" t="s">
        <v>250</v>
      </c>
      <c r="D210" s="121">
        <v>10</v>
      </c>
      <c r="E210" s="122">
        <v>0.1</v>
      </c>
      <c r="F210" s="121">
        <v>23</v>
      </c>
      <c r="G210" s="123">
        <v>0.4</v>
      </c>
      <c r="H210" s="122">
        <f t="shared" si="3"/>
        <v>9.2000000000000011</v>
      </c>
      <c r="I210" s="132" t="s">
        <v>714</v>
      </c>
    </row>
    <row r="211" spans="1:9" hidden="1">
      <c r="A211" s="119" t="s">
        <v>1002</v>
      </c>
      <c r="B211" s="120" t="s">
        <v>1035</v>
      </c>
      <c r="C211" s="120" t="s">
        <v>427</v>
      </c>
      <c r="D211" s="121">
        <v>10</v>
      </c>
      <c r="E211" s="122">
        <v>0.1</v>
      </c>
      <c r="F211" s="121">
        <v>23</v>
      </c>
      <c r="G211" s="123">
        <v>0.4</v>
      </c>
      <c r="H211" s="122">
        <f t="shared" si="3"/>
        <v>9.2000000000000011</v>
      </c>
      <c r="I211" s="132" t="s">
        <v>714</v>
      </c>
    </row>
    <row r="212" spans="1:9" hidden="1">
      <c r="A212" s="119" t="s">
        <v>1002</v>
      </c>
      <c r="B212" s="120" t="s">
        <v>1036</v>
      </c>
      <c r="C212" s="120" t="s">
        <v>48</v>
      </c>
      <c r="D212" s="121">
        <v>10</v>
      </c>
      <c r="E212" s="122">
        <v>0.1</v>
      </c>
      <c r="F212" s="121">
        <v>23</v>
      </c>
      <c r="G212" s="123">
        <v>0.4</v>
      </c>
      <c r="H212" s="122">
        <f t="shared" si="3"/>
        <v>9.2000000000000011</v>
      </c>
      <c r="I212" s="132" t="s">
        <v>714</v>
      </c>
    </row>
    <row r="213" spans="1:9" hidden="1">
      <c r="A213" s="119" t="s">
        <v>1002</v>
      </c>
      <c r="B213" s="120" t="s">
        <v>1037</v>
      </c>
      <c r="C213" s="120" t="s">
        <v>445</v>
      </c>
      <c r="D213" s="121">
        <v>10</v>
      </c>
      <c r="E213" s="122">
        <v>0.1</v>
      </c>
      <c r="F213" s="121">
        <v>23</v>
      </c>
      <c r="G213" s="123">
        <v>0.4</v>
      </c>
      <c r="H213" s="122">
        <f t="shared" si="3"/>
        <v>9.2000000000000011</v>
      </c>
      <c r="I213" s="132" t="s">
        <v>714</v>
      </c>
    </row>
    <row r="214" spans="1:9" hidden="1">
      <c r="A214" s="119" t="s">
        <v>1002</v>
      </c>
      <c r="B214" s="120" t="s">
        <v>1038</v>
      </c>
      <c r="C214" s="120" t="s">
        <v>1039</v>
      </c>
      <c r="D214" s="121">
        <v>10</v>
      </c>
      <c r="E214" s="122">
        <v>0.1</v>
      </c>
      <c r="F214" s="121">
        <v>23</v>
      </c>
      <c r="G214" s="123">
        <v>0.4</v>
      </c>
      <c r="H214" s="122">
        <f t="shared" si="3"/>
        <v>9.2000000000000011</v>
      </c>
      <c r="I214" s="132" t="s">
        <v>714</v>
      </c>
    </row>
    <row r="215" spans="1:9" hidden="1">
      <c r="A215" s="119" t="s">
        <v>1002</v>
      </c>
      <c r="B215" s="120" t="s">
        <v>1040</v>
      </c>
      <c r="C215" s="120" t="s">
        <v>1041</v>
      </c>
      <c r="D215" s="121">
        <v>9</v>
      </c>
      <c r="E215" s="122">
        <v>0.1</v>
      </c>
      <c r="F215" s="121">
        <v>23</v>
      </c>
      <c r="G215" s="123">
        <v>0.4</v>
      </c>
      <c r="H215" s="122">
        <f t="shared" si="3"/>
        <v>8.2799999999999994</v>
      </c>
      <c r="I215" s="132" t="s">
        <v>714</v>
      </c>
    </row>
    <row r="216" spans="1:9" hidden="1">
      <c r="A216" s="119" t="s">
        <v>1002</v>
      </c>
      <c r="B216" s="120" t="s">
        <v>1042</v>
      </c>
      <c r="C216" s="120" t="s">
        <v>1043</v>
      </c>
      <c r="D216" s="121">
        <v>9</v>
      </c>
      <c r="E216" s="122">
        <v>0.1</v>
      </c>
      <c r="F216" s="121">
        <v>23</v>
      </c>
      <c r="G216" s="123">
        <v>0.4</v>
      </c>
      <c r="H216" s="122">
        <f t="shared" si="3"/>
        <v>8.2799999999999994</v>
      </c>
      <c r="I216" s="132" t="s">
        <v>714</v>
      </c>
    </row>
    <row r="217" spans="1:9" hidden="1">
      <c r="A217" s="119" t="s">
        <v>1002</v>
      </c>
      <c r="B217" s="120" t="s">
        <v>1044</v>
      </c>
      <c r="C217" s="120" t="s">
        <v>1045</v>
      </c>
      <c r="D217" s="121">
        <v>9</v>
      </c>
      <c r="E217" s="122">
        <v>0.1</v>
      </c>
      <c r="F217" s="121">
        <v>23</v>
      </c>
      <c r="G217" s="123">
        <v>0.4</v>
      </c>
      <c r="H217" s="122">
        <f t="shared" si="3"/>
        <v>8.2799999999999994</v>
      </c>
      <c r="I217" s="132" t="s">
        <v>714</v>
      </c>
    </row>
    <row r="218" spans="1:9" hidden="1">
      <c r="A218" s="119" t="s">
        <v>1002</v>
      </c>
      <c r="B218" s="120" t="s">
        <v>1046</v>
      </c>
      <c r="C218" s="120" t="s">
        <v>446</v>
      </c>
      <c r="D218" s="121">
        <v>9</v>
      </c>
      <c r="E218" s="122">
        <v>0.1</v>
      </c>
      <c r="F218" s="121">
        <v>23</v>
      </c>
      <c r="G218" s="123">
        <v>0.4</v>
      </c>
      <c r="H218" s="122">
        <f t="shared" si="3"/>
        <v>8.2799999999999994</v>
      </c>
      <c r="I218" s="132" t="s">
        <v>714</v>
      </c>
    </row>
    <row r="219" spans="1:9" hidden="1">
      <c r="A219" s="119" t="s">
        <v>1002</v>
      </c>
      <c r="B219" s="120" t="s">
        <v>1047</v>
      </c>
      <c r="C219" s="120" t="s">
        <v>462</v>
      </c>
      <c r="D219" s="121">
        <v>9</v>
      </c>
      <c r="E219" s="122">
        <v>0.1</v>
      </c>
      <c r="F219" s="121">
        <v>23</v>
      </c>
      <c r="G219" s="123">
        <v>0.4</v>
      </c>
      <c r="H219" s="122">
        <f t="shared" si="3"/>
        <v>8.2799999999999994</v>
      </c>
      <c r="I219" s="132" t="s">
        <v>714</v>
      </c>
    </row>
    <row r="220" spans="1:9" hidden="1">
      <c r="A220" s="119" t="s">
        <v>1002</v>
      </c>
      <c r="B220" s="120" t="s">
        <v>1048</v>
      </c>
      <c r="C220" s="120" t="s">
        <v>517</v>
      </c>
      <c r="D220" s="121">
        <v>9</v>
      </c>
      <c r="E220" s="122">
        <v>0.1</v>
      </c>
      <c r="F220" s="121">
        <v>23</v>
      </c>
      <c r="G220" s="123">
        <v>0.4</v>
      </c>
      <c r="H220" s="122">
        <f t="shared" si="3"/>
        <v>8.2799999999999994</v>
      </c>
      <c r="I220" s="132" t="s">
        <v>714</v>
      </c>
    </row>
    <row r="221" spans="1:9" hidden="1">
      <c r="A221" s="119" t="s">
        <v>1002</v>
      </c>
      <c r="B221" s="120" t="s">
        <v>1049</v>
      </c>
      <c r="C221" s="120" t="s">
        <v>103</v>
      </c>
      <c r="D221" s="121">
        <v>8</v>
      </c>
      <c r="E221" s="122">
        <v>0.1</v>
      </c>
      <c r="F221" s="121">
        <v>23</v>
      </c>
      <c r="G221" s="123">
        <v>0.4</v>
      </c>
      <c r="H221" s="122">
        <f t="shared" si="3"/>
        <v>7.3600000000000012</v>
      </c>
      <c r="I221" s="132" t="s">
        <v>714</v>
      </c>
    </row>
    <row r="222" spans="1:9" hidden="1">
      <c r="A222" s="119" t="s">
        <v>1002</v>
      </c>
      <c r="B222" s="120" t="s">
        <v>1050</v>
      </c>
      <c r="C222" s="120" t="s">
        <v>228</v>
      </c>
      <c r="D222" s="121">
        <v>8</v>
      </c>
      <c r="E222" s="122">
        <v>0.1</v>
      </c>
      <c r="F222" s="121">
        <v>23</v>
      </c>
      <c r="G222" s="123">
        <v>0.4</v>
      </c>
      <c r="H222" s="122">
        <f t="shared" si="3"/>
        <v>7.3600000000000012</v>
      </c>
      <c r="I222" s="132" t="s">
        <v>714</v>
      </c>
    </row>
    <row r="223" spans="1:9" hidden="1">
      <c r="A223" s="119" t="s">
        <v>1002</v>
      </c>
      <c r="B223" s="120" t="s">
        <v>1051</v>
      </c>
      <c r="C223" s="120" t="s">
        <v>77</v>
      </c>
      <c r="D223" s="121">
        <v>4</v>
      </c>
      <c r="E223" s="122">
        <v>0.2</v>
      </c>
      <c r="F223" s="121">
        <v>23</v>
      </c>
      <c r="G223" s="123">
        <v>0.4</v>
      </c>
      <c r="H223" s="122">
        <f t="shared" si="3"/>
        <v>7.3600000000000012</v>
      </c>
      <c r="I223" s="132" t="s">
        <v>714</v>
      </c>
    </row>
    <row r="224" spans="1:9" hidden="1">
      <c r="A224" s="119" t="s">
        <v>1002</v>
      </c>
      <c r="B224" s="120" t="s">
        <v>1052</v>
      </c>
      <c r="C224" s="120" t="s">
        <v>304</v>
      </c>
      <c r="D224" s="121">
        <v>8</v>
      </c>
      <c r="E224" s="122">
        <v>0.1</v>
      </c>
      <c r="F224" s="121">
        <v>23</v>
      </c>
      <c r="G224" s="123">
        <v>0.4</v>
      </c>
      <c r="H224" s="122">
        <f t="shared" si="3"/>
        <v>7.3600000000000012</v>
      </c>
      <c r="I224" s="132" t="s">
        <v>714</v>
      </c>
    </row>
    <row r="225" spans="1:9" hidden="1">
      <c r="A225" s="119" t="s">
        <v>1002</v>
      </c>
      <c r="B225" s="120" t="s">
        <v>1053</v>
      </c>
      <c r="C225" s="120" t="s">
        <v>1054</v>
      </c>
      <c r="D225" s="121">
        <v>8</v>
      </c>
      <c r="E225" s="122">
        <v>0.1</v>
      </c>
      <c r="F225" s="121">
        <v>23</v>
      </c>
      <c r="G225" s="123">
        <v>0.4</v>
      </c>
      <c r="H225" s="122">
        <f t="shared" si="3"/>
        <v>7.3600000000000012</v>
      </c>
      <c r="I225" s="132" t="s">
        <v>714</v>
      </c>
    </row>
    <row r="226" spans="1:9" hidden="1">
      <c r="A226" s="119" t="s">
        <v>1002</v>
      </c>
      <c r="B226" s="120" t="s">
        <v>1055</v>
      </c>
      <c r="C226" s="120" t="s">
        <v>306</v>
      </c>
      <c r="D226" s="121">
        <v>8</v>
      </c>
      <c r="E226" s="122">
        <v>0.1</v>
      </c>
      <c r="F226" s="121">
        <v>23</v>
      </c>
      <c r="G226" s="123">
        <v>0.4</v>
      </c>
      <c r="H226" s="122">
        <f t="shared" si="3"/>
        <v>7.3600000000000012</v>
      </c>
      <c r="I226" s="132" t="s">
        <v>714</v>
      </c>
    </row>
    <row r="227" spans="1:9" hidden="1">
      <c r="A227" s="119" t="s">
        <v>1002</v>
      </c>
      <c r="B227" s="120" t="s">
        <v>1056</v>
      </c>
      <c r="C227" s="120" t="s">
        <v>45</v>
      </c>
      <c r="D227" s="121">
        <v>8</v>
      </c>
      <c r="E227" s="122">
        <v>0.1</v>
      </c>
      <c r="F227" s="121">
        <v>23</v>
      </c>
      <c r="G227" s="123">
        <v>0.4</v>
      </c>
      <c r="H227" s="122">
        <f t="shared" si="3"/>
        <v>7.3600000000000012</v>
      </c>
      <c r="I227" s="132" t="s">
        <v>714</v>
      </c>
    </row>
    <row r="228" spans="1:9" hidden="1">
      <c r="A228" s="119" t="s">
        <v>1002</v>
      </c>
      <c r="B228" s="120" t="s">
        <v>1057</v>
      </c>
      <c r="C228" s="120" t="s">
        <v>1058</v>
      </c>
      <c r="D228" s="121">
        <v>8</v>
      </c>
      <c r="E228" s="122">
        <v>0.1</v>
      </c>
      <c r="F228" s="121">
        <v>23</v>
      </c>
      <c r="G228" s="123">
        <v>0.4</v>
      </c>
      <c r="H228" s="122">
        <f t="shared" si="3"/>
        <v>7.3600000000000012</v>
      </c>
      <c r="I228" s="132" t="s">
        <v>714</v>
      </c>
    </row>
    <row r="229" spans="1:9" hidden="1">
      <c r="A229" s="119" t="s">
        <v>1002</v>
      </c>
      <c r="B229" s="120" t="s">
        <v>1059</v>
      </c>
      <c r="C229" s="120" t="s">
        <v>1060</v>
      </c>
      <c r="D229" s="121">
        <v>8</v>
      </c>
      <c r="E229" s="122">
        <v>0.1</v>
      </c>
      <c r="F229" s="121">
        <v>23</v>
      </c>
      <c r="G229" s="123">
        <v>0.4</v>
      </c>
      <c r="H229" s="122">
        <f t="shared" si="3"/>
        <v>7.3600000000000012</v>
      </c>
      <c r="I229" s="132" t="s">
        <v>714</v>
      </c>
    </row>
    <row r="230" spans="1:9" hidden="1">
      <c r="A230" s="119" t="s">
        <v>1002</v>
      </c>
      <c r="B230" s="120" t="s">
        <v>1061</v>
      </c>
      <c r="C230" s="120" t="s">
        <v>112</v>
      </c>
      <c r="D230" s="121">
        <v>8</v>
      </c>
      <c r="E230" s="122">
        <v>0.1</v>
      </c>
      <c r="F230" s="121">
        <v>23</v>
      </c>
      <c r="G230" s="123">
        <v>0.4</v>
      </c>
      <c r="H230" s="122">
        <f t="shared" si="3"/>
        <v>7.3600000000000012</v>
      </c>
      <c r="I230" s="132" t="s">
        <v>714</v>
      </c>
    </row>
    <row r="231" spans="1:9" hidden="1">
      <c r="A231" s="119" t="s">
        <v>1002</v>
      </c>
      <c r="B231" s="120" t="s">
        <v>1062</v>
      </c>
      <c r="C231" s="120" t="s">
        <v>38</v>
      </c>
      <c r="D231" s="121">
        <v>8</v>
      </c>
      <c r="E231" s="122">
        <v>0.1</v>
      </c>
      <c r="F231" s="121">
        <v>23</v>
      </c>
      <c r="G231" s="123">
        <v>0.4</v>
      </c>
      <c r="H231" s="122">
        <f t="shared" si="3"/>
        <v>7.3600000000000012</v>
      </c>
      <c r="I231" s="132" t="s">
        <v>714</v>
      </c>
    </row>
    <row r="232" spans="1:9" hidden="1">
      <c r="A232" s="119" t="s">
        <v>1002</v>
      </c>
      <c r="B232" s="120" t="s">
        <v>1063</v>
      </c>
      <c r="C232" s="120" t="s">
        <v>105</v>
      </c>
      <c r="D232" s="121">
        <v>8</v>
      </c>
      <c r="E232" s="122">
        <v>0.1</v>
      </c>
      <c r="F232" s="121">
        <v>23</v>
      </c>
      <c r="G232" s="123">
        <v>0.4</v>
      </c>
      <c r="H232" s="122">
        <f t="shared" si="3"/>
        <v>7.3600000000000012</v>
      </c>
      <c r="I232" s="132" t="s">
        <v>714</v>
      </c>
    </row>
    <row r="233" spans="1:9" hidden="1">
      <c r="A233" s="119" t="s">
        <v>1002</v>
      </c>
      <c r="B233" s="120" t="s">
        <v>1064</v>
      </c>
      <c r="C233" s="120" t="s">
        <v>50</v>
      </c>
      <c r="D233" s="121">
        <v>8</v>
      </c>
      <c r="E233" s="122">
        <v>0.1</v>
      </c>
      <c r="F233" s="121">
        <v>23</v>
      </c>
      <c r="G233" s="123">
        <v>0.4</v>
      </c>
      <c r="H233" s="122">
        <f t="shared" si="3"/>
        <v>7.3600000000000012</v>
      </c>
      <c r="I233" s="132" t="s">
        <v>714</v>
      </c>
    </row>
    <row r="234" spans="1:9" hidden="1">
      <c r="A234" s="119" t="s">
        <v>1002</v>
      </c>
      <c r="B234" s="120" t="s">
        <v>1065</v>
      </c>
      <c r="C234" s="120" t="s">
        <v>107</v>
      </c>
      <c r="D234" s="121">
        <v>8</v>
      </c>
      <c r="E234" s="122">
        <v>0.1</v>
      </c>
      <c r="F234" s="121">
        <v>23</v>
      </c>
      <c r="G234" s="123">
        <v>0.4</v>
      </c>
      <c r="H234" s="122">
        <f t="shared" si="3"/>
        <v>7.3600000000000012</v>
      </c>
      <c r="I234" s="132" t="s">
        <v>714</v>
      </c>
    </row>
    <row r="235" spans="1:9" hidden="1">
      <c r="A235" s="119" t="s">
        <v>1002</v>
      </c>
      <c r="B235" s="120" t="s">
        <v>1066</v>
      </c>
      <c r="C235" s="120" t="s">
        <v>443</v>
      </c>
      <c r="D235" s="121">
        <v>8</v>
      </c>
      <c r="E235" s="122">
        <v>0.1</v>
      </c>
      <c r="F235" s="121">
        <v>23</v>
      </c>
      <c r="G235" s="123">
        <v>0.4</v>
      </c>
      <c r="H235" s="122">
        <f t="shared" si="3"/>
        <v>7.3600000000000012</v>
      </c>
      <c r="I235" s="132" t="s">
        <v>714</v>
      </c>
    </row>
    <row r="236" spans="1:9" hidden="1">
      <c r="A236" s="119" t="s">
        <v>1002</v>
      </c>
      <c r="B236" s="120" t="s">
        <v>1067</v>
      </c>
      <c r="C236" s="120" t="s">
        <v>444</v>
      </c>
      <c r="D236" s="121">
        <v>8</v>
      </c>
      <c r="E236" s="122">
        <v>0.1</v>
      </c>
      <c r="F236" s="121">
        <v>23</v>
      </c>
      <c r="G236" s="123">
        <v>0.4</v>
      </c>
      <c r="H236" s="122">
        <f t="shared" si="3"/>
        <v>7.3600000000000012</v>
      </c>
      <c r="I236" s="132" t="s">
        <v>714</v>
      </c>
    </row>
    <row r="237" spans="1:9" hidden="1">
      <c r="A237" s="119" t="s">
        <v>1002</v>
      </c>
      <c r="B237" s="120" t="s">
        <v>1068</v>
      </c>
      <c r="C237" s="120" t="s">
        <v>61</v>
      </c>
      <c r="D237" s="121">
        <v>8</v>
      </c>
      <c r="E237" s="122">
        <v>0.1</v>
      </c>
      <c r="F237" s="121">
        <v>23</v>
      </c>
      <c r="G237" s="123">
        <v>0.4</v>
      </c>
      <c r="H237" s="122">
        <f t="shared" si="3"/>
        <v>7.3600000000000012</v>
      </c>
      <c r="I237" s="132" t="s">
        <v>714</v>
      </c>
    </row>
    <row r="238" spans="1:9" hidden="1">
      <c r="A238" s="119" t="s">
        <v>1002</v>
      </c>
      <c r="B238" s="120" t="s">
        <v>1069</v>
      </c>
      <c r="C238" s="120" t="s">
        <v>1070</v>
      </c>
      <c r="D238" s="121">
        <v>7</v>
      </c>
      <c r="E238" s="122">
        <v>0.1</v>
      </c>
      <c r="F238" s="121">
        <v>23</v>
      </c>
      <c r="G238" s="123">
        <v>0.4</v>
      </c>
      <c r="H238" s="122">
        <f t="shared" si="3"/>
        <v>6.4400000000000013</v>
      </c>
      <c r="I238" s="132" t="s">
        <v>714</v>
      </c>
    </row>
    <row r="239" spans="1:9" hidden="1">
      <c r="A239" s="119" t="s">
        <v>1002</v>
      </c>
      <c r="B239" s="120" t="s">
        <v>1071</v>
      </c>
      <c r="C239" s="120" t="s">
        <v>1072</v>
      </c>
      <c r="D239" s="121">
        <v>7</v>
      </c>
      <c r="E239" s="122">
        <v>0.1</v>
      </c>
      <c r="F239" s="121">
        <v>23</v>
      </c>
      <c r="G239" s="123">
        <v>0.4</v>
      </c>
      <c r="H239" s="122">
        <f t="shared" si="3"/>
        <v>6.4400000000000013</v>
      </c>
      <c r="I239" s="132" t="s">
        <v>714</v>
      </c>
    </row>
    <row r="240" spans="1:9" hidden="1">
      <c r="A240" s="119" t="s">
        <v>1002</v>
      </c>
      <c r="B240" s="120" t="s">
        <v>1073</v>
      </c>
      <c r="C240" s="120" t="s">
        <v>1074</v>
      </c>
      <c r="D240" s="121">
        <v>7</v>
      </c>
      <c r="E240" s="122">
        <v>0.1</v>
      </c>
      <c r="F240" s="121">
        <v>23</v>
      </c>
      <c r="G240" s="123">
        <v>0.4</v>
      </c>
      <c r="H240" s="122">
        <f t="shared" si="3"/>
        <v>6.4400000000000013</v>
      </c>
      <c r="I240" s="132" t="s">
        <v>714</v>
      </c>
    </row>
    <row r="241" spans="1:9" hidden="1">
      <c r="A241" s="119" t="s">
        <v>1002</v>
      </c>
      <c r="B241" s="120" t="s">
        <v>1075</v>
      </c>
      <c r="C241" s="120" t="s">
        <v>1076</v>
      </c>
      <c r="D241" s="121">
        <v>7</v>
      </c>
      <c r="E241" s="122">
        <v>0.1</v>
      </c>
      <c r="F241" s="121">
        <v>23</v>
      </c>
      <c r="G241" s="123">
        <v>0.4</v>
      </c>
      <c r="H241" s="122">
        <f t="shared" si="3"/>
        <v>6.4400000000000013</v>
      </c>
      <c r="I241" s="132" t="s">
        <v>714</v>
      </c>
    </row>
    <row r="242" spans="1:9" hidden="1">
      <c r="A242" s="119" t="s">
        <v>1002</v>
      </c>
      <c r="B242" s="120" t="s">
        <v>1077</v>
      </c>
      <c r="C242" s="120" t="s">
        <v>1078</v>
      </c>
      <c r="D242" s="121">
        <v>7</v>
      </c>
      <c r="E242" s="122">
        <v>0.1</v>
      </c>
      <c r="F242" s="121">
        <v>23</v>
      </c>
      <c r="G242" s="123">
        <v>0.4</v>
      </c>
      <c r="H242" s="122">
        <f t="shared" si="3"/>
        <v>6.4400000000000013</v>
      </c>
      <c r="I242" s="132" t="s">
        <v>714</v>
      </c>
    </row>
    <row r="243" spans="1:9" hidden="1">
      <c r="A243" s="119" t="s">
        <v>1002</v>
      </c>
      <c r="B243" s="120" t="s">
        <v>1079</v>
      </c>
      <c r="C243" s="120" t="s">
        <v>1080</v>
      </c>
      <c r="D243" s="121">
        <v>7</v>
      </c>
      <c r="E243" s="122">
        <v>0.1</v>
      </c>
      <c r="F243" s="121">
        <v>23</v>
      </c>
      <c r="G243" s="123">
        <v>0.4</v>
      </c>
      <c r="H243" s="122">
        <f t="shared" si="3"/>
        <v>6.4400000000000013</v>
      </c>
      <c r="I243" s="132" t="s">
        <v>714</v>
      </c>
    </row>
    <row r="244" spans="1:9" hidden="1">
      <c r="A244" s="119" t="s">
        <v>1002</v>
      </c>
      <c r="B244" s="120" t="s">
        <v>1081</v>
      </c>
      <c r="C244" s="120" t="s">
        <v>1082</v>
      </c>
      <c r="D244" s="121">
        <v>7</v>
      </c>
      <c r="E244" s="122">
        <v>0.1</v>
      </c>
      <c r="F244" s="121">
        <v>23</v>
      </c>
      <c r="G244" s="123">
        <v>0.4</v>
      </c>
      <c r="H244" s="122">
        <f t="shared" si="3"/>
        <v>6.4400000000000013</v>
      </c>
      <c r="I244" s="132" t="s">
        <v>714</v>
      </c>
    </row>
    <row r="245" spans="1:9" hidden="1">
      <c r="A245" s="119" t="s">
        <v>1002</v>
      </c>
      <c r="B245" s="120" t="s">
        <v>1083</v>
      </c>
      <c r="C245" s="120" t="s">
        <v>1084</v>
      </c>
      <c r="D245" s="121">
        <v>7</v>
      </c>
      <c r="E245" s="122">
        <v>0.1</v>
      </c>
      <c r="F245" s="121">
        <v>23</v>
      </c>
      <c r="G245" s="123">
        <v>0.4</v>
      </c>
      <c r="H245" s="122">
        <f t="shared" si="3"/>
        <v>6.4400000000000013</v>
      </c>
      <c r="I245" s="132" t="s">
        <v>714</v>
      </c>
    </row>
    <row r="246" spans="1:9" hidden="1">
      <c r="A246" s="119" t="s">
        <v>1002</v>
      </c>
      <c r="B246" s="120" t="s">
        <v>1085</v>
      </c>
      <c r="C246" s="120" t="s">
        <v>1086</v>
      </c>
      <c r="D246" s="121">
        <v>7</v>
      </c>
      <c r="E246" s="122">
        <v>0.1</v>
      </c>
      <c r="F246" s="121">
        <v>23</v>
      </c>
      <c r="G246" s="123">
        <v>0.4</v>
      </c>
      <c r="H246" s="122">
        <f t="shared" si="3"/>
        <v>6.4400000000000013</v>
      </c>
      <c r="I246" s="132" t="s">
        <v>714</v>
      </c>
    </row>
    <row r="247" spans="1:9" hidden="1">
      <c r="A247" s="119" t="s">
        <v>1002</v>
      </c>
      <c r="B247" s="120" t="s">
        <v>1087</v>
      </c>
      <c r="C247" s="120" t="s">
        <v>642</v>
      </c>
      <c r="D247" s="121">
        <v>7</v>
      </c>
      <c r="E247" s="122">
        <v>0.1</v>
      </c>
      <c r="F247" s="121">
        <v>23</v>
      </c>
      <c r="G247" s="123">
        <v>0.4</v>
      </c>
      <c r="H247" s="122">
        <f t="shared" si="3"/>
        <v>6.4400000000000013</v>
      </c>
      <c r="I247" s="132" t="s">
        <v>714</v>
      </c>
    </row>
    <row r="248" spans="1:9" hidden="1">
      <c r="A248" s="119" t="s">
        <v>1002</v>
      </c>
      <c r="B248" s="120" t="s">
        <v>1088</v>
      </c>
      <c r="C248" s="120" t="s">
        <v>54</v>
      </c>
      <c r="D248" s="121">
        <v>7</v>
      </c>
      <c r="E248" s="122">
        <v>0.1</v>
      </c>
      <c r="F248" s="121">
        <v>23</v>
      </c>
      <c r="G248" s="123">
        <v>0.4</v>
      </c>
      <c r="H248" s="122">
        <f t="shared" si="3"/>
        <v>6.4400000000000013</v>
      </c>
      <c r="I248" s="132" t="s">
        <v>714</v>
      </c>
    </row>
    <row r="249" spans="1:9" hidden="1">
      <c r="A249" s="119" t="s">
        <v>1002</v>
      </c>
      <c r="B249" s="120" t="s">
        <v>1089</v>
      </c>
      <c r="C249" s="120" t="s">
        <v>1090</v>
      </c>
      <c r="D249" s="121">
        <v>7</v>
      </c>
      <c r="E249" s="122">
        <v>0.1</v>
      </c>
      <c r="F249" s="121">
        <v>23</v>
      </c>
      <c r="G249" s="123">
        <v>0.4</v>
      </c>
      <c r="H249" s="122">
        <f t="shared" si="3"/>
        <v>6.4400000000000013</v>
      </c>
      <c r="I249" s="132" t="s">
        <v>714</v>
      </c>
    </row>
    <row r="250" spans="1:9" hidden="1">
      <c r="A250" s="119" t="s">
        <v>1002</v>
      </c>
      <c r="B250" s="120" t="s">
        <v>1091</v>
      </c>
      <c r="C250" s="120" t="s">
        <v>1092</v>
      </c>
      <c r="D250" s="121">
        <v>7</v>
      </c>
      <c r="E250" s="122">
        <v>0.1</v>
      </c>
      <c r="F250" s="121">
        <v>23</v>
      </c>
      <c r="G250" s="123">
        <v>0.4</v>
      </c>
      <c r="H250" s="122">
        <f t="shared" si="3"/>
        <v>6.4400000000000013</v>
      </c>
      <c r="I250" s="132" t="s">
        <v>714</v>
      </c>
    </row>
    <row r="251" spans="1:9" hidden="1">
      <c r="A251" s="119" t="s">
        <v>1002</v>
      </c>
      <c r="B251" s="120" t="s">
        <v>1093</v>
      </c>
      <c r="C251" s="120" t="s">
        <v>1094</v>
      </c>
      <c r="D251" s="121">
        <v>7</v>
      </c>
      <c r="E251" s="122">
        <v>0.1</v>
      </c>
      <c r="F251" s="121">
        <v>23</v>
      </c>
      <c r="G251" s="123">
        <v>0.4</v>
      </c>
      <c r="H251" s="122">
        <f t="shared" si="3"/>
        <v>6.4400000000000013</v>
      </c>
      <c r="I251" s="132" t="s">
        <v>714</v>
      </c>
    </row>
    <row r="252" spans="1:9" hidden="1">
      <c r="A252" s="119" t="s">
        <v>1002</v>
      </c>
      <c r="B252" s="120" t="s">
        <v>1095</v>
      </c>
      <c r="C252" s="120" t="s">
        <v>68</v>
      </c>
      <c r="D252" s="121">
        <v>7</v>
      </c>
      <c r="E252" s="122">
        <v>0.1</v>
      </c>
      <c r="F252" s="121">
        <v>23</v>
      </c>
      <c r="G252" s="123">
        <v>0.4</v>
      </c>
      <c r="H252" s="122">
        <f t="shared" si="3"/>
        <v>6.4400000000000013</v>
      </c>
      <c r="I252" s="132" t="s">
        <v>714</v>
      </c>
    </row>
    <row r="253" spans="1:9" hidden="1">
      <c r="A253" s="119" t="s">
        <v>1002</v>
      </c>
      <c r="B253" s="120" t="s">
        <v>1096</v>
      </c>
      <c r="C253" s="120" t="s">
        <v>429</v>
      </c>
      <c r="D253" s="121">
        <v>7</v>
      </c>
      <c r="E253" s="122">
        <v>0.1</v>
      </c>
      <c r="F253" s="121">
        <v>23</v>
      </c>
      <c r="G253" s="123">
        <v>0.4</v>
      </c>
      <c r="H253" s="122">
        <f t="shared" si="3"/>
        <v>6.4400000000000013</v>
      </c>
      <c r="I253" s="132" t="s">
        <v>714</v>
      </c>
    </row>
    <row r="254" spans="1:9" hidden="1">
      <c r="A254" s="119" t="s">
        <v>1002</v>
      </c>
      <c r="B254" s="120" t="s">
        <v>1097</v>
      </c>
      <c r="C254" s="120" t="s">
        <v>66</v>
      </c>
      <c r="D254" s="121">
        <v>7</v>
      </c>
      <c r="E254" s="122">
        <v>0.1</v>
      </c>
      <c r="F254" s="121">
        <v>23</v>
      </c>
      <c r="G254" s="123">
        <v>0.4</v>
      </c>
      <c r="H254" s="122">
        <f t="shared" si="3"/>
        <v>6.4400000000000013</v>
      </c>
      <c r="I254" s="132" t="s">
        <v>714</v>
      </c>
    </row>
    <row r="255" spans="1:9" hidden="1">
      <c r="A255" s="119" t="s">
        <v>1002</v>
      </c>
      <c r="B255" s="120" t="s">
        <v>1098</v>
      </c>
      <c r="C255" s="120" t="s">
        <v>448</v>
      </c>
      <c r="D255" s="121">
        <v>7</v>
      </c>
      <c r="E255" s="122">
        <v>0.1</v>
      </c>
      <c r="F255" s="121">
        <v>23</v>
      </c>
      <c r="G255" s="123">
        <v>0.4</v>
      </c>
      <c r="H255" s="122">
        <f t="shared" si="3"/>
        <v>6.4400000000000013</v>
      </c>
      <c r="I255" s="132" t="s">
        <v>714</v>
      </c>
    </row>
    <row r="256" spans="1:9" hidden="1">
      <c r="A256" s="119" t="s">
        <v>1002</v>
      </c>
      <c r="B256" s="120" t="s">
        <v>1099</v>
      </c>
      <c r="C256" s="120" t="s">
        <v>454</v>
      </c>
      <c r="D256" s="121">
        <v>7</v>
      </c>
      <c r="E256" s="122">
        <v>0.1</v>
      </c>
      <c r="F256" s="121">
        <v>23</v>
      </c>
      <c r="G256" s="123">
        <v>0.4</v>
      </c>
      <c r="H256" s="122">
        <f t="shared" si="3"/>
        <v>6.4400000000000013</v>
      </c>
      <c r="I256" s="132" t="s">
        <v>714</v>
      </c>
    </row>
    <row r="257" spans="1:9" hidden="1">
      <c r="A257" s="119" t="s">
        <v>1002</v>
      </c>
      <c r="B257" s="120" t="s">
        <v>1100</v>
      </c>
      <c r="C257" s="120" t="s">
        <v>459</v>
      </c>
      <c r="D257" s="121">
        <v>7</v>
      </c>
      <c r="E257" s="122">
        <v>0.1</v>
      </c>
      <c r="F257" s="121">
        <v>23</v>
      </c>
      <c r="G257" s="123">
        <v>0.4</v>
      </c>
      <c r="H257" s="122">
        <f t="shared" si="3"/>
        <v>6.4400000000000013</v>
      </c>
      <c r="I257" s="132" t="s">
        <v>714</v>
      </c>
    </row>
    <row r="258" spans="1:9" hidden="1">
      <c r="A258" s="119" t="s">
        <v>1002</v>
      </c>
      <c r="B258" s="120" t="s">
        <v>1101</v>
      </c>
      <c r="C258" s="120" t="s">
        <v>1102</v>
      </c>
      <c r="D258" s="121">
        <v>7</v>
      </c>
      <c r="E258" s="122">
        <v>0.1</v>
      </c>
      <c r="F258" s="121">
        <v>23</v>
      </c>
      <c r="G258" s="123">
        <v>0.4</v>
      </c>
      <c r="H258" s="122">
        <f t="shared" ref="H258:H321" si="4">D258*E258*F258*G258</f>
        <v>6.4400000000000013</v>
      </c>
      <c r="I258" s="132" t="s">
        <v>714</v>
      </c>
    </row>
    <row r="259" spans="1:9" hidden="1">
      <c r="A259" s="119" t="s">
        <v>1002</v>
      </c>
      <c r="B259" s="120" t="s">
        <v>1103</v>
      </c>
      <c r="C259" s="120" t="s">
        <v>1104</v>
      </c>
      <c r="D259" s="121">
        <v>7</v>
      </c>
      <c r="E259" s="122">
        <v>0.1</v>
      </c>
      <c r="F259" s="121">
        <v>23</v>
      </c>
      <c r="G259" s="123">
        <v>0.4</v>
      </c>
      <c r="H259" s="122">
        <f t="shared" si="4"/>
        <v>6.4400000000000013</v>
      </c>
      <c r="I259" s="132" t="s">
        <v>714</v>
      </c>
    </row>
    <row r="260" spans="1:9" hidden="1">
      <c r="A260" s="119" t="s">
        <v>1002</v>
      </c>
      <c r="B260" s="120" t="s">
        <v>1105</v>
      </c>
      <c r="C260" s="120" t="s">
        <v>1106</v>
      </c>
      <c r="D260" s="121">
        <v>6</v>
      </c>
      <c r="E260" s="122">
        <v>0.1</v>
      </c>
      <c r="F260" s="121">
        <v>23</v>
      </c>
      <c r="G260" s="123">
        <v>0.4</v>
      </c>
      <c r="H260" s="122">
        <f t="shared" si="4"/>
        <v>5.5200000000000014</v>
      </c>
      <c r="I260" s="132" t="s">
        <v>714</v>
      </c>
    </row>
    <row r="261" spans="1:9" hidden="1">
      <c r="A261" s="119" t="s">
        <v>1002</v>
      </c>
      <c r="B261" s="120" t="s">
        <v>1107</v>
      </c>
      <c r="C261" s="120" t="s">
        <v>1108</v>
      </c>
      <c r="D261" s="121">
        <v>6</v>
      </c>
      <c r="E261" s="122">
        <v>0.1</v>
      </c>
      <c r="F261" s="121">
        <v>23</v>
      </c>
      <c r="G261" s="123">
        <v>0.4</v>
      </c>
      <c r="H261" s="122">
        <f t="shared" si="4"/>
        <v>5.5200000000000014</v>
      </c>
      <c r="I261" s="132" t="s">
        <v>714</v>
      </c>
    </row>
    <row r="262" spans="1:9" hidden="1">
      <c r="A262" s="119" t="s">
        <v>1002</v>
      </c>
      <c r="B262" s="120" t="s">
        <v>1109</v>
      </c>
      <c r="C262" s="120" t="s">
        <v>248</v>
      </c>
      <c r="D262" s="121">
        <v>6</v>
      </c>
      <c r="E262" s="122">
        <v>0.1</v>
      </c>
      <c r="F262" s="121">
        <v>23</v>
      </c>
      <c r="G262" s="123">
        <v>0.4</v>
      </c>
      <c r="H262" s="122">
        <f t="shared" si="4"/>
        <v>5.5200000000000014</v>
      </c>
      <c r="I262" s="132" t="s">
        <v>714</v>
      </c>
    </row>
    <row r="263" spans="1:9" hidden="1">
      <c r="A263" s="119" t="s">
        <v>1002</v>
      </c>
      <c r="B263" s="120" t="s">
        <v>1110</v>
      </c>
      <c r="C263" s="120" t="s">
        <v>1111</v>
      </c>
      <c r="D263" s="121">
        <v>6</v>
      </c>
      <c r="E263" s="122">
        <v>0.1</v>
      </c>
      <c r="F263" s="121">
        <v>23</v>
      </c>
      <c r="G263" s="123">
        <v>0.4</v>
      </c>
      <c r="H263" s="122">
        <f t="shared" si="4"/>
        <v>5.5200000000000014</v>
      </c>
      <c r="I263" s="132" t="s">
        <v>714</v>
      </c>
    </row>
    <row r="264" spans="1:9" hidden="1">
      <c r="A264" s="119" t="s">
        <v>1002</v>
      </c>
      <c r="B264" s="120" t="s">
        <v>1112</v>
      </c>
      <c r="C264" s="120" t="s">
        <v>1113</v>
      </c>
      <c r="D264" s="121">
        <v>6</v>
      </c>
      <c r="E264" s="122">
        <v>0.1</v>
      </c>
      <c r="F264" s="121">
        <v>23</v>
      </c>
      <c r="G264" s="123">
        <v>0.4</v>
      </c>
      <c r="H264" s="122">
        <f t="shared" si="4"/>
        <v>5.5200000000000014</v>
      </c>
      <c r="I264" s="132" t="s">
        <v>714</v>
      </c>
    </row>
    <row r="265" spans="1:9" hidden="1">
      <c r="A265" s="119" t="s">
        <v>1002</v>
      </c>
      <c r="B265" s="120" t="s">
        <v>1114</v>
      </c>
      <c r="C265" s="120" t="s">
        <v>1115</v>
      </c>
      <c r="D265" s="121">
        <v>6</v>
      </c>
      <c r="E265" s="122">
        <v>0.1</v>
      </c>
      <c r="F265" s="121">
        <v>23</v>
      </c>
      <c r="G265" s="123">
        <v>0.4</v>
      </c>
      <c r="H265" s="122">
        <f t="shared" si="4"/>
        <v>5.5200000000000014</v>
      </c>
      <c r="I265" s="132" t="s">
        <v>714</v>
      </c>
    </row>
    <row r="266" spans="1:9" hidden="1">
      <c r="A266" s="119" t="s">
        <v>1002</v>
      </c>
      <c r="B266" s="120" t="s">
        <v>1116</v>
      </c>
      <c r="C266" s="120" t="s">
        <v>1117</v>
      </c>
      <c r="D266" s="121">
        <v>6</v>
      </c>
      <c r="E266" s="122">
        <v>0.1</v>
      </c>
      <c r="F266" s="121">
        <v>23</v>
      </c>
      <c r="G266" s="123">
        <v>0.4</v>
      </c>
      <c r="H266" s="122">
        <f t="shared" si="4"/>
        <v>5.5200000000000014</v>
      </c>
      <c r="I266" s="132" t="s">
        <v>714</v>
      </c>
    </row>
    <row r="267" spans="1:9" hidden="1">
      <c r="A267" s="119" t="s">
        <v>1002</v>
      </c>
      <c r="B267" s="120" t="s">
        <v>1118</v>
      </c>
      <c r="C267" s="120" t="s">
        <v>1119</v>
      </c>
      <c r="D267" s="121">
        <v>6</v>
      </c>
      <c r="E267" s="122">
        <v>0.1</v>
      </c>
      <c r="F267" s="121">
        <v>23</v>
      </c>
      <c r="G267" s="123">
        <v>0.4</v>
      </c>
      <c r="H267" s="122">
        <f t="shared" si="4"/>
        <v>5.5200000000000014</v>
      </c>
      <c r="I267" s="132" t="s">
        <v>714</v>
      </c>
    </row>
    <row r="268" spans="1:9" hidden="1">
      <c r="A268" s="119" t="s">
        <v>1002</v>
      </c>
      <c r="B268" s="120" t="s">
        <v>1120</v>
      </c>
      <c r="C268" s="120" t="s">
        <v>41</v>
      </c>
      <c r="D268" s="121">
        <v>6</v>
      </c>
      <c r="E268" s="122">
        <v>0.1</v>
      </c>
      <c r="F268" s="121">
        <v>23</v>
      </c>
      <c r="G268" s="123">
        <v>0.4</v>
      </c>
      <c r="H268" s="122">
        <f t="shared" si="4"/>
        <v>5.5200000000000014</v>
      </c>
      <c r="I268" s="132" t="s">
        <v>714</v>
      </c>
    </row>
    <row r="269" spans="1:9" hidden="1">
      <c r="A269" s="119" t="s">
        <v>1002</v>
      </c>
      <c r="B269" s="120" t="s">
        <v>1121</v>
      </c>
      <c r="C269" s="120" t="s">
        <v>1122</v>
      </c>
      <c r="D269" s="121">
        <v>6</v>
      </c>
      <c r="E269" s="122">
        <v>0.1</v>
      </c>
      <c r="F269" s="121">
        <v>23</v>
      </c>
      <c r="G269" s="123">
        <v>0.4</v>
      </c>
      <c r="H269" s="122">
        <f t="shared" si="4"/>
        <v>5.5200000000000014</v>
      </c>
      <c r="I269" s="132" t="s">
        <v>714</v>
      </c>
    </row>
    <row r="270" spans="1:9" hidden="1">
      <c r="A270" s="119" t="s">
        <v>1002</v>
      </c>
      <c r="B270" s="120" t="s">
        <v>1123</v>
      </c>
      <c r="C270" s="120" t="s">
        <v>1124</v>
      </c>
      <c r="D270" s="121">
        <v>6</v>
      </c>
      <c r="E270" s="122">
        <v>0.1</v>
      </c>
      <c r="F270" s="121">
        <v>23</v>
      </c>
      <c r="G270" s="123">
        <v>0.4</v>
      </c>
      <c r="H270" s="122">
        <f t="shared" si="4"/>
        <v>5.5200000000000014</v>
      </c>
      <c r="I270" s="132" t="s">
        <v>714</v>
      </c>
    </row>
    <row r="271" spans="1:9" hidden="1">
      <c r="A271" s="119" t="s">
        <v>1002</v>
      </c>
      <c r="B271" s="120" t="s">
        <v>1125</v>
      </c>
      <c r="C271" s="120" t="s">
        <v>1126</v>
      </c>
      <c r="D271" s="121">
        <v>6</v>
      </c>
      <c r="E271" s="122">
        <v>0.1</v>
      </c>
      <c r="F271" s="121">
        <v>23</v>
      </c>
      <c r="G271" s="123">
        <v>0.4</v>
      </c>
      <c r="H271" s="122">
        <f t="shared" si="4"/>
        <v>5.5200000000000014</v>
      </c>
      <c r="I271" s="132" t="s">
        <v>714</v>
      </c>
    </row>
    <row r="272" spans="1:9" hidden="1">
      <c r="A272" s="119" t="s">
        <v>1002</v>
      </c>
      <c r="B272" s="120" t="s">
        <v>1127</v>
      </c>
      <c r="C272" s="120" t="s">
        <v>639</v>
      </c>
      <c r="D272" s="121">
        <v>6</v>
      </c>
      <c r="E272" s="122">
        <v>0.1</v>
      </c>
      <c r="F272" s="121">
        <v>23</v>
      </c>
      <c r="G272" s="123">
        <v>0.4</v>
      </c>
      <c r="H272" s="122">
        <f t="shared" si="4"/>
        <v>5.5200000000000014</v>
      </c>
      <c r="I272" s="132" t="s">
        <v>714</v>
      </c>
    </row>
    <row r="273" spans="1:9" hidden="1">
      <c r="A273" s="119" t="s">
        <v>1002</v>
      </c>
      <c r="B273" s="120" t="s">
        <v>1128</v>
      </c>
      <c r="C273" s="120" t="s">
        <v>447</v>
      </c>
      <c r="D273" s="121">
        <v>6</v>
      </c>
      <c r="E273" s="122">
        <v>0.1</v>
      </c>
      <c r="F273" s="121">
        <v>23</v>
      </c>
      <c r="G273" s="123">
        <v>0.4</v>
      </c>
      <c r="H273" s="122">
        <f t="shared" si="4"/>
        <v>5.5200000000000014</v>
      </c>
      <c r="I273" s="132" t="s">
        <v>714</v>
      </c>
    </row>
    <row r="274" spans="1:9" hidden="1">
      <c r="A274" s="119" t="s">
        <v>1002</v>
      </c>
      <c r="B274" s="120" t="s">
        <v>1129</v>
      </c>
      <c r="C274" s="120" t="s">
        <v>449</v>
      </c>
      <c r="D274" s="121">
        <v>6</v>
      </c>
      <c r="E274" s="122">
        <v>0.1</v>
      </c>
      <c r="F274" s="121">
        <v>23</v>
      </c>
      <c r="G274" s="123">
        <v>0.4</v>
      </c>
      <c r="H274" s="122">
        <f t="shared" si="4"/>
        <v>5.5200000000000014</v>
      </c>
      <c r="I274" s="132" t="s">
        <v>714</v>
      </c>
    </row>
    <row r="275" spans="1:9" hidden="1">
      <c r="A275" s="119" t="s">
        <v>1002</v>
      </c>
      <c r="B275" s="120" t="s">
        <v>1130</v>
      </c>
      <c r="C275" s="120" t="s">
        <v>450</v>
      </c>
      <c r="D275" s="121">
        <v>6</v>
      </c>
      <c r="E275" s="122">
        <v>0.1</v>
      </c>
      <c r="F275" s="121">
        <v>23</v>
      </c>
      <c r="G275" s="123">
        <v>0.4</v>
      </c>
      <c r="H275" s="122">
        <f t="shared" si="4"/>
        <v>5.5200000000000014</v>
      </c>
      <c r="I275" s="132" t="s">
        <v>714</v>
      </c>
    </row>
    <row r="276" spans="1:9" hidden="1">
      <c r="A276" s="119" t="s">
        <v>1002</v>
      </c>
      <c r="B276" s="120" t="s">
        <v>1131</v>
      </c>
      <c r="C276" s="120" t="s">
        <v>453</v>
      </c>
      <c r="D276" s="121">
        <v>6</v>
      </c>
      <c r="E276" s="122">
        <v>0.1</v>
      </c>
      <c r="F276" s="121">
        <v>23</v>
      </c>
      <c r="G276" s="123">
        <v>0.4</v>
      </c>
      <c r="H276" s="122">
        <f t="shared" si="4"/>
        <v>5.5200000000000014</v>
      </c>
      <c r="I276" s="132" t="s">
        <v>714</v>
      </c>
    </row>
    <row r="277" spans="1:9" hidden="1">
      <c r="A277" s="119" t="s">
        <v>1002</v>
      </c>
      <c r="B277" s="120" t="s">
        <v>1132</v>
      </c>
      <c r="C277" s="120" t="s">
        <v>1133</v>
      </c>
      <c r="D277" s="121">
        <v>6</v>
      </c>
      <c r="E277" s="122">
        <v>0.1</v>
      </c>
      <c r="F277" s="121">
        <v>23</v>
      </c>
      <c r="G277" s="123">
        <v>0.4</v>
      </c>
      <c r="H277" s="122">
        <f t="shared" si="4"/>
        <v>5.5200000000000014</v>
      </c>
      <c r="I277" s="132" t="s">
        <v>714</v>
      </c>
    </row>
    <row r="278" spans="1:9" hidden="1">
      <c r="A278" s="119" t="s">
        <v>1002</v>
      </c>
      <c r="B278" s="120" t="s">
        <v>1134</v>
      </c>
      <c r="C278" s="120" t="s">
        <v>464</v>
      </c>
      <c r="D278" s="121">
        <v>6</v>
      </c>
      <c r="E278" s="122">
        <v>0.1</v>
      </c>
      <c r="F278" s="121">
        <v>23</v>
      </c>
      <c r="G278" s="123">
        <v>0.4</v>
      </c>
      <c r="H278" s="122">
        <f t="shared" si="4"/>
        <v>5.5200000000000014</v>
      </c>
      <c r="I278" s="132" t="s">
        <v>714</v>
      </c>
    </row>
    <row r="279" spans="1:9" hidden="1">
      <c r="A279" s="119" t="s">
        <v>1002</v>
      </c>
      <c r="B279" s="120" t="s">
        <v>1135</v>
      </c>
      <c r="C279" s="120" t="s">
        <v>47</v>
      </c>
      <c r="D279" s="121">
        <v>6</v>
      </c>
      <c r="E279" s="122">
        <v>0.1</v>
      </c>
      <c r="F279" s="121">
        <v>23</v>
      </c>
      <c r="G279" s="123">
        <v>0.4</v>
      </c>
      <c r="H279" s="122">
        <f t="shared" si="4"/>
        <v>5.5200000000000014</v>
      </c>
      <c r="I279" s="132" t="s">
        <v>714</v>
      </c>
    </row>
    <row r="280" spans="1:9" hidden="1">
      <c r="A280" s="119" t="s">
        <v>1002</v>
      </c>
      <c r="B280" s="120" t="s">
        <v>1136</v>
      </c>
      <c r="C280" s="120" t="s">
        <v>1137</v>
      </c>
      <c r="D280" s="121">
        <v>6</v>
      </c>
      <c r="E280" s="122">
        <v>0.1</v>
      </c>
      <c r="F280" s="121">
        <v>23</v>
      </c>
      <c r="G280" s="123">
        <v>0.4</v>
      </c>
      <c r="H280" s="122">
        <f t="shared" si="4"/>
        <v>5.5200000000000014</v>
      </c>
      <c r="I280" s="132" t="s">
        <v>714</v>
      </c>
    </row>
    <row r="281" spans="1:9" hidden="1">
      <c r="A281" s="119" t="s">
        <v>1002</v>
      </c>
      <c r="B281" s="120" t="s">
        <v>1138</v>
      </c>
      <c r="C281" s="120" t="s">
        <v>1139</v>
      </c>
      <c r="D281" s="121">
        <v>6</v>
      </c>
      <c r="E281" s="122">
        <v>0.1</v>
      </c>
      <c r="F281" s="121">
        <v>23</v>
      </c>
      <c r="G281" s="123">
        <v>0.4</v>
      </c>
      <c r="H281" s="122">
        <f t="shared" si="4"/>
        <v>5.5200000000000014</v>
      </c>
      <c r="I281" s="132" t="s">
        <v>714</v>
      </c>
    </row>
    <row r="282" spans="1:9" hidden="1">
      <c r="A282" s="119" t="s">
        <v>1002</v>
      </c>
      <c r="B282" s="120" t="s">
        <v>1140</v>
      </c>
      <c r="C282" s="120" t="s">
        <v>507</v>
      </c>
      <c r="D282" s="121">
        <v>6</v>
      </c>
      <c r="E282" s="122">
        <v>0.1</v>
      </c>
      <c r="F282" s="121">
        <v>23</v>
      </c>
      <c r="G282" s="123">
        <v>0.4</v>
      </c>
      <c r="H282" s="122">
        <f t="shared" si="4"/>
        <v>5.5200000000000014</v>
      </c>
      <c r="I282" s="132" t="s">
        <v>714</v>
      </c>
    </row>
    <row r="283" spans="1:9" hidden="1">
      <c r="A283" s="119" t="s">
        <v>1002</v>
      </c>
      <c r="B283" s="120" t="s">
        <v>1141</v>
      </c>
      <c r="C283" s="120" t="s">
        <v>508</v>
      </c>
      <c r="D283" s="121">
        <v>6</v>
      </c>
      <c r="E283" s="122">
        <v>0.1</v>
      </c>
      <c r="F283" s="121">
        <v>23</v>
      </c>
      <c r="G283" s="123">
        <v>0.4</v>
      </c>
      <c r="H283" s="122">
        <f t="shared" si="4"/>
        <v>5.5200000000000014</v>
      </c>
      <c r="I283" s="132" t="s">
        <v>714</v>
      </c>
    </row>
    <row r="284" spans="1:9" hidden="1">
      <c r="A284" s="119" t="s">
        <v>1002</v>
      </c>
      <c r="B284" s="120" t="s">
        <v>1142</v>
      </c>
      <c r="C284" s="120" t="s">
        <v>29</v>
      </c>
      <c r="D284" s="121">
        <v>6</v>
      </c>
      <c r="E284" s="122">
        <v>0.1</v>
      </c>
      <c r="F284" s="121">
        <v>23</v>
      </c>
      <c r="G284" s="123">
        <v>0.4</v>
      </c>
      <c r="H284" s="122">
        <f t="shared" si="4"/>
        <v>5.5200000000000014</v>
      </c>
      <c r="I284" s="132" t="s">
        <v>714</v>
      </c>
    </row>
    <row r="285" spans="1:9" hidden="1">
      <c r="A285" s="119" t="s">
        <v>1002</v>
      </c>
      <c r="B285" s="120" t="s">
        <v>1143</v>
      </c>
      <c r="C285" s="120" t="s">
        <v>1144</v>
      </c>
      <c r="D285" s="121">
        <v>5</v>
      </c>
      <c r="E285" s="122">
        <v>0.1</v>
      </c>
      <c r="F285" s="121">
        <v>23</v>
      </c>
      <c r="G285" s="123">
        <v>0.4</v>
      </c>
      <c r="H285" s="122">
        <f t="shared" si="4"/>
        <v>4.6000000000000005</v>
      </c>
      <c r="I285" s="132" t="s">
        <v>714</v>
      </c>
    </row>
    <row r="286" spans="1:9" hidden="1">
      <c r="A286" s="119" t="s">
        <v>1002</v>
      </c>
      <c r="B286" s="120" t="s">
        <v>1145</v>
      </c>
      <c r="C286" s="120" t="s">
        <v>312</v>
      </c>
      <c r="D286" s="121">
        <v>5</v>
      </c>
      <c r="E286" s="122">
        <v>0.1</v>
      </c>
      <c r="F286" s="121">
        <v>23</v>
      </c>
      <c r="G286" s="123">
        <v>0.4</v>
      </c>
      <c r="H286" s="122">
        <f t="shared" si="4"/>
        <v>4.6000000000000005</v>
      </c>
      <c r="I286" s="132" t="s">
        <v>714</v>
      </c>
    </row>
    <row r="287" spans="1:9" hidden="1">
      <c r="A287" s="119" t="s">
        <v>1002</v>
      </c>
      <c r="B287" s="120" t="s">
        <v>1146</v>
      </c>
      <c r="C287" s="120" t="s">
        <v>321</v>
      </c>
      <c r="D287" s="121">
        <v>5</v>
      </c>
      <c r="E287" s="122">
        <v>0.1</v>
      </c>
      <c r="F287" s="121">
        <v>23</v>
      </c>
      <c r="G287" s="123">
        <v>0.4</v>
      </c>
      <c r="H287" s="122">
        <f t="shared" si="4"/>
        <v>4.6000000000000005</v>
      </c>
      <c r="I287" s="132" t="s">
        <v>714</v>
      </c>
    </row>
    <row r="288" spans="1:9" hidden="1">
      <c r="A288" s="119" t="s">
        <v>1002</v>
      </c>
      <c r="B288" s="120" t="s">
        <v>1147</v>
      </c>
      <c r="C288" s="120" t="s">
        <v>326</v>
      </c>
      <c r="D288" s="121">
        <v>5</v>
      </c>
      <c r="E288" s="122">
        <v>0.1</v>
      </c>
      <c r="F288" s="121">
        <v>23</v>
      </c>
      <c r="G288" s="123">
        <v>0.4</v>
      </c>
      <c r="H288" s="122">
        <f t="shared" si="4"/>
        <v>4.6000000000000005</v>
      </c>
      <c r="I288" s="132" t="s">
        <v>714</v>
      </c>
    </row>
    <row r="289" spans="1:9" hidden="1">
      <c r="A289" s="119" t="s">
        <v>1002</v>
      </c>
      <c r="B289" s="120" t="s">
        <v>1148</v>
      </c>
      <c r="C289" s="120" t="s">
        <v>1149</v>
      </c>
      <c r="D289" s="121">
        <v>5</v>
      </c>
      <c r="E289" s="122">
        <v>0.1</v>
      </c>
      <c r="F289" s="121">
        <v>23</v>
      </c>
      <c r="G289" s="123">
        <v>0.4</v>
      </c>
      <c r="H289" s="122">
        <f t="shared" si="4"/>
        <v>4.6000000000000005</v>
      </c>
      <c r="I289" s="132" t="s">
        <v>714</v>
      </c>
    </row>
    <row r="290" spans="1:9" hidden="1">
      <c r="A290" s="119" t="s">
        <v>1002</v>
      </c>
      <c r="B290" s="120" t="s">
        <v>1150</v>
      </c>
      <c r="C290" s="120" t="s">
        <v>1151</v>
      </c>
      <c r="D290" s="121">
        <v>5</v>
      </c>
      <c r="E290" s="122">
        <v>0.1</v>
      </c>
      <c r="F290" s="121">
        <v>23</v>
      </c>
      <c r="G290" s="123">
        <v>0.4</v>
      </c>
      <c r="H290" s="122">
        <f t="shared" si="4"/>
        <v>4.6000000000000005</v>
      </c>
      <c r="I290" s="132" t="s">
        <v>714</v>
      </c>
    </row>
    <row r="291" spans="1:9" hidden="1">
      <c r="A291" s="119" t="s">
        <v>1002</v>
      </c>
      <c r="B291" s="120" t="s">
        <v>1152</v>
      </c>
      <c r="C291" s="120" t="s">
        <v>1153</v>
      </c>
      <c r="D291" s="121">
        <v>5</v>
      </c>
      <c r="E291" s="122">
        <v>0.1</v>
      </c>
      <c r="F291" s="121">
        <v>23</v>
      </c>
      <c r="G291" s="123">
        <v>0.4</v>
      </c>
      <c r="H291" s="122">
        <f t="shared" si="4"/>
        <v>4.6000000000000005</v>
      </c>
      <c r="I291" s="132" t="s">
        <v>714</v>
      </c>
    </row>
    <row r="292" spans="1:9" hidden="1">
      <c r="A292" s="119" t="s">
        <v>1002</v>
      </c>
      <c r="B292" s="120" t="s">
        <v>1154</v>
      </c>
      <c r="C292" s="120" t="s">
        <v>1155</v>
      </c>
      <c r="D292" s="121">
        <v>5</v>
      </c>
      <c r="E292" s="122">
        <v>0.1</v>
      </c>
      <c r="F292" s="121">
        <v>23</v>
      </c>
      <c r="G292" s="123">
        <v>0.4</v>
      </c>
      <c r="H292" s="122">
        <f t="shared" si="4"/>
        <v>4.6000000000000005</v>
      </c>
      <c r="I292" s="132" t="s">
        <v>714</v>
      </c>
    </row>
    <row r="293" spans="1:9" hidden="1">
      <c r="A293" s="119" t="s">
        <v>1002</v>
      </c>
      <c r="B293" s="120" t="s">
        <v>1156</v>
      </c>
      <c r="C293" s="120" t="s">
        <v>1157</v>
      </c>
      <c r="D293" s="121">
        <v>5</v>
      </c>
      <c r="E293" s="122">
        <v>0.1</v>
      </c>
      <c r="F293" s="121">
        <v>23</v>
      </c>
      <c r="G293" s="123">
        <v>0.4</v>
      </c>
      <c r="H293" s="122">
        <f t="shared" si="4"/>
        <v>4.6000000000000005</v>
      </c>
      <c r="I293" s="132" t="s">
        <v>714</v>
      </c>
    </row>
    <row r="294" spans="1:9" hidden="1">
      <c r="A294" s="119" t="s">
        <v>1002</v>
      </c>
      <c r="B294" s="120" t="s">
        <v>1158</v>
      </c>
      <c r="C294" s="120" t="s">
        <v>1159</v>
      </c>
      <c r="D294" s="121">
        <v>5</v>
      </c>
      <c r="E294" s="122">
        <v>0.1</v>
      </c>
      <c r="F294" s="121">
        <v>23</v>
      </c>
      <c r="G294" s="123">
        <v>0.4</v>
      </c>
      <c r="H294" s="122">
        <f t="shared" si="4"/>
        <v>4.6000000000000005</v>
      </c>
      <c r="I294" s="132" t="s">
        <v>714</v>
      </c>
    </row>
    <row r="295" spans="1:9" hidden="1">
      <c r="A295" s="119" t="s">
        <v>1002</v>
      </c>
      <c r="B295" s="120" t="s">
        <v>1160</v>
      </c>
      <c r="C295" s="120" t="s">
        <v>51</v>
      </c>
      <c r="D295" s="121">
        <v>5</v>
      </c>
      <c r="E295" s="122">
        <v>0.1</v>
      </c>
      <c r="F295" s="121">
        <v>23</v>
      </c>
      <c r="G295" s="123">
        <v>0.4</v>
      </c>
      <c r="H295" s="122">
        <f t="shared" si="4"/>
        <v>4.6000000000000005</v>
      </c>
      <c r="I295" s="132" t="s">
        <v>714</v>
      </c>
    </row>
    <row r="296" spans="1:9" hidden="1">
      <c r="A296" s="119" t="s">
        <v>1002</v>
      </c>
      <c r="B296" s="120" t="s">
        <v>1161</v>
      </c>
      <c r="C296" s="120" t="s">
        <v>1162</v>
      </c>
      <c r="D296" s="121">
        <v>5</v>
      </c>
      <c r="E296" s="122">
        <v>0.1</v>
      </c>
      <c r="F296" s="121">
        <v>23</v>
      </c>
      <c r="G296" s="123">
        <v>0.4</v>
      </c>
      <c r="H296" s="122">
        <f t="shared" si="4"/>
        <v>4.6000000000000005</v>
      </c>
      <c r="I296" s="132" t="s">
        <v>714</v>
      </c>
    </row>
    <row r="297" spans="1:9" hidden="1">
      <c r="A297" s="119" t="s">
        <v>1002</v>
      </c>
      <c r="B297" s="120" t="s">
        <v>1163</v>
      </c>
      <c r="C297" s="120" t="s">
        <v>1164</v>
      </c>
      <c r="D297" s="121">
        <v>5</v>
      </c>
      <c r="E297" s="122">
        <v>0.1</v>
      </c>
      <c r="F297" s="121">
        <v>23</v>
      </c>
      <c r="G297" s="123">
        <v>0.4</v>
      </c>
      <c r="H297" s="122">
        <f t="shared" si="4"/>
        <v>4.6000000000000005</v>
      </c>
      <c r="I297" s="132" t="s">
        <v>714</v>
      </c>
    </row>
    <row r="298" spans="1:9" hidden="1">
      <c r="A298" s="119" t="s">
        <v>1002</v>
      </c>
      <c r="B298" s="120" t="s">
        <v>1165</v>
      </c>
      <c r="C298" s="120" t="s">
        <v>1166</v>
      </c>
      <c r="D298" s="121">
        <v>5</v>
      </c>
      <c r="E298" s="122">
        <v>0.1</v>
      </c>
      <c r="F298" s="121">
        <v>23</v>
      </c>
      <c r="G298" s="123">
        <v>0.4</v>
      </c>
      <c r="H298" s="122">
        <f t="shared" si="4"/>
        <v>4.6000000000000005</v>
      </c>
      <c r="I298" s="132" t="s">
        <v>714</v>
      </c>
    </row>
    <row r="299" spans="1:9" hidden="1">
      <c r="A299" s="119" t="s">
        <v>1002</v>
      </c>
      <c r="B299" s="120" t="s">
        <v>1167</v>
      </c>
      <c r="C299" s="120" t="s">
        <v>1168</v>
      </c>
      <c r="D299" s="121">
        <v>5</v>
      </c>
      <c r="E299" s="122">
        <v>0.1</v>
      </c>
      <c r="F299" s="121">
        <v>23</v>
      </c>
      <c r="G299" s="123">
        <v>0.4</v>
      </c>
      <c r="H299" s="122">
        <f t="shared" si="4"/>
        <v>4.6000000000000005</v>
      </c>
      <c r="I299" s="132" t="s">
        <v>714</v>
      </c>
    </row>
    <row r="300" spans="1:9" hidden="1">
      <c r="A300" s="119" t="s">
        <v>1002</v>
      </c>
      <c r="B300" s="120" t="s">
        <v>1169</v>
      </c>
      <c r="C300" s="120" t="s">
        <v>430</v>
      </c>
      <c r="D300" s="121">
        <v>5</v>
      </c>
      <c r="E300" s="122">
        <v>0.1</v>
      </c>
      <c r="F300" s="121">
        <v>23</v>
      </c>
      <c r="G300" s="123">
        <v>0.4</v>
      </c>
      <c r="H300" s="122">
        <f t="shared" si="4"/>
        <v>4.6000000000000005</v>
      </c>
      <c r="I300" s="132" t="s">
        <v>714</v>
      </c>
    </row>
    <row r="301" spans="1:9" hidden="1">
      <c r="A301" s="119" t="s">
        <v>1002</v>
      </c>
      <c r="B301" s="120" t="s">
        <v>1170</v>
      </c>
      <c r="C301" s="120" t="s">
        <v>431</v>
      </c>
      <c r="D301" s="121">
        <v>5</v>
      </c>
      <c r="E301" s="122">
        <v>0.1</v>
      </c>
      <c r="F301" s="121">
        <v>23</v>
      </c>
      <c r="G301" s="123">
        <v>0.4</v>
      </c>
      <c r="H301" s="122">
        <f t="shared" si="4"/>
        <v>4.6000000000000005</v>
      </c>
      <c r="I301" s="132" t="s">
        <v>714</v>
      </c>
    </row>
    <row r="302" spans="1:9" hidden="1">
      <c r="A302" s="119" t="s">
        <v>1002</v>
      </c>
      <c r="B302" s="120" t="s">
        <v>1171</v>
      </c>
      <c r="C302" s="120" t="s">
        <v>451</v>
      </c>
      <c r="D302" s="121">
        <v>5</v>
      </c>
      <c r="E302" s="122">
        <v>0.1</v>
      </c>
      <c r="F302" s="121">
        <v>23</v>
      </c>
      <c r="G302" s="123">
        <v>0.4</v>
      </c>
      <c r="H302" s="122">
        <f t="shared" si="4"/>
        <v>4.6000000000000005</v>
      </c>
      <c r="I302" s="132" t="s">
        <v>714</v>
      </c>
    </row>
    <row r="303" spans="1:9" hidden="1">
      <c r="A303" s="119" t="s">
        <v>1002</v>
      </c>
      <c r="B303" s="120" t="s">
        <v>1172</v>
      </c>
      <c r="C303" s="120" t="s">
        <v>452</v>
      </c>
      <c r="D303" s="121">
        <v>5</v>
      </c>
      <c r="E303" s="122">
        <v>0.1</v>
      </c>
      <c r="F303" s="121">
        <v>23</v>
      </c>
      <c r="G303" s="123">
        <v>0.4</v>
      </c>
      <c r="H303" s="122">
        <f t="shared" si="4"/>
        <v>4.6000000000000005</v>
      </c>
      <c r="I303" s="132" t="s">
        <v>714</v>
      </c>
    </row>
    <row r="304" spans="1:9" hidden="1">
      <c r="A304" s="119" t="s">
        <v>1002</v>
      </c>
      <c r="B304" s="120" t="s">
        <v>1173</v>
      </c>
      <c r="C304" s="120" t="s">
        <v>460</v>
      </c>
      <c r="D304" s="121">
        <v>5</v>
      </c>
      <c r="E304" s="122">
        <v>0.1</v>
      </c>
      <c r="F304" s="121">
        <v>23</v>
      </c>
      <c r="G304" s="123">
        <v>0.4</v>
      </c>
      <c r="H304" s="122">
        <f t="shared" si="4"/>
        <v>4.6000000000000005</v>
      </c>
      <c r="I304" s="132" t="s">
        <v>714</v>
      </c>
    </row>
    <row r="305" spans="1:9" hidden="1">
      <c r="A305" s="119" t="s">
        <v>1002</v>
      </c>
      <c r="B305" s="120" t="s">
        <v>1174</v>
      </c>
      <c r="C305" s="120" t="s">
        <v>108</v>
      </c>
      <c r="D305" s="121">
        <v>5</v>
      </c>
      <c r="E305" s="122">
        <v>0.1</v>
      </c>
      <c r="F305" s="121">
        <v>23</v>
      </c>
      <c r="G305" s="123">
        <v>0.4</v>
      </c>
      <c r="H305" s="122">
        <f t="shared" si="4"/>
        <v>4.6000000000000005</v>
      </c>
      <c r="I305" s="132" t="s">
        <v>714</v>
      </c>
    </row>
    <row r="306" spans="1:9" hidden="1">
      <c r="A306" s="119" t="s">
        <v>1002</v>
      </c>
      <c r="B306" s="120" t="s">
        <v>1175</v>
      </c>
      <c r="C306" s="120" t="s">
        <v>461</v>
      </c>
      <c r="D306" s="121">
        <v>5</v>
      </c>
      <c r="E306" s="122">
        <v>0.1</v>
      </c>
      <c r="F306" s="121">
        <v>23</v>
      </c>
      <c r="G306" s="123">
        <v>0.4</v>
      </c>
      <c r="H306" s="122">
        <f t="shared" si="4"/>
        <v>4.6000000000000005</v>
      </c>
      <c r="I306" s="132" t="s">
        <v>714</v>
      </c>
    </row>
    <row r="307" spans="1:9" hidden="1">
      <c r="A307" s="119" t="s">
        <v>1002</v>
      </c>
      <c r="B307" s="120" t="s">
        <v>1176</v>
      </c>
      <c r="C307" s="120" t="s">
        <v>492</v>
      </c>
      <c r="D307" s="121">
        <v>5</v>
      </c>
      <c r="E307" s="122">
        <v>0.1</v>
      </c>
      <c r="F307" s="121">
        <v>23</v>
      </c>
      <c r="G307" s="123">
        <v>0.4</v>
      </c>
      <c r="H307" s="122">
        <f t="shared" si="4"/>
        <v>4.6000000000000005</v>
      </c>
      <c r="I307" s="132" t="s">
        <v>714</v>
      </c>
    </row>
    <row r="308" spans="1:9" hidden="1">
      <c r="A308" s="119" t="s">
        <v>1002</v>
      </c>
      <c r="B308" s="120" t="s">
        <v>1177</v>
      </c>
      <c r="C308" s="120" t="s">
        <v>1178</v>
      </c>
      <c r="D308" s="121">
        <v>4</v>
      </c>
      <c r="E308" s="122">
        <v>0.1</v>
      </c>
      <c r="F308" s="121">
        <v>23</v>
      </c>
      <c r="G308" s="123">
        <v>0.4</v>
      </c>
      <c r="H308" s="122">
        <f t="shared" si="4"/>
        <v>3.6800000000000006</v>
      </c>
      <c r="I308" s="132" t="s">
        <v>714</v>
      </c>
    </row>
    <row r="309" spans="1:9" hidden="1">
      <c r="A309" s="119" t="s">
        <v>1002</v>
      </c>
      <c r="B309" s="120" t="s">
        <v>1179</v>
      </c>
      <c r="C309" s="120" t="s">
        <v>207</v>
      </c>
      <c r="D309" s="121">
        <v>4</v>
      </c>
      <c r="E309" s="122">
        <v>0.1</v>
      </c>
      <c r="F309" s="121">
        <v>23</v>
      </c>
      <c r="G309" s="123">
        <v>0.4</v>
      </c>
      <c r="H309" s="122">
        <f t="shared" si="4"/>
        <v>3.6800000000000006</v>
      </c>
      <c r="I309" s="132" t="s">
        <v>714</v>
      </c>
    </row>
    <row r="310" spans="1:9" hidden="1">
      <c r="A310" s="119" t="s">
        <v>1002</v>
      </c>
      <c r="B310" s="120" t="s">
        <v>1180</v>
      </c>
      <c r="C310" s="120" t="s">
        <v>92</v>
      </c>
      <c r="D310" s="121">
        <v>4</v>
      </c>
      <c r="E310" s="122">
        <v>0.1</v>
      </c>
      <c r="F310" s="121">
        <v>23</v>
      </c>
      <c r="G310" s="123">
        <v>0.4</v>
      </c>
      <c r="H310" s="122">
        <f t="shared" si="4"/>
        <v>3.6800000000000006</v>
      </c>
      <c r="I310" s="132" t="s">
        <v>714</v>
      </c>
    </row>
    <row r="311" spans="1:9" hidden="1">
      <c r="A311" s="119" t="s">
        <v>1002</v>
      </c>
      <c r="B311" s="120" t="s">
        <v>1181</v>
      </c>
      <c r="C311" s="120" t="s">
        <v>1182</v>
      </c>
      <c r="D311" s="121">
        <v>4</v>
      </c>
      <c r="E311" s="122">
        <v>0.1</v>
      </c>
      <c r="F311" s="121">
        <v>23</v>
      </c>
      <c r="G311" s="123">
        <v>0.4</v>
      </c>
      <c r="H311" s="122">
        <f t="shared" si="4"/>
        <v>3.6800000000000006</v>
      </c>
      <c r="I311" s="132" t="s">
        <v>714</v>
      </c>
    </row>
    <row r="312" spans="1:9" hidden="1">
      <c r="A312" s="119" t="s">
        <v>1002</v>
      </c>
      <c r="B312" s="120" t="s">
        <v>1183</v>
      </c>
      <c r="C312" s="120" t="s">
        <v>252</v>
      </c>
      <c r="D312" s="121">
        <v>4</v>
      </c>
      <c r="E312" s="122">
        <v>0.1</v>
      </c>
      <c r="F312" s="121">
        <v>23</v>
      </c>
      <c r="G312" s="123">
        <v>0.4</v>
      </c>
      <c r="H312" s="122">
        <f t="shared" si="4"/>
        <v>3.6800000000000006</v>
      </c>
      <c r="I312" s="132" t="s">
        <v>714</v>
      </c>
    </row>
    <row r="313" spans="1:9" hidden="1">
      <c r="A313" s="119" t="s">
        <v>1002</v>
      </c>
      <c r="B313" s="120" t="s">
        <v>1184</v>
      </c>
      <c r="C313" s="120" t="s">
        <v>76</v>
      </c>
      <c r="D313" s="121">
        <v>2</v>
      </c>
      <c r="E313" s="122">
        <v>0.2</v>
      </c>
      <c r="F313" s="121">
        <v>23</v>
      </c>
      <c r="G313" s="123">
        <v>0.4</v>
      </c>
      <c r="H313" s="122">
        <f t="shared" si="4"/>
        <v>3.6800000000000006</v>
      </c>
      <c r="I313" s="132" t="s">
        <v>714</v>
      </c>
    </row>
    <row r="314" spans="1:9" hidden="1">
      <c r="A314" s="119" t="s">
        <v>1002</v>
      </c>
      <c r="B314" s="120" t="s">
        <v>1185</v>
      </c>
      <c r="C314" s="120" t="s">
        <v>87</v>
      </c>
      <c r="D314" s="121">
        <v>2</v>
      </c>
      <c r="E314" s="122">
        <v>0.2</v>
      </c>
      <c r="F314" s="121">
        <v>23</v>
      </c>
      <c r="G314" s="123">
        <v>0.4</v>
      </c>
      <c r="H314" s="122">
        <f t="shared" si="4"/>
        <v>3.6800000000000006</v>
      </c>
      <c r="I314" s="132" t="s">
        <v>714</v>
      </c>
    </row>
    <row r="315" spans="1:9" hidden="1">
      <c r="A315" s="119" t="s">
        <v>1002</v>
      </c>
      <c r="B315" s="120" t="s">
        <v>1186</v>
      </c>
      <c r="C315" s="120" t="s">
        <v>1187</v>
      </c>
      <c r="D315" s="121">
        <v>4</v>
      </c>
      <c r="E315" s="122">
        <v>0.1</v>
      </c>
      <c r="F315" s="121">
        <v>23</v>
      </c>
      <c r="G315" s="123">
        <v>0.4</v>
      </c>
      <c r="H315" s="122">
        <f t="shared" si="4"/>
        <v>3.6800000000000006</v>
      </c>
      <c r="I315" s="132" t="s">
        <v>714</v>
      </c>
    </row>
    <row r="316" spans="1:9" hidden="1">
      <c r="A316" s="119" t="s">
        <v>1002</v>
      </c>
      <c r="B316" s="120" t="s">
        <v>1188</v>
      </c>
      <c r="C316" s="120" t="s">
        <v>1189</v>
      </c>
      <c r="D316" s="121">
        <v>4</v>
      </c>
      <c r="E316" s="122">
        <v>0.1</v>
      </c>
      <c r="F316" s="121">
        <v>23</v>
      </c>
      <c r="G316" s="123">
        <v>0.4</v>
      </c>
      <c r="H316" s="122">
        <f t="shared" si="4"/>
        <v>3.6800000000000006</v>
      </c>
      <c r="I316" s="132" t="s">
        <v>714</v>
      </c>
    </row>
    <row r="317" spans="1:9" hidden="1">
      <c r="A317" s="119" t="s">
        <v>1002</v>
      </c>
      <c r="B317" s="120" t="s">
        <v>1190</v>
      </c>
      <c r="C317" s="120" t="s">
        <v>1191</v>
      </c>
      <c r="D317" s="121">
        <v>4</v>
      </c>
      <c r="E317" s="122">
        <v>0.1</v>
      </c>
      <c r="F317" s="121">
        <v>23</v>
      </c>
      <c r="G317" s="123">
        <v>0.4</v>
      </c>
      <c r="H317" s="122">
        <f t="shared" si="4"/>
        <v>3.6800000000000006</v>
      </c>
      <c r="I317" s="132" t="s">
        <v>714</v>
      </c>
    </row>
    <row r="318" spans="1:9" hidden="1">
      <c r="A318" s="119" t="s">
        <v>1002</v>
      </c>
      <c r="B318" s="120" t="s">
        <v>1192</v>
      </c>
      <c r="C318" s="120" t="s">
        <v>1193</v>
      </c>
      <c r="D318" s="121">
        <v>4</v>
      </c>
      <c r="E318" s="122">
        <v>0.1</v>
      </c>
      <c r="F318" s="121">
        <v>23</v>
      </c>
      <c r="G318" s="123">
        <v>0.4</v>
      </c>
      <c r="H318" s="122">
        <f t="shared" si="4"/>
        <v>3.6800000000000006</v>
      </c>
      <c r="I318" s="132" t="s">
        <v>714</v>
      </c>
    </row>
    <row r="319" spans="1:9" hidden="1">
      <c r="A319" s="119" t="s">
        <v>1002</v>
      </c>
      <c r="B319" s="120" t="s">
        <v>1194</v>
      </c>
      <c r="C319" s="120" t="s">
        <v>1195</v>
      </c>
      <c r="D319" s="121">
        <v>4</v>
      </c>
      <c r="E319" s="122">
        <v>0.1</v>
      </c>
      <c r="F319" s="121">
        <v>23</v>
      </c>
      <c r="G319" s="123">
        <v>0.4</v>
      </c>
      <c r="H319" s="122">
        <f t="shared" si="4"/>
        <v>3.6800000000000006</v>
      </c>
      <c r="I319" s="132" t="s">
        <v>714</v>
      </c>
    </row>
    <row r="320" spans="1:9" hidden="1">
      <c r="A320" s="119" t="s">
        <v>1002</v>
      </c>
      <c r="B320" s="120" t="s">
        <v>1196</v>
      </c>
      <c r="C320" s="120" t="s">
        <v>1197</v>
      </c>
      <c r="D320" s="121">
        <v>4</v>
      </c>
      <c r="E320" s="122">
        <v>0.1</v>
      </c>
      <c r="F320" s="121">
        <v>23</v>
      </c>
      <c r="G320" s="123">
        <v>0.4</v>
      </c>
      <c r="H320" s="122">
        <f t="shared" si="4"/>
        <v>3.6800000000000006</v>
      </c>
      <c r="I320" s="132" t="s">
        <v>714</v>
      </c>
    </row>
    <row r="321" spans="1:9" hidden="1">
      <c r="A321" s="119" t="s">
        <v>1002</v>
      </c>
      <c r="B321" s="120" t="s">
        <v>1198</v>
      </c>
      <c r="C321" s="120" t="s">
        <v>1199</v>
      </c>
      <c r="D321" s="121">
        <v>4</v>
      </c>
      <c r="E321" s="122">
        <v>0.1</v>
      </c>
      <c r="F321" s="121">
        <v>23</v>
      </c>
      <c r="G321" s="123">
        <v>0.4</v>
      </c>
      <c r="H321" s="122">
        <f t="shared" si="4"/>
        <v>3.6800000000000006</v>
      </c>
      <c r="I321" s="132" t="s">
        <v>714</v>
      </c>
    </row>
    <row r="322" spans="1:9" hidden="1">
      <c r="A322" s="119" t="s">
        <v>1002</v>
      </c>
      <c r="B322" s="120" t="s">
        <v>1200</v>
      </c>
      <c r="C322" s="120" t="s">
        <v>1201</v>
      </c>
      <c r="D322" s="121">
        <v>4</v>
      </c>
      <c r="E322" s="122">
        <v>0.1</v>
      </c>
      <c r="F322" s="121">
        <v>23</v>
      </c>
      <c r="G322" s="123">
        <v>0.4</v>
      </c>
      <c r="H322" s="122">
        <f t="shared" ref="H322:H385" si="5">D322*E322*F322*G322</f>
        <v>3.6800000000000006</v>
      </c>
      <c r="I322" s="132" t="s">
        <v>714</v>
      </c>
    </row>
    <row r="323" spans="1:9" hidden="1">
      <c r="A323" s="119" t="s">
        <v>1002</v>
      </c>
      <c r="B323" s="120" t="s">
        <v>1202</v>
      </c>
      <c r="C323" s="120" t="s">
        <v>1203</v>
      </c>
      <c r="D323" s="121">
        <v>4</v>
      </c>
      <c r="E323" s="122">
        <v>0.1</v>
      </c>
      <c r="F323" s="121">
        <v>23</v>
      </c>
      <c r="G323" s="123">
        <v>0.4</v>
      </c>
      <c r="H323" s="122">
        <f t="shared" si="5"/>
        <v>3.6800000000000006</v>
      </c>
      <c r="I323" s="132" t="s">
        <v>714</v>
      </c>
    </row>
    <row r="324" spans="1:9" hidden="1">
      <c r="A324" s="119" t="s">
        <v>1002</v>
      </c>
      <c r="B324" s="120" t="s">
        <v>1204</v>
      </c>
      <c r="C324" s="120" t="s">
        <v>1205</v>
      </c>
      <c r="D324" s="121">
        <v>4</v>
      </c>
      <c r="E324" s="122">
        <v>0.1</v>
      </c>
      <c r="F324" s="121">
        <v>23</v>
      </c>
      <c r="G324" s="123">
        <v>0.4</v>
      </c>
      <c r="H324" s="122">
        <f t="shared" si="5"/>
        <v>3.6800000000000006</v>
      </c>
      <c r="I324" s="132" t="s">
        <v>714</v>
      </c>
    </row>
    <row r="325" spans="1:9" hidden="1">
      <c r="A325" s="119" t="s">
        <v>1002</v>
      </c>
      <c r="B325" s="120" t="s">
        <v>1206</v>
      </c>
      <c r="C325" s="120" t="s">
        <v>1207</v>
      </c>
      <c r="D325" s="121">
        <v>4</v>
      </c>
      <c r="E325" s="122">
        <v>0.1</v>
      </c>
      <c r="F325" s="121">
        <v>23</v>
      </c>
      <c r="G325" s="123">
        <v>0.4</v>
      </c>
      <c r="H325" s="122">
        <f t="shared" si="5"/>
        <v>3.6800000000000006</v>
      </c>
      <c r="I325" s="132" t="s">
        <v>714</v>
      </c>
    </row>
    <row r="326" spans="1:9" hidden="1">
      <c r="A326" s="119" t="s">
        <v>1002</v>
      </c>
      <c r="B326" s="120" t="s">
        <v>1208</v>
      </c>
      <c r="C326" s="120" t="s">
        <v>1209</v>
      </c>
      <c r="D326" s="121">
        <v>4</v>
      </c>
      <c r="E326" s="122">
        <v>0.1</v>
      </c>
      <c r="F326" s="121">
        <v>23</v>
      </c>
      <c r="G326" s="123">
        <v>0.4</v>
      </c>
      <c r="H326" s="122">
        <f t="shared" si="5"/>
        <v>3.6800000000000006</v>
      </c>
      <c r="I326" s="132" t="s">
        <v>714</v>
      </c>
    </row>
    <row r="327" spans="1:9" hidden="1">
      <c r="A327" s="119" t="s">
        <v>1002</v>
      </c>
      <c r="B327" s="120" t="s">
        <v>1210</v>
      </c>
      <c r="C327" s="120" t="s">
        <v>1211</v>
      </c>
      <c r="D327" s="121">
        <v>4</v>
      </c>
      <c r="E327" s="122">
        <v>0.1</v>
      </c>
      <c r="F327" s="121">
        <v>23</v>
      </c>
      <c r="G327" s="123">
        <v>0.4</v>
      </c>
      <c r="H327" s="122">
        <f t="shared" si="5"/>
        <v>3.6800000000000006</v>
      </c>
      <c r="I327" s="132" t="s">
        <v>714</v>
      </c>
    </row>
    <row r="328" spans="1:9" hidden="1">
      <c r="A328" s="119" t="s">
        <v>1002</v>
      </c>
      <c r="B328" s="120" t="s">
        <v>1212</v>
      </c>
      <c r="C328" s="120" t="s">
        <v>1213</v>
      </c>
      <c r="D328" s="121">
        <v>4</v>
      </c>
      <c r="E328" s="122">
        <v>0.1</v>
      </c>
      <c r="F328" s="121">
        <v>23</v>
      </c>
      <c r="G328" s="123">
        <v>0.4</v>
      </c>
      <c r="H328" s="122">
        <f t="shared" si="5"/>
        <v>3.6800000000000006</v>
      </c>
      <c r="I328" s="132" t="s">
        <v>714</v>
      </c>
    </row>
    <row r="329" spans="1:9" hidden="1">
      <c r="A329" s="119" t="s">
        <v>1002</v>
      </c>
      <c r="B329" s="120" t="s">
        <v>1214</v>
      </c>
      <c r="C329" s="120" t="s">
        <v>1215</v>
      </c>
      <c r="D329" s="121">
        <v>4</v>
      </c>
      <c r="E329" s="122">
        <v>0.1</v>
      </c>
      <c r="F329" s="121">
        <v>23</v>
      </c>
      <c r="G329" s="123">
        <v>0.4</v>
      </c>
      <c r="H329" s="122">
        <f t="shared" si="5"/>
        <v>3.6800000000000006</v>
      </c>
      <c r="I329" s="132" t="s">
        <v>714</v>
      </c>
    </row>
    <row r="330" spans="1:9" hidden="1">
      <c r="A330" s="119" t="s">
        <v>1002</v>
      </c>
      <c r="B330" s="120" t="s">
        <v>1216</v>
      </c>
      <c r="C330" s="120" t="s">
        <v>1217</v>
      </c>
      <c r="D330" s="121">
        <v>4</v>
      </c>
      <c r="E330" s="122">
        <v>0.1</v>
      </c>
      <c r="F330" s="121">
        <v>23</v>
      </c>
      <c r="G330" s="123">
        <v>0.4</v>
      </c>
      <c r="H330" s="122">
        <f t="shared" si="5"/>
        <v>3.6800000000000006</v>
      </c>
      <c r="I330" s="132" t="s">
        <v>714</v>
      </c>
    </row>
    <row r="331" spans="1:9" hidden="1">
      <c r="A331" s="119" t="s">
        <v>1002</v>
      </c>
      <c r="B331" s="120" t="s">
        <v>1218</v>
      </c>
      <c r="C331" s="120" t="s">
        <v>1219</v>
      </c>
      <c r="D331" s="121">
        <v>4</v>
      </c>
      <c r="E331" s="122">
        <v>0.1</v>
      </c>
      <c r="F331" s="121">
        <v>23</v>
      </c>
      <c r="G331" s="123">
        <v>0.4</v>
      </c>
      <c r="H331" s="122">
        <f t="shared" si="5"/>
        <v>3.6800000000000006</v>
      </c>
      <c r="I331" s="132" t="s">
        <v>714</v>
      </c>
    </row>
    <row r="332" spans="1:9" hidden="1">
      <c r="A332" s="119" t="s">
        <v>1002</v>
      </c>
      <c r="B332" s="120" t="s">
        <v>1220</v>
      </c>
      <c r="C332" s="120" t="s">
        <v>1221</v>
      </c>
      <c r="D332" s="121">
        <v>4</v>
      </c>
      <c r="E332" s="122">
        <v>0.1</v>
      </c>
      <c r="F332" s="121">
        <v>23</v>
      </c>
      <c r="G332" s="123">
        <v>0.4</v>
      </c>
      <c r="H332" s="122">
        <f t="shared" si="5"/>
        <v>3.6800000000000006</v>
      </c>
      <c r="I332" s="132" t="s">
        <v>714</v>
      </c>
    </row>
    <row r="333" spans="1:9" hidden="1">
      <c r="A333" s="119" t="s">
        <v>1002</v>
      </c>
      <c r="B333" s="120" t="s">
        <v>1222</v>
      </c>
      <c r="C333" s="120" t="s">
        <v>1223</v>
      </c>
      <c r="D333" s="121">
        <v>4</v>
      </c>
      <c r="E333" s="122">
        <v>0.1</v>
      </c>
      <c r="F333" s="121">
        <v>23</v>
      </c>
      <c r="G333" s="123">
        <v>0.4</v>
      </c>
      <c r="H333" s="122">
        <f t="shared" si="5"/>
        <v>3.6800000000000006</v>
      </c>
      <c r="I333" s="132" t="s">
        <v>714</v>
      </c>
    </row>
    <row r="334" spans="1:9" hidden="1">
      <c r="A334" s="119" t="s">
        <v>1002</v>
      </c>
      <c r="B334" s="120" t="s">
        <v>1224</v>
      </c>
      <c r="C334" s="120" t="s">
        <v>1225</v>
      </c>
      <c r="D334" s="121">
        <v>4</v>
      </c>
      <c r="E334" s="122">
        <v>0.1</v>
      </c>
      <c r="F334" s="121">
        <v>23</v>
      </c>
      <c r="G334" s="123">
        <v>0.4</v>
      </c>
      <c r="H334" s="122">
        <f t="shared" si="5"/>
        <v>3.6800000000000006</v>
      </c>
      <c r="I334" s="132" t="s">
        <v>714</v>
      </c>
    </row>
    <row r="335" spans="1:9" hidden="1">
      <c r="A335" s="119" t="s">
        <v>1002</v>
      </c>
      <c r="B335" s="120" t="s">
        <v>1226</v>
      </c>
      <c r="C335" s="120" t="s">
        <v>1227</v>
      </c>
      <c r="D335" s="121">
        <v>4</v>
      </c>
      <c r="E335" s="122">
        <v>0.1</v>
      </c>
      <c r="F335" s="121">
        <v>23</v>
      </c>
      <c r="G335" s="123">
        <v>0.4</v>
      </c>
      <c r="H335" s="122">
        <f t="shared" si="5"/>
        <v>3.6800000000000006</v>
      </c>
      <c r="I335" s="132" t="s">
        <v>714</v>
      </c>
    </row>
    <row r="336" spans="1:9" hidden="1">
      <c r="A336" s="119" t="s">
        <v>1002</v>
      </c>
      <c r="B336" s="120" t="s">
        <v>1228</v>
      </c>
      <c r="C336" s="120" t="s">
        <v>1229</v>
      </c>
      <c r="D336" s="121">
        <v>4</v>
      </c>
      <c r="E336" s="122">
        <v>0.1</v>
      </c>
      <c r="F336" s="121">
        <v>23</v>
      </c>
      <c r="G336" s="123">
        <v>0.4</v>
      </c>
      <c r="H336" s="122">
        <f t="shared" si="5"/>
        <v>3.6800000000000006</v>
      </c>
      <c r="I336" s="132" t="s">
        <v>714</v>
      </c>
    </row>
    <row r="337" spans="1:9" hidden="1">
      <c r="A337" s="119" t="s">
        <v>1002</v>
      </c>
      <c r="B337" s="120" t="s">
        <v>1230</v>
      </c>
      <c r="C337" s="120" t="s">
        <v>1231</v>
      </c>
      <c r="D337" s="121">
        <v>4</v>
      </c>
      <c r="E337" s="122">
        <v>0.1</v>
      </c>
      <c r="F337" s="121">
        <v>23</v>
      </c>
      <c r="G337" s="123">
        <v>0.4</v>
      </c>
      <c r="H337" s="122">
        <f t="shared" si="5"/>
        <v>3.6800000000000006</v>
      </c>
      <c r="I337" s="132" t="s">
        <v>714</v>
      </c>
    </row>
    <row r="338" spans="1:9" hidden="1">
      <c r="A338" s="119" t="s">
        <v>1002</v>
      </c>
      <c r="B338" s="120" t="s">
        <v>1232</v>
      </c>
      <c r="C338" s="120" t="s">
        <v>1233</v>
      </c>
      <c r="D338" s="121">
        <v>4</v>
      </c>
      <c r="E338" s="122">
        <v>0.1</v>
      </c>
      <c r="F338" s="121">
        <v>23</v>
      </c>
      <c r="G338" s="123">
        <v>0.4</v>
      </c>
      <c r="H338" s="122">
        <f t="shared" si="5"/>
        <v>3.6800000000000006</v>
      </c>
      <c r="I338" s="132" t="s">
        <v>714</v>
      </c>
    </row>
    <row r="339" spans="1:9" hidden="1">
      <c r="A339" s="119" t="s">
        <v>1002</v>
      </c>
      <c r="B339" s="120" t="s">
        <v>1234</v>
      </c>
      <c r="C339" s="120" t="s">
        <v>1235</v>
      </c>
      <c r="D339" s="121">
        <v>4</v>
      </c>
      <c r="E339" s="122">
        <v>0.1</v>
      </c>
      <c r="F339" s="121">
        <v>23</v>
      </c>
      <c r="G339" s="123">
        <v>0.4</v>
      </c>
      <c r="H339" s="122">
        <f t="shared" si="5"/>
        <v>3.6800000000000006</v>
      </c>
      <c r="I339" s="132" t="s">
        <v>714</v>
      </c>
    </row>
    <row r="340" spans="1:9" hidden="1">
      <c r="A340" s="119" t="s">
        <v>1002</v>
      </c>
      <c r="B340" s="120" t="s">
        <v>1236</v>
      </c>
      <c r="C340" s="120" t="s">
        <v>1237</v>
      </c>
      <c r="D340" s="121">
        <v>4</v>
      </c>
      <c r="E340" s="122">
        <v>0.1</v>
      </c>
      <c r="F340" s="121">
        <v>23</v>
      </c>
      <c r="G340" s="123">
        <v>0.4</v>
      </c>
      <c r="H340" s="122">
        <f t="shared" si="5"/>
        <v>3.6800000000000006</v>
      </c>
      <c r="I340" s="132" t="s">
        <v>714</v>
      </c>
    </row>
    <row r="341" spans="1:9" hidden="1">
      <c r="A341" s="119" t="s">
        <v>1002</v>
      </c>
      <c r="B341" s="120" t="s">
        <v>1238</v>
      </c>
      <c r="C341" s="120" t="s">
        <v>1239</v>
      </c>
      <c r="D341" s="121">
        <v>4</v>
      </c>
      <c r="E341" s="122">
        <v>0.1</v>
      </c>
      <c r="F341" s="121">
        <v>23</v>
      </c>
      <c r="G341" s="123">
        <v>0.4</v>
      </c>
      <c r="H341" s="122">
        <f t="shared" si="5"/>
        <v>3.6800000000000006</v>
      </c>
      <c r="I341" s="132" t="s">
        <v>714</v>
      </c>
    </row>
    <row r="342" spans="1:9" hidden="1">
      <c r="A342" s="119" t="s">
        <v>1002</v>
      </c>
      <c r="B342" s="120" t="s">
        <v>1240</v>
      </c>
      <c r="C342" s="120" t="s">
        <v>1241</v>
      </c>
      <c r="D342" s="121">
        <v>4</v>
      </c>
      <c r="E342" s="122">
        <v>0.1</v>
      </c>
      <c r="F342" s="121">
        <v>23</v>
      </c>
      <c r="G342" s="123">
        <v>0.4</v>
      </c>
      <c r="H342" s="122">
        <f t="shared" si="5"/>
        <v>3.6800000000000006</v>
      </c>
      <c r="I342" s="132" t="s">
        <v>714</v>
      </c>
    </row>
    <row r="343" spans="1:9" hidden="1">
      <c r="A343" s="119" t="s">
        <v>1002</v>
      </c>
      <c r="B343" s="120" t="s">
        <v>1242</v>
      </c>
      <c r="C343" s="120" t="s">
        <v>1243</v>
      </c>
      <c r="D343" s="121">
        <v>4</v>
      </c>
      <c r="E343" s="122">
        <v>0.1</v>
      </c>
      <c r="F343" s="121">
        <v>23</v>
      </c>
      <c r="G343" s="123">
        <v>0.4</v>
      </c>
      <c r="H343" s="122">
        <f t="shared" si="5"/>
        <v>3.6800000000000006</v>
      </c>
      <c r="I343" s="132" t="s">
        <v>714</v>
      </c>
    </row>
    <row r="344" spans="1:9" hidden="1">
      <c r="A344" s="119" t="s">
        <v>1002</v>
      </c>
      <c r="B344" s="120" t="s">
        <v>1244</v>
      </c>
      <c r="C344" s="120" t="s">
        <v>1245</v>
      </c>
      <c r="D344" s="121">
        <v>4</v>
      </c>
      <c r="E344" s="122">
        <v>0.1</v>
      </c>
      <c r="F344" s="121">
        <v>23</v>
      </c>
      <c r="G344" s="123">
        <v>0.4</v>
      </c>
      <c r="H344" s="122">
        <f t="shared" si="5"/>
        <v>3.6800000000000006</v>
      </c>
      <c r="I344" s="132" t="s">
        <v>714</v>
      </c>
    </row>
    <row r="345" spans="1:9" hidden="1">
      <c r="A345" s="119" t="s">
        <v>1002</v>
      </c>
      <c r="B345" s="120" t="s">
        <v>1246</v>
      </c>
      <c r="C345" s="120" t="s">
        <v>1247</v>
      </c>
      <c r="D345" s="121">
        <v>4</v>
      </c>
      <c r="E345" s="122">
        <v>0.1</v>
      </c>
      <c r="F345" s="121">
        <v>23</v>
      </c>
      <c r="G345" s="123">
        <v>0.4</v>
      </c>
      <c r="H345" s="122">
        <f t="shared" si="5"/>
        <v>3.6800000000000006</v>
      </c>
      <c r="I345" s="132" t="s">
        <v>714</v>
      </c>
    </row>
    <row r="346" spans="1:9" hidden="1">
      <c r="A346" s="119" t="s">
        <v>1002</v>
      </c>
      <c r="B346" s="120" t="s">
        <v>1248</v>
      </c>
      <c r="C346" s="120" t="s">
        <v>1249</v>
      </c>
      <c r="D346" s="121">
        <v>4</v>
      </c>
      <c r="E346" s="122">
        <v>0.1</v>
      </c>
      <c r="F346" s="121">
        <v>23</v>
      </c>
      <c r="G346" s="123">
        <v>0.4</v>
      </c>
      <c r="H346" s="122">
        <f t="shared" si="5"/>
        <v>3.6800000000000006</v>
      </c>
      <c r="I346" s="132" t="s">
        <v>714</v>
      </c>
    </row>
    <row r="347" spans="1:9" hidden="1">
      <c r="A347" s="119" t="s">
        <v>1002</v>
      </c>
      <c r="B347" s="120" t="s">
        <v>1250</v>
      </c>
      <c r="C347" s="120" t="s">
        <v>1251</v>
      </c>
      <c r="D347" s="121">
        <v>4</v>
      </c>
      <c r="E347" s="122">
        <v>0.1</v>
      </c>
      <c r="F347" s="121">
        <v>23</v>
      </c>
      <c r="G347" s="123">
        <v>0.4</v>
      </c>
      <c r="H347" s="122">
        <f t="shared" si="5"/>
        <v>3.6800000000000006</v>
      </c>
      <c r="I347" s="132" t="s">
        <v>714</v>
      </c>
    </row>
    <row r="348" spans="1:9" hidden="1">
      <c r="A348" s="119" t="s">
        <v>1002</v>
      </c>
      <c r="B348" s="120" t="s">
        <v>1252</v>
      </c>
      <c r="C348" s="120" t="s">
        <v>1253</v>
      </c>
      <c r="D348" s="121">
        <v>4</v>
      </c>
      <c r="E348" s="122">
        <v>0.1</v>
      </c>
      <c r="F348" s="121">
        <v>23</v>
      </c>
      <c r="G348" s="123">
        <v>0.4</v>
      </c>
      <c r="H348" s="122">
        <f t="shared" si="5"/>
        <v>3.6800000000000006</v>
      </c>
      <c r="I348" s="132" t="s">
        <v>714</v>
      </c>
    </row>
    <row r="349" spans="1:9" hidden="1">
      <c r="A349" s="119" t="s">
        <v>1002</v>
      </c>
      <c r="B349" s="120" t="s">
        <v>1254</v>
      </c>
      <c r="C349" s="120" t="s">
        <v>1255</v>
      </c>
      <c r="D349" s="121">
        <v>4</v>
      </c>
      <c r="E349" s="122">
        <v>0.1</v>
      </c>
      <c r="F349" s="121">
        <v>23</v>
      </c>
      <c r="G349" s="123">
        <v>0.4</v>
      </c>
      <c r="H349" s="122">
        <f t="shared" si="5"/>
        <v>3.6800000000000006</v>
      </c>
      <c r="I349" s="132" t="s">
        <v>714</v>
      </c>
    </row>
    <row r="350" spans="1:9" hidden="1">
      <c r="A350" s="119" t="s">
        <v>1002</v>
      </c>
      <c r="B350" s="120" t="s">
        <v>1256</v>
      </c>
      <c r="C350" s="120" t="s">
        <v>1257</v>
      </c>
      <c r="D350" s="121">
        <v>4</v>
      </c>
      <c r="E350" s="122">
        <v>0.1</v>
      </c>
      <c r="F350" s="121">
        <v>23</v>
      </c>
      <c r="G350" s="123">
        <v>0.4</v>
      </c>
      <c r="H350" s="122">
        <f t="shared" si="5"/>
        <v>3.6800000000000006</v>
      </c>
      <c r="I350" s="132" t="s">
        <v>714</v>
      </c>
    </row>
    <row r="351" spans="1:9" hidden="1">
      <c r="A351" s="119" t="s">
        <v>1002</v>
      </c>
      <c r="B351" s="120" t="s">
        <v>1258</v>
      </c>
      <c r="C351" s="120" t="s">
        <v>74</v>
      </c>
      <c r="D351" s="121">
        <v>4</v>
      </c>
      <c r="E351" s="122">
        <v>0.1</v>
      </c>
      <c r="F351" s="121">
        <v>23</v>
      </c>
      <c r="G351" s="123">
        <v>0.4</v>
      </c>
      <c r="H351" s="122">
        <f t="shared" si="5"/>
        <v>3.6800000000000006</v>
      </c>
      <c r="I351" s="132" t="s">
        <v>714</v>
      </c>
    </row>
    <row r="352" spans="1:9" hidden="1">
      <c r="A352" s="119" t="s">
        <v>1002</v>
      </c>
      <c r="B352" s="120" t="s">
        <v>1259</v>
      </c>
      <c r="C352" s="120" t="s">
        <v>1260</v>
      </c>
      <c r="D352" s="121">
        <v>4</v>
      </c>
      <c r="E352" s="122">
        <v>0.1</v>
      </c>
      <c r="F352" s="121">
        <v>23</v>
      </c>
      <c r="G352" s="123">
        <v>0.4</v>
      </c>
      <c r="H352" s="122">
        <f t="shared" si="5"/>
        <v>3.6800000000000006</v>
      </c>
      <c r="I352" s="132" t="s">
        <v>714</v>
      </c>
    </row>
    <row r="353" spans="1:9" hidden="1">
      <c r="A353" s="119" t="s">
        <v>1002</v>
      </c>
      <c r="B353" s="120" t="s">
        <v>1261</v>
      </c>
      <c r="C353" s="120" t="s">
        <v>1262</v>
      </c>
      <c r="D353" s="121">
        <v>4</v>
      </c>
      <c r="E353" s="122">
        <v>0.1</v>
      </c>
      <c r="F353" s="121">
        <v>23</v>
      </c>
      <c r="G353" s="123">
        <v>0.4</v>
      </c>
      <c r="H353" s="122">
        <f t="shared" si="5"/>
        <v>3.6800000000000006</v>
      </c>
      <c r="I353" s="132" t="s">
        <v>714</v>
      </c>
    </row>
    <row r="354" spans="1:9" hidden="1">
      <c r="A354" s="119" t="s">
        <v>1002</v>
      </c>
      <c r="B354" s="120" t="s">
        <v>1263</v>
      </c>
      <c r="C354" s="120" t="s">
        <v>1264</v>
      </c>
      <c r="D354" s="121">
        <v>4</v>
      </c>
      <c r="E354" s="122">
        <v>0.1</v>
      </c>
      <c r="F354" s="121">
        <v>23</v>
      </c>
      <c r="G354" s="123">
        <v>0.4</v>
      </c>
      <c r="H354" s="122">
        <f t="shared" si="5"/>
        <v>3.6800000000000006</v>
      </c>
      <c r="I354" s="132" t="s">
        <v>714</v>
      </c>
    </row>
    <row r="355" spans="1:9" hidden="1">
      <c r="A355" s="119" t="s">
        <v>1002</v>
      </c>
      <c r="B355" s="120" t="s">
        <v>1265</v>
      </c>
      <c r="C355" s="120" t="s">
        <v>641</v>
      </c>
      <c r="D355" s="121">
        <v>4</v>
      </c>
      <c r="E355" s="122">
        <v>0.1</v>
      </c>
      <c r="F355" s="121">
        <v>23</v>
      </c>
      <c r="G355" s="123">
        <v>0.4</v>
      </c>
      <c r="H355" s="122">
        <f t="shared" si="5"/>
        <v>3.6800000000000006</v>
      </c>
      <c r="I355" s="132" t="s">
        <v>714</v>
      </c>
    </row>
    <row r="356" spans="1:9" hidden="1">
      <c r="A356" s="119" t="s">
        <v>1002</v>
      </c>
      <c r="B356" s="120" t="s">
        <v>1266</v>
      </c>
      <c r="C356" s="120" t="s">
        <v>640</v>
      </c>
      <c r="D356" s="121">
        <v>4</v>
      </c>
      <c r="E356" s="122">
        <v>0.1</v>
      </c>
      <c r="F356" s="121">
        <v>23</v>
      </c>
      <c r="G356" s="123">
        <v>0.4</v>
      </c>
      <c r="H356" s="122">
        <f t="shared" si="5"/>
        <v>3.6800000000000006</v>
      </c>
      <c r="I356" s="132" t="s">
        <v>714</v>
      </c>
    </row>
    <row r="357" spans="1:9" hidden="1">
      <c r="A357" s="119" t="s">
        <v>1002</v>
      </c>
      <c r="B357" s="120" t="s">
        <v>1267</v>
      </c>
      <c r="C357" s="120" t="s">
        <v>1268</v>
      </c>
      <c r="D357" s="121">
        <v>4</v>
      </c>
      <c r="E357" s="122">
        <v>0.1</v>
      </c>
      <c r="F357" s="121">
        <v>23</v>
      </c>
      <c r="G357" s="123">
        <v>0.4</v>
      </c>
      <c r="H357" s="122">
        <f t="shared" si="5"/>
        <v>3.6800000000000006</v>
      </c>
      <c r="I357" s="132" t="s">
        <v>714</v>
      </c>
    </row>
    <row r="358" spans="1:9" hidden="1">
      <c r="A358" s="119" t="s">
        <v>1002</v>
      </c>
      <c r="B358" s="120" t="s">
        <v>1269</v>
      </c>
      <c r="C358" s="120" t="s">
        <v>1270</v>
      </c>
      <c r="D358" s="121">
        <v>4</v>
      </c>
      <c r="E358" s="122">
        <v>0.1</v>
      </c>
      <c r="F358" s="121">
        <v>23</v>
      </c>
      <c r="G358" s="123">
        <v>0.4</v>
      </c>
      <c r="H358" s="122">
        <f t="shared" si="5"/>
        <v>3.6800000000000006</v>
      </c>
      <c r="I358" s="132" t="s">
        <v>714</v>
      </c>
    </row>
    <row r="359" spans="1:9" hidden="1">
      <c r="A359" s="119" t="s">
        <v>1002</v>
      </c>
      <c r="B359" s="120" t="s">
        <v>1271</v>
      </c>
      <c r="C359" s="120" t="s">
        <v>1272</v>
      </c>
      <c r="D359" s="121">
        <v>4</v>
      </c>
      <c r="E359" s="122">
        <v>0.1</v>
      </c>
      <c r="F359" s="121">
        <v>23</v>
      </c>
      <c r="G359" s="123">
        <v>0.4</v>
      </c>
      <c r="H359" s="122">
        <f t="shared" si="5"/>
        <v>3.6800000000000006</v>
      </c>
      <c r="I359" s="132" t="s">
        <v>714</v>
      </c>
    </row>
    <row r="360" spans="1:9" hidden="1">
      <c r="A360" s="119" t="s">
        <v>1002</v>
      </c>
      <c r="B360" s="120" t="s">
        <v>1273</v>
      </c>
      <c r="C360" s="120" t="s">
        <v>1274</v>
      </c>
      <c r="D360" s="121">
        <v>4</v>
      </c>
      <c r="E360" s="122">
        <v>0.1</v>
      </c>
      <c r="F360" s="121">
        <v>23</v>
      </c>
      <c r="G360" s="123">
        <v>0.4</v>
      </c>
      <c r="H360" s="122">
        <f t="shared" si="5"/>
        <v>3.6800000000000006</v>
      </c>
      <c r="I360" s="132" t="s">
        <v>714</v>
      </c>
    </row>
    <row r="361" spans="1:9" hidden="1">
      <c r="A361" s="119" t="s">
        <v>1002</v>
      </c>
      <c r="B361" s="120" t="s">
        <v>1275</v>
      </c>
      <c r="C361" s="120" t="s">
        <v>426</v>
      </c>
      <c r="D361" s="121">
        <v>4</v>
      </c>
      <c r="E361" s="122">
        <v>0.1</v>
      </c>
      <c r="F361" s="121">
        <v>23</v>
      </c>
      <c r="G361" s="123">
        <v>0.4</v>
      </c>
      <c r="H361" s="122">
        <f t="shared" si="5"/>
        <v>3.6800000000000006</v>
      </c>
      <c r="I361" s="132" t="s">
        <v>714</v>
      </c>
    </row>
    <row r="362" spans="1:9" hidden="1">
      <c r="A362" s="119" t="s">
        <v>1002</v>
      </c>
      <c r="B362" s="120" t="s">
        <v>1276</v>
      </c>
      <c r="C362" s="120" t="s">
        <v>434</v>
      </c>
      <c r="D362" s="121">
        <v>4</v>
      </c>
      <c r="E362" s="122">
        <v>0.1</v>
      </c>
      <c r="F362" s="121">
        <v>23</v>
      </c>
      <c r="G362" s="123">
        <v>0.4</v>
      </c>
      <c r="H362" s="122">
        <f t="shared" si="5"/>
        <v>3.6800000000000006</v>
      </c>
      <c r="I362" s="132" t="s">
        <v>714</v>
      </c>
    </row>
    <row r="363" spans="1:9" hidden="1">
      <c r="A363" s="119" t="s">
        <v>1002</v>
      </c>
      <c r="B363" s="120" t="s">
        <v>1277</v>
      </c>
      <c r="C363" s="120" t="s">
        <v>455</v>
      </c>
      <c r="D363" s="121">
        <v>4</v>
      </c>
      <c r="E363" s="122">
        <v>0.1</v>
      </c>
      <c r="F363" s="121">
        <v>23</v>
      </c>
      <c r="G363" s="123">
        <v>0.4</v>
      </c>
      <c r="H363" s="122">
        <f t="shared" si="5"/>
        <v>3.6800000000000006</v>
      </c>
      <c r="I363" s="132" t="s">
        <v>714</v>
      </c>
    </row>
    <row r="364" spans="1:9" hidden="1">
      <c r="A364" s="119" t="s">
        <v>1002</v>
      </c>
      <c r="B364" s="120" t="s">
        <v>1278</v>
      </c>
      <c r="C364" s="120" t="s">
        <v>466</v>
      </c>
      <c r="D364" s="121">
        <v>4</v>
      </c>
      <c r="E364" s="122">
        <v>0.1</v>
      </c>
      <c r="F364" s="121">
        <v>23</v>
      </c>
      <c r="G364" s="123">
        <v>0.4</v>
      </c>
      <c r="H364" s="122">
        <f t="shared" si="5"/>
        <v>3.6800000000000006</v>
      </c>
      <c r="I364" s="132" t="s">
        <v>714</v>
      </c>
    </row>
    <row r="365" spans="1:9" hidden="1">
      <c r="A365" s="119" t="s">
        <v>1002</v>
      </c>
      <c r="B365" s="120" t="s">
        <v>1279</v>
      </c>
      <c r="C365" s="120" t="s">
        <v>1280</v>
      </c>
      <c r="D365" s="121">
        <v>4</v>
      </c>
      <c r="E365" s="122">
        <v>0.1</v>
      </c>
      <c r="F365" s="121">
        <v>23</v>
      </c>
      <c r="G365" s="123">
        <v>0.4</v>
      </c>
      <c r="H365" s="122">
        <f t="shared" si="5"/>
        <v>3.6800000000000006</v>
      </c>
      <c r="I365" s="132" t="s">
        <v>714</v>
      </c>
    </row>
    <row r="366" spans="1:9" hidden="1">
      <c r="A366" s="119" t="s">
        <v>1002</v>
      </c>
      <c r="B366" s="120" t="s">
        <v>1281</v>
      </c>
      <c r="C366" s="120" t="s">
        <v>1282</v>
      </c>
      <c r="D366" s="121">
        <v>4</v>
      </c>
      <c r="E366" s="122">
        <v>0.1</v>
      </c>
      <c r="F366" s="121">
        <v>23</v>
      </c>
      <c r="G366" s="123">
        <v>0.4</v>
      </c>
      <c r="H366" s="122">
        <f t="shared" si="5"/>
        <v>3.6800000000000006</v>
      </c>
      <c r="I366" s="132" t="s">
        <v>714</v>
      </c>
    </row>
    <row r="367" spans="1:9" hidden="1">
      <c r="A367" s="119" t="s">
        <v>1002</v>
      </c>
      <c r="B367" s="120" t="s">
        <v>1283</v>
      </c>
      <c r="C367" s="120" t="s">
        <v>1284</v>
      </c>
      <c r="D367" s="121">
        <v>4</v>
      </c>
      <c r="E367" s="122">
        <v>0.1</v>
      </c>
      <c r="F367" s="121">
        <v>23</v>
      </c>
      <c r="G367" s="123">
        <v>0.4</v>
      </c>
      <c r="H367" s="122">
        <f t="shared" si="5"/>
        <v>3.6800000000000006</v>
      </c>
      <c r="I367" s="132" t="s">
        <v>714</v>
      </c>
    </row>
    <row r="368" spans="1:9" hidden="1">
      <c r="A368" s="119" t="s">
        <v>1002</v>
      </c>
      <c r="B368" s="120" t="s">
        <v>1285</v>
      </c>
      <c r="C368" s="120" t="s">
        <v>1286</v>
      </c>
      <c r="D368" s="121">
        <v>4</v>
      </c>
      <c r="E368" s="122">
        <v>0.1</v>
      </c>
      <c r="F368" s="121">
        <v>23</v>
      </c>
      <c r="G368" s="123">
        <v>0.4</v>
      </c>
      <c r="H368" s="122">
        <f t="shared" si="5"/>
        <v>3.6800000000000006</v>
      </c>
      <c r="I368" s="132" t="s">
        <v>714</v>
      </c>
    </row>
    <row r="369" spans="1:9" hidden="1">
      <c r="A369" s="119" t="s">
        <v>1002</v>
      </c>
      <c r="B369" s="120" t="s">
        <v>1287</v>
      </c>
      <c r="C369" s="120" t="s">
        <v>489</v>
      </c>
      <c r="D369" s="121">
        <v>4</v>
      </c>
      <c r="E369" s="122">
        <v>0.1</v>
      </c>
      <c r="F369" s="121">
        <v>23</v>
      </c>
      <c r="G369" s="123">
        <v>0.4</v>
      </c>
      <c r="H369" s="122">
        <f t="shared" si="5"/>
        <v>3.6800000000000006</v>
      </c>
      <c r="I369" s="132" t="s">
        <v>714</v>
      </c>
    </row>
    <row r="370" spans="1:9" hidden="1">
      <c r="A370" s="119" t="s">
        <v>1002</v>
      </c>
      <c r="B370" s="120" t="s">
        <v>1288</v>
      </c>
      <c r="C370" s="120" t="s">
        <v>491</v>
      </c>
      <c r="D370" s="121">
        <v>4</v>
      </c>
      <c r="E370" s="122">
        <v>0.1</v>
      </c>
      <c r="F370" s="121">
        <v>23</v>
      </c>
      <c r="G370" s="123">
        <v>0.4</v>
      </c>
      <c r="H370" s="122">
        <f t="shared" si="5"/>
        <v>3.6800000000000006</v>
      </c>
      <c r="I370" s="132" t="s">
        <v>714</v>
      </c>
    </row>
    <row r="371" spans="1:9" hidden="1">
      <c r="A371" s="119" t="s">
        <v>1002</v>
      </c>
      <c r="B371" s="120" t="s">
        <v>1289</v>
      </c>
      <c r="C371" s="120" t="s">
        <v>1290</v>
      </c>
      <c r="D371" s="121">
        <v>4</v>
      </c>
      <c r="E371" s="122">
        <v>0.1</v>
      </c>
      <c r="F371" s="121">
        <v>23</v>
      </c>
      <c r="G371" s="123">
        <v>0.4</v>
      </c>
      <c r="H371" s="122">
        <f t="shared" si="5"/>
        <v>3.6800000000000006</v>
      </c>
      <c r="I371" s="132" t="s">
        <v>714</v>
      </c>
    </row>
    <row r="372" spans="1:9" hidden="1">
      <c r="A372" s="119" t="s">
        <v>1002</v>
      </c>
      <c r="B372" s="120" t="s">
        <v>1291</v>
      </c>
      <c r="C372" s="120" t="s">
        <v>1292</v>
      </c>
      <c r="D372" s="121">
        <v>4</v>
      </c>
      <c r="E372" s="122">
        <v>0.1</v>
      </c>
      <c r="F372" s="121">
        <v>23</v>
      </c>
      <c r="G372" s="123">
        <v>0.4</v>
      </c>
      <c r="H372" s="122">
        <f t="shared" si="5"/>
        <v>3.6800000000000006</v>
      </c>
      <c r="I372" s="132" t="s">
        <v>714</v>
      </c>
    </row>
    <row r="373" spans="1:9" hidden="1">
      <c r="A373" s="119" t="s">
        <v>1002</v>
      </c>
      <c r="B373" s="120" t="s">
        <v>1293</v>
      </c>
      <c r="C373" s="120" t="s">
        <v>1294</v>
      </c>
      <c r="D373" s="121">
        <v>4</v>
      </c>
      <c r="E373" s="122">
        <v>0.1</v>
      </c>
      <c r="F373" s="121">
        <v>23</v>
      </c>
      <c r="G373" s="123">
        <v>0.4</v>
      </c>
      <c r="H373" s="122">
        <f t="shared" si="5"/>
        <v>3.6800000000000006</v>
      </c>
      <c r="I373" s="132" t="s">
        <v>714</v>
      </c>
    </row>
    <row r="374" spans="1:9" hidden="1">
      <c r="A374" s="119" t="s">
        <v>1002</v>
      </c>
      <c r="B374" s="120" t="s">
        <v>1295</v>
      </c>
      <c r="C374" s="120" t="s">
        <v>1296</v>
      </c>
      <c r="D374" s="121">
        <v>4</v>
      </c>
      <c r="E374" s="122">
        <v>0.1</v>
      </c>
      <c r="F374" s="121">
        <v>23</v>
      </c>
      <c r="G374" s="123">
        <v>0.4</v>
      </c>
      <c r="H374" s="122">
        <f t="shared" si="5"/>
        <v>3.6800000000000006</v>
      </c>
      <c r="I374" s="132" t="s">
        <v>714</v>
      </c>
    </row>
    <row r="375" spans="1:9" hidden="1">
      <c r="A375" s="119" t="s">
        <v>1002</v>
      </c>
      <c r="B375" s="120" t="s">
        <v>1297</v>
      </c>
      <c r="C375" s="120" t="s">
        <v>1298</v>
      </c>
      <c r="D375" s="121">
        <v>4</v>
      </c>
      <c r="E375" s="122">
        <v>0.1</v>
      </c>
      <c r="F375" s="121">
        <v>23</v>
      </c>
      <c r="G375" s="123">
        <v>0.4</v>
      </c>
      <c r="H375" s="122">
        <f t="shared" si="5"/>
        <v>3.6800000000000006</v>
      </c>
      <c r="I375" s="132" t="s">
        <v>714</v>
      </c>
    </row>
    <row r="376" spans="1:9" hidden="1">
      <c r="A376" s="119" t="s">
        <v>1002</v>
      </c>
      <c r="B376" s="120" t="s">
        <v>1299</v>
      </c>
      <c r="C376" s="120" t="s">
        <v>527</v>
      </c>
      <c r="D376" s="121">
        <v>4</v>
      </c>
      <c r="E376" s="122">
        <v>0.1</v>
      </c>
      <c r="F376" s="121">
        <v>23</v>
      </c>
      <c r="G376" s="123">
        <v>0.4</v>
      </c>
      <c r="H376" s="122">
        <f t="shared" si="5"/>
        <v>3.6800000000000006</v>
      </c>
      <c r="I376" s="132" t="s">
        <v>714</v>
      </c>
    </row>
    <row r="377" spans="1:9" hidden="1">
      <c r="A377" s="119" t="s">
        <v>1002</v>
      </c>
      <c r="B377" s="120" t="s">
        <v>1300</v>
      </c>
      <c r="C377" s="120" t="s">
        <v>535</v>
      </c>
      <c r="D377" s="121">
        <v>4</v>
      </c>
      <c r="E377" s="122">
        <v>0.1</v>
      </c>
      <c r="F377" s="121">
        <v>23</v>
      </c>
      <c r="G377" s="123">
        <v>0.4</v>
      </c>
      <c r="H377" s="122">
        <f t="shared" si="5"/>
        <v>3.6800000000000006</v>
      </c>
      <c r="I377" s="132" t="s">
        <v>714</v>
      </c>
    </row>
    <row r="378" spans="1:9" hidden="1">
      <c r="A378" s="119" t="s">
        <v>1002</v>
      </c>
      <c r="B378" s="120" t="s">
        <v>1301</v>
      </c>
      <c r="C378" s="120" t="s">
        <v>192</v>
      </c>
      <c r="D378" s="121">
        <v>3</v>
      </c>
      <c r="E378" s="122">
        <v>0.1</v>
      </c>
      <c r="F378" s="121">
        <v>23</v>
      </c>
      <c r="G378" s="123">
        <v>0.4</v>
      </c>
      <c r="H378" s="122">
        <f t="shared" si="5"/>
        <v>2.7600000000000007</v>
      </c>
      <c r="I378" s="132" t="s">
        <v>714</v>
      </c>
    </row>
    <row r="379" spans="1:9" hidden="1">
      <c r="A379" s="119" t="s">
        <v>1002</v>
      </c>
      <c r="B379" s="120" t="s">
        <v>1302</v>
      </c>
      <c r="C379" s="120" t="s">
        <v>1303</v>
      </c>
      <c r="D379" s="121">
        <v>3</v>
      </c>
      <c r="E379" s="122">
        <v>0.1</v>
      </c>
      <c r="F379" s="121">
        <v>23</v>
      </c>
      <c r="G379" s="123">
        <v>0.4</v>
      </c>
      <c r="H379" s="122">
        <f t="shared" si="5"/>
        <v>2.7600000000000007</v>
      </c>
      <c r="I379" s="132" t="s">
        <v>714</v>
      </c>
    </row>
    <row r="380" spans="1:9" hidden="1">
      <c r="A380" s="119" t="s">
        <v>1002</v>
      </c>
      <c r="B380" s="120" t="s">
        <v>1304</v>
      </c>
      <c r="C380" s="120" t="s">
        <v>1305</v>
      </c>
      <c r="D380" s="121">
        <v>3</v>
      </c>
      <c r="E380" s="122">
        <v>0.1</v>
      </c>
      <c r="F380" s="121">
        <v>23</v>
      </c>
      <c r="G380" s="123">
        <v>0.4</v>
      </c>
      <c r="H380" s="122">
        <f t="shared" si="5"/>
        <v>2.7600000000000007</v>
      </c>
      <c r="I380" s="132" t="s">
        <v>714</v>
      </c>
    </row>
    <row r="381" spans="1:9" hidden="1">
      <c r="A381" s="119" t="s">
        <v>1002</v>
      </c>
      <c r="B381" s="120" t="s">
        <v>1306</v>
      </c>
      <c r="C381" s="120" t="s">
        <v>1307</v>
      </c>
      <c r="D381" s="121">
        <v>3</v>
      </c>
      <c r="E381" s="122">
        <v>0.1</v>
      </c>
      <c r="F381" s="121">
        <v>23</v>
      </c>
      <c r="G381" s="123">
        <v>0.4</v>
      </c>
      <c r="H381" s="122">
        <f t="shared" si="5"/>
        <v>2.7600000000000007</v>
      </c>
      <c r="I381" s="132" t="s">
        <v>714</v>
      </c>
    </row>
    <row r="382" spans="1:9" hidden="1">
      <c r="A382" s="119" t="s">
        <v>1002</v>
      </c>
      <c r="B382" s="120" t="s">
        <v>1308</v>
      </c>
      <c r="C382" s="120" t="s">
        <v>78</v>
      </c>
      <c r="D382" s="121">
        <v>3</v>
      </c>
      <c r="E382" s="122">
        <v>0.1</v>
      </c>
      <c r="F382" s="121">
        <v>23</v>
      </c>
      <c r="G382" s="123">
        <v>0.4</v>
      </c>
      <c r="H382" s="122">
        <f t="shared" si="5"/>
        <v>2.7600000000000007</v>
      </c>
      <c r="I382" s="132" t="s">
        <v>714</v>
      </c>
    </row>
    <row r="383" spans="1:9" hidden="1">
      <c r="A383" s="119" t="s">
        <v>1002</v>
      </c>
      <c r="B383" s="120" t="s">
        <v>1309</v>
      </c>
      <c r="C383" s="120" t="s">
        <v>235</v>
      </c>
      <c r="D383" s="121">
        <v>3</v>
      </c>
      <c r="E383" s="122">
        <v>0.1</v>
      </c>
      <c r="F383" s="121">
        <v>23</v>
      </c>
      <c r="G383" s="123">
        <v>0.4</v>
      </c>
      <c r="H383" s="122">
        <f t="shared" si="5"/>
        <v>2.7600000000000007</v>
      </c>
      <c r="I383" s="132" t="s">
        <v>714</v>
      </c>
    </row>
    <row r="384" spans="1:9" hidden="1">
      <c r="A384" s="119" t="s">
        <v>1002</v>
      </c>
      <c r="B384" s="120" t="s">
        <v>1310</v>
      </c>
      <c r="C384" s="120" t="s">
        <v>251</v>
      </c>
      <c r="D384" s="121">
        <v>3</v>
      </c>
      <c r="E384" s="122">
        <v>0.1</v>
      </c>
      <c r="F384" s="121">
        <v>23</v>
      </c>
      <c r="G384" s="123">
        <v>0.4</v>
      </c>
      <c r="H384" s="122">
        <f t="shared" si="5"/>
        <v>2.7600000000000007</v>
      </c>
      <c r="I384" s="132" t="s">
        <v>714</v>
      </c>
    </row>
    <row r="385" spans="1:9" hidden="1">
      <c r="A385" s="119" t="s">
        <v>1002</v>
      </c>
      <c r="B385" s="120" t="s">
        <v>1311</v>
      </c>
      <c r="C385" s="120" t="s">
        <v>253</v>
      </c>
      <c r="D385" s="121">
        <v>3</v>
      </c>
      <c r="E385" s="122">
        <v>0.1</v>
      </c>
      <c r="F385" s="121">
        <v>23</v>
      </c>
      <c r="G385" s="123">
        <v>0.4</v>
      </c>
      <c r="H385" s="122">
        <f t="shared" si="5"/>
        <v>2.7600000000000007</v>
      </c>
      <c r="I385" s="132" t="s">
        <v>714</v>
      </c>
    </row>
    <row r="386" spans="1:9" hidden="1">
      <c r="A386" s="119" t="s">
        <v>1002</v>
      </c>
      <c r="B386" s="120" t="s">
        <v>1312</v>
      </c>
      <c r="C386" s="120" t="s">
        <v>1313</v>
      </c>
      <c r="D386" s="121">
        <v>3</v>
      </c>
      <c r="E386" s="122">
        <v>0.1</v>
      </c>
      <c r="F386" s="121">
        <v>23</v>
      </c>
      <c r="G386" s="123">
        <v>0.4</v>
      </c>
      <c r="H386" s="122">
        <f t="shared" ref="H386:H449" si="6">D386*E386*F386*G386</f>
        <v>2.7600000000000007</v>
      </c>
      <c r="I386" s="132" t="s">
        <v>714</v>
      </c>
    </row>
    <row r="387" spans="1:9" hidden="1">
      <c r="A387" s="119" t="s">
        <v>1002</v>
      </c>
      <c r="B387" s="120" t="s">
        <v>1314</v>
      </c>
      <c r="C387" s="120" t="s">
        <v>94</v>
      </c>
      <c r="D387" s="121">
        <v>3</v>
      </c>
      <c r="E387" s="122">
        <v>0.1</v>
      </c>
      <c r="F387" s="121">
        <v>23</v>
      </c>
      <c r="G387" s="123">
        <v>0.4</v>
      </c>
      <c r="H387" s="122">
        <f t="shared" si="6"/>
        <v>2.7600000000000007</v>
      </c>
      <c r="I387" s="132" t="s">
        <v>714</v>
      </c>
    </row>
    <row r="388" spans="1:9" hidden="1">
      <c r="A388" s="119" t="s">
        <v>1002</v>
      </c>
      <c r="B388" s="120" t="s">
        <v>1315</v>
      </c>
      <c r="C388" s="120" t="s">
        <v>1316</v>
      </c>
      <c r="D388" s="121">
        <v>3</v>
      </c>
      <c r="E388" s="122">
        <v>0.1</v>
      </c>
      <c r="F388" s="121">
        <v>23</v>
      </c>
      <c r="G388" s="123">
        <v>0.4</v>
      </c>
      <c r="H388" s="122">
        <f t="shared" si="6"/>
        <v>2.7600000000000007</v>
      </c>
      <c r="I388" s="132" t="s">
        <v>714</v>
      </c>
    </row>
    <row r="389" spans="1:9" hidden="1">
      <c r="A389" s="119" t="s">
        <v>1002</v>
      </c>
      <c r="B389" s="120" t="s">
        <v>1317</v>
      </c>
      <c r="C389" s="120" t="s">
        <v>1318</v>
      </c>
      <c r="D389" s="121">
        <v>3</v>
      </c>
      <c r="E389" s="122">
        <v>0.1</v>
      </c>
      <c r="F389" s="121">
        <v>23</v>
      </c>
      <c r="G389" s="123">
        <v>0.4</v>
      </c>
      <c r="H389" s="122">
        <f t="shared" si="6"/>
        <v>2.7600000000000007</v>
      </c>
      <c r="I389" s="132" t="s">
        <v>714</v>
      </c>
    </row>
    <row r="390" spans="1:9" hidden="1">
      <c r="A390" s="119" t="s">
        <v>1002</v>
      </c>
      <c r="B390" s="120" t="s">
        <v>1319</v>
      </c>
      <c r="C390" s="120" t="s">
        <v>1320</v>
      </c>
      <c r="D390" s="121">
        <v>3</v>
      </c>
      <c r="E390" s="122">
        <v>0.1</v>
      </c>
      <c r="F390" s="121">
        <v>23</v>
      </c>
      <c r="G390" s="123">
        <v>0.4</v>
      </c>
      <c r="H390" s="122">
        <f t="shared" si="6"/>
        <v>2.7600000000000007</v>
      </c>
      <c r="I390" s="132" t="s">
        <v>714</v>
      </c>
    </row>
    <row r="391" spans="1:9" hidden="1">
      <c r="A391" s="119" t="s">
        <v>1002</v>
      </c>
      <c r="B391" s="120" t="s">
        <v>1321</v>
      </c>
      <c r="C391" s="120" t="s">
        <v>1322</v>
      </c>
      <c r="D391" s="121">
        <v>3</v>
      </c>
      <c r="E391" s="122">
        <v>0.1</v>
      </c>
      <c r="F391" s="121">
        <v>23</v>
      </c>
      <c r="G391" s="123">
        <v>0.4</v>
      </c>
      <c r="H391" s="122">
        <f t="shared" si="6"/>
        <v>2.7600000000000007</v>
      </c>
      <c r="I391" s="132" t="s">
        <v>714</v>
      </c>
    </row>
    <row r="392" spans="1:9" hidden="1">
      <c r="A392" s="119" t="s">
        <v>1002</v>
      </c>
      <c r="B392" s="120" t="s">
        <v>1323</v>
      </c>
      <c r="C392" s="120" t="s">
        <v>1324</v>
      </c>
      <c r="D392" s="121">
        <v>3</v>
      </c>
      <c r="E392" s="122">
        <v>0.1</v>
      </c>
      <c r="F392" s="121">
        <v>23</v>
      </c>
      <c r="G392" s="123">
        <v>0.4</v>
      </c>
      <c r="H392" s="122">
        <f t="shared" si="6"/>
        <v>2.7600000000000007</v>
      </c>
      <c r="I392" s="132" t="s">
        <v>714</v>
      </c>
    </row>
    <row r="393" spans="1:9" hidden="1">
      <c r="A393" s="119" t="s">
        <v>1002</v>
      </c>
      <c r="B393" s="120" t="s">
        <v>1325</v>
      </c>
      <c r="C393" s="120" t="s">
        <v>1326</v>
      </c>
      <c r="D393" s="121">
        <v>3</v>
      </c>
      <c r="E393" s="122">
        <v>0.1</v>
      </c>
      <c r="F393" s="121">
        <v>23</v>
      </c>
      <c r="G393" s="123">
        <v>0.4</v>
      </c>
      <c r="H393" s="122">
        <f t="shared" si="6"/>
        <v>2.7600000000000007</v>
      </c>
      <c r="I393" s="132" t="s">
        <v>714</v>
      </c>
    </row>
    <row r="394" spans="1:9" hidden="1">
      <c r="A394" s="119" t="s">
        <v>1002</v>
      </c>
      <c r="B394" s="120" t="s">
        <v>1327</v>
      </c>
      <c r="C394" s="120" t="s">
        <v>1328</v>
      </c>
      <c r="D394" s="121">
        <v>3</v>
      </c>
      <c r="E394" s="122">
        <v>0.1</v>
      </c>
      <c r="F394" s="121">
        <v>23</v>
      </c>
      <c r="G394" s="123">
        <v>0.4</v>
      </c>
      <c r="H394" s="122">
        <f t="shared" si="6"/>
        <v>2.7600000000000007</v>
      </c>
      <c r="I394" s="132" t="s">
        <v>714</v>
      </c>
    </row>
    <row r="395" spans="1:9" hidden="1">
      <c r="A395" s="119" t="s">
        <v>1002</v>
      </c>
      <c r="B395" s="120" t="s">
        <v>1329</v>
      </c>
      <c r="C395" s="120" t="s">
        <v>1330</v>
      </c>
      <c r="D395" s="121">
        <v>3</v>
      </c>
      <c r="E395" s="122">
        <v>0.1</v>
      </c>
      <c r="F395" s="121">
        <v>23</v>
      </c>
      <c r="G395" s="123">
        <v>0.4</v>
      </c>
      <c r="H395" s="122">
        <f t="shared" si="6"/>
        <v>2.7600000000000007</v>
      </c>
      <c r="I395" s="132" t="s">
        <v>714</v>
      </c>
    </row>
    <row r="396" spans="1:9" hidden="1">
      <c r="A396" s="119" t="s">
        <v>1002</v>
      </c>
      <c r="B396" s="120" t="s">
        <v>1331</v>
      </c>
      <c r="C396" s="120" t="s">
        <v>643</v>
      </c>
      <c r="D396" s="121">
        <v>3</v>
      </c>
      <c r="E396" s="122">
        <v>0.1</v>
      </c>
      <c r="F396" s="121">
        <v>23</v>
      </c>
      <c r="G396" s="123">
        <v>0.4</v>
      </c>
      <c r="H396" s="122">
        <f t="shared" si="6"/>
        <v>2.7600000000000007</v>
      </c>
      <c r="I396" s="132" t="s">
        <v>714</v>
      </c>
    </row>
    <row r="397" spans="1:9" hidden="1">
      <c r="A397" s="119" t="s">
        <v>1002</v>
      </c>
      <c r="B397" s="120" t="s">
        <v>1332</v>
      </c>
      <c r="C397" s="120" t="s">
        <v>1333</v>
      </c>
      <c r="D397" s="121">
        <v>3</v>
      </c>
      <c r="E397" s="122">
        <v>0.1</v>
      </c>
      <c r="F397" s="121">
        <v>23</v>
      </c>
      <c r="G397" s="123">
        <v>0.4</v>
      </c>
      <c r="H397" s="122">
        <f t="shared" si="6"/>
        <v>2.7600000000000007</v>
      </c>
      <c r="I397" s="132" t="s">
        <v>714</v>
      </c>
    </row>
    <row r="398" spans="1:9" hidden="1">
      <c r="A398" s="119" t="s">
        <v>1002</v>
      </c>
      <c r="B398" s="120" t="s">
        <v>1334</v>
      </c>
      <c r="C398" s="120" t="s">
        <v>1335</v>
      </c>
      <c r="D398" s="121">
        <v>3</v>
      </c>
      <c r="E398" s="122">
        <v>0.1</v>
      </c>
      <c r="F398" s="121">
        <v>23</v>
      </c>
      <c r="G398" s="123">
        <v>0.4</v>
      </c>
      <c r="H398" s="122">
        <f t="shared" si="6"/>
        <v>2.7600000000000007</v>
      </c>
      <c r="I398" s="132" t="s">
        <v>714</v>
      </c>
    </row>
    <row r="399" spans="1:9" hidden="1">
      <c r="A399" s="119" t="s">
        <v>1002</v>
      </c>
      <c r="B399" s="120" t="s">
        <v>1336</v>
      </c>
      <c r="C399" s="120" t="s">
        <v>1337</v>
      </c>
      <c r="D399" s="121">
        <v>3</v>
      </c>
      <c r="E399" s="122">
        <v>0.1</v>
      </c>
      <c r="F399" s="121">
        <v>23</v>
      </c>
      <c r="G399" s="123">
        <v>0.4</v>
      </c>
      <c r="H399" s="122">
        <f t="shared" si="6"/>
        <v>2.7600000000000007</v>
      </c>
      <c r="I399" s="132" t="s">
        <v>714</v>
      </c>
    </row>
    <row r="400" spans="1:9" hidden="1">
      <c r="A400" s="119" t="s">
        <v>1002</v>
      </c>
      <c r="B400" s="120" t="s">
        <v>1338</v>
      </c>
      <c r="C400" s="120" t="s">
        <v>1339</v>
      </c>
      <c r="D400" s="121">
        <v>3</v>
      </c>
      <c r="E400" s="122">
        <v>0.1</v>
      </c>
      <c r="F400" s="121">
        <v>23</v>
      </c>
      <c r="G400" s="123">
        <v>0.4</v>
      </c>
      <c r="H400" s="122">
        <f t="shared" si="6"/>
        <v>2.7600000000000007</v>
      </c>
      <c r="I400" s="132" t="s">
        <v>714</v>
      </c>
    </row>
    <row r="401" spans="1:9" hidden="1">
      <c r="A401" s="119" t="s">
        <v>1002</v>
      </c>
      <c r="B401" s="120" t="s">
        <v>1340</v>
      </c>
      <c r="C401" s="120" t="s">
        <v>1341</v>
      </c>
      <c r="D401" s="121">
        <v>3</v>
      </c>
      <c r="E401" s="122">
        <v>0.1</v>
      </c>
      <c r="F401" s="121">
        <v>23</v>
      </c>
      <c r="G401" s="123">
        <v>0.4</v>
      </c>
      <c r="H401" s="122">
        <f t="shared" si="6"/>
        <v>2.7600000000000007</v>
      </c>
      <c r="I401" s="132" t="s">
        <v>714</v>
      </c>
    </row>
    <row r="402" spans="1:9" hidden="1">
      <c r="A402" s="119" t="s">
        <v>1002</v>
      </c>
      <c r="B402" s="120" t="s">
        <v>1342</v>
      </c>
      <c r="C402" s="120" t="s">
        <v>1343</v>
      </c>
      <c r="D402" s="121">
        <v>3</v>
      </c>
      <c r="E402" s="122">
        <v>0.1</v>
      </c>
      <c r="F402" s="121">
        <v>23</v>
      </c>
      <c r="G402" s="123">
        <v>0.4</v>
      </c>
      <c r="H402" s="122">
        <f t="shared" si="6"/>
        <v>2.7600000000000007</v>
      </c>
      <c r="I402" s="132" t="s">
        <v>714</v>
      </c>
    </row>
    <row r="403" spans="1:9" hidden="1">
      <c r="A403" s="119" t="s">
        <v>1002</v>
      </c>
      <c r="B403" s="120" t="s">
        <v>1344</v>
      </c>
      <c r="C403" s="120" t="s">
        <v>1345</v>
      </c>
      <c r="D403" s="121">
        <v>3</v>
      </c>
      <c r="E403" s="122">
        <v>0.1</v>
      </c>
      <c r="F403" s="121">
        <v>23</v>
      </c>
      <c r="G403" s="123">
        <v>0.4</v>
      </c>
      <c r="H403" s="122">
        <f t="shared" si="6"/>
        <v>2.7600000000000007</v>
      </c>
      <c r="I403" s="132" t="s">
        <v>714</v>
      </c>
    </row>
    <row r="404" spans="1:9" hidden="1">
      <c r="A404" s="119" t="s">
        <v>1002</v>
      </c>
      <c r="B404" s="120" t="s">
        <v>1346</v>
      </c>
      <c r="C404" s="120" t="s">
        <v>1347</v>
      </c>
      <c r="D404" s="121">
        <v>3</v>
      </c>
      <c r="E404" s="122">
        <v>0.1</v>
      </c>
      <c r="F404" s="121">
        <v>23</v>
      </c>
      <c r="G404" s="123">
        <v>0.4</v>
      </c>
      <c r="H404" s="122">
        <f t="shared" si="6"/>
        <v>2.7600000000000007</v>
      </c>
      <c r="I404" s="132" t="s">
        <v>714</v>
      </c>
    </row>
    <row r="405" spans="1:9" hidden="1">
      <c r="A405" s="119" t="s">
        <v>1002</v>
      </c>
      <c r="B405" s="120" t="s">
        <v>1348</v>
      </c>
      <c r="C405" s="120" t="s">
        <v>1349</v>
      </c>
      <c r="D405" s="121">
        <v>3</v>
      </c>
      <c r="E405" s="122">
        <v>0.1</v>
      </c>
      <c r="F405" s="121">
        <v>23</v>
      </c>
      <c r="G405" s="123">
        <v>0.4</v>
      </c>
      <c r="H405" s="122">
        <f t="shared" si="6"/>
        <v>2.7600000000000007</v>
      </c>
      <c r="I405" s="132" t="s">
        <v>714</v>
      </c>
    </row>
    <row r="406" spans="1:9" hidden="1">
      <c r="A406" s="119" t="s">
        <v>1002</v>
      </c>
      <c r="B406" s="120" t="s">
        <v>1350</v>
      </c>
      <c r="C406" s="120" t="s">
        <v>1351</v>
      </c>
      <c r="D406" s="121">
        <v>3</v>
      </c>
      <c r="E406" s="122">
        <v>0.1</v>
      </c>
      <c r="F406" s="121">
        <v>23</v>
      </c>
      <c r="G406" s="123">
        <v>0.4</v>
      </c>
      <c r="H406" s="122">
        <f t="shared" si="6"/>
        <v>2.7600000000000007</v>
      </c>
      <c r="I406" s="132" t="s">
        <v>714</v>
      </c>
    </row>
    <row r="407" spans="1:9" hidden="1">
      <c r="A407" s="119" t="s">
        <v>1002</v>
      </c>
      <c r="B407" s="120" t="s">
        <v>1352</v>
      </c>
      <c r="C407" s="120" t="s">
        <v>1353</v>
      </c>
      <c r="D407" s="121">
        <v>3</v>
      </c>
      <c r="E407" s="122">
        <v>0.1</v>
      </c>
      <c r="F407" s="121">
        <v>23</v>
      </c>
      <c r="G407" s="123">
        <v>0.4</v>
      </c>
      <c r="H407" s="122">
        <f t="shared" si="6"/>
        <v>2.7600000000000007</v>
      </c>
      <c r="I407" s="132" t="s">
        <v>714</v>
      </c>
    </row>
    <row r="408" spans="1:9" hidden="1">
      <c r="A408" s="119" t="s">
        <v>1002</v>
      </c>
      <c r="B408" s="120" t="s">
        <v>1354</v>
      </c>
      <c r="C408" s="120" t="s">
        <v>111</v>
      </c>
      <c r="D408" s="121">
        <v>3</v>
      </c>
      <c r="E408" s="122">
        <v>0.1</v>
      </c>
      <c r="F408" s="121">
        <v>23</v>
      </c>
      <c r="G408" s="123">
        <v>0.4</v>
      </c>
      <c r="H408" s="122">
        <f t="shared" si="6"/>
        <v>2.7600000000000007</v>
      </c>
      <c r="I408" s="132" t="s">
        <v>714</v>
      </c>
    </row>
    <row r="409" spans="1:9" hidden="1">
      <c r="A409" s="119" t="s">
        <v>1002</v>
      </c>
      <c r="B409" s="120" t="s">
        <v>1355</v>
      </c>
      <c r="C409" s="120" t="s">
        <v>1356</v>
      </c>
      <c r="D409" s="121">
        <v>3</v>
      </c>
      <c r="E409" s="122">
        <v>0.1</v>
      </c>
      <c r="F409" s="121">
        <v>23</v>
      </c>
      <c r="G409" s="123">
        <v>0.4</v>
      </c>
      <c r="H409" s="122">
        <f t="shared" si="6"/>
        <v>2.7600000000000007</v>
      </c>
      <c r="I409" s="132" t="s">
        <v>714</v>
      </c>
    </row>
    <row r="410" spans="1:9" hidden="1">
      <c r="A410" s="119" t="s">
        <v>1002</v>
      </c>
      <c r="B410" s="120" t="s">
        <v>1357</v>
      </c>
      <c r="C410" s="120" t="s">
        <v>1358</v>
      </c>
      <c r="D410" s="121">
        <v>3</v>
      </c>
      <c r="E410" s="122">
        <v>0.1</v>
      </c>
      <c r="F410" s="121">
        <v>23</v>
      </c>
      <c r="G410" s="123">
        <v>0.4</v>
      </c>
      <c r="H410" s="122">
        <f t="shared" si="6"/>
        <v>2.7600000000000007</v>
      </c>
      <c r="I410" s="132" t="s">
        <v>714</v>
      </c>
    </row>
    <row r="411" spans="1:9" hidden="1">
      <c r="A411" s="119" t="s">
        <v>1002</v>
      </c>
      <c r="B411" s="120" t="s">
        <v>1359</v>
      </c>
      <c r="C411" s="120" t="s">
        <v>1360</v>
      </c>
      <c r="D411" s="121">
        <v>3</v>
      </c>
      <c r="E411" s="122">
        <v>0.1</v>
      </c>
      <c r="F411" s="121">
        <v>23</v>
      </c>
      <c r="G411" s="123">
        <v>0.4</v>
      </c>
      <c r="H411" s="122">
        <f t="shared" si="6"/>
        <v>2.7600000000000007</v>
      </c>
      <c r="I411" s="132" t="s">
        <v>714</v>
      </c>
    </row>
    <row r="412" spans="1:9" hidden="1">
      <c r="A412" s="119" t="s">
        <v>1002</v>
      </c>
      <c r="B412" s="120" t="s">
        <v>1361</v>
      </c>
      <c r="C412" s="120" t="s">
        <v>1362</v>
      </c>
      <c r="D412" s="121">
        <v>3</v>
      </c>
      <c r="E412" s="122">
        <v>0.1</v>
      </c>
      <c r="F412" s="121">
        <v>23</v>
      </c>
      <c r="G412" s="123">
        <v>0.4</v>
      </c>
      <c r="H412" s="122">
        <f t="shared" si="6"/>
        <v>2.7600000000000007</v>
      </c>
      <c r="I412" s="132" t="s">
        <v>714</v>
      </c>
    </row>
    <row r="413" spans="1:9" hidden="1">
      <c r="A413" s="119" t="s">
        <v>1002</v>
      </c>
      <c r="B413" s="120" t="s">
        <v>1363</v>
      </c>
      <c r="C413" s="120" t="s">
        <v>1364</v>
      </c>
      <c r="D413" s="121">
        <v>3</v>
      </c>
      <c r="E413" s="122">
        <v>0.1</v>
      </c>
      <c r="F413" s="121">
        <v>23</v>
      </c>
      <c r="G413" s="123">
        <v>0.4</v>
      </c>
      <c r="H413" s="122">
        <f t="shared" si="6"/>
        <v>2.7600000000000007</v>
      </c>
      <c r="I413" s="132" t="s">
        <v>714</v>
      </c>
    </row>
    <row r="414" spans="1:9" hidden="1">
      <c r="A414" s="119" t="s">
        <v>1002</v>
      </c>
      <c r="B414" s="120" t="s">
        <v>1365</v>
      </c>
      <c r="C414" s="120" t="s">
        <v>56</v>
      </c>
      <c r="D414" s="121">
        <v>3</v>
      </c>
      <c r="E414" s="122">
        <v>0.1</v>
      </c>
      <c r="F414" s="121">
        <v>23</v>
      </c>
      <c r="G414" s="123">
        <v>0.4</v>
      </c>
      <c r="H414" s="122">
        <f t="shared" si="6"/>
        <v>2.7600000000000007</v>
      </c>
      <c r="I414" s="132" t="s">
        <v>714</v>
      </c>
    </row>
    <row r="415" spans="1:9" hidden="1">
      <c r="A415" s="119" t="s">
        <v>1002</v>
      </c>
      <c r="B415" s="120" t="s">
        <v>1366</v>
      </c>
      <c r="C415" s="120" t="s">
        <v>110</v>
      </c>
      <c r="D415" s="121">
        <v>3</v>
      </c>
      <c r="E415" s="122">
        <v>0.1</v>
      </c>
      <c r="F415" s="121">
        <v>23</v>
      </c>
      <c r="G415" s="123">
        <v>0.4</v>
      </c>
      <c r="H415" s="122">
        <f t="shared" si="6"/>
        <v>2.7600000000000007</v>
      </c>
      <c r="I415" s="132" t="s">
        <v>714</v>
      </c>
    </row>
    <row r="416" spans="1:9" hidden="1">
      <c r="A416" s="119" t="s">
        <v>1002</v>
      </c>
      <c r="B416" s="120" t="s">
        <v>1367</v>
      </c>
      <c r="C416" s="120" t="s">
        <v>1368</v>
      </c>
      <c r="D416" s="121">
        <v>3</v>
      </c>
      <c r="E416" s="122">
        <v>0.1</v>
      </c>
      <c r="F416" s="121">
        <v>23</v>
      </c>
      <c r="G416" s="123">
        <v>0.4</v>
      </c>
      <c r="H416" s="122">
        <f t="shared" si="6"/>
        <v>2.7600000000000007</v>
      </c>
      <c r="I416" s="132" t="s">
        <v>714</v>
      </c>
    </row>
    <row r="417" spans="1:9" hidden="1">
      <c r="A417" s="119" t="s">
        <v>1002</v>
      </c>
      <c r="B417" s="120" t="s">
        <v>1369</v>
      </c>
      <c r="C417" s="120" t="s">
        <v>1370</v>
      </c>
      <c r="D417" s="121">
        <v>3</v>
      </c>
      <c r="E417" s="122">
        <v>0.1</v>
      </c>
      <c r="F417" s="121">
        <v>23</v>
      </c>
      <c r="G417" s="123">
        <v>0.4</v>
      </c>
      <c r="H417" s="122">
        <f t="shared" si="6"/>
        <v>2.7600000000000007</v>
      </c>
      <c r="I417" s="132" t="s">
        <v>714</v>
      </c>
    </row>
    <row r="418" spans="1:9" hidden="1">
      <c r="A418" s="119" t="s">
        <v>1002</v>
      </c>
      <c r="B418" s="120" t="s">
        <v>1371</v>
      </c>
      <c r="C418" s="120" t="s">
        <v>1372</v>
      </c>
      <c r="D418" s="121">
        <v>3</v>
      </c>
      <c r="E418" s="122">
        <v>0.1</v>
      </c>
      <c r="F418" s="121">
        <v>23</v>
      </c>
      <c r="G418" s="123">
        <v>0.4</v>
      </c>
      <c r="H418" s="122">
        <f t="shared" si="6"/>
        <v>2.7600000000000007</v>
      </c>
      <c r="I418" s="132" t="s">
        <v>714</v>
      </c>
    </row>
    <row r="419" spans="1:9" hidden="1">
      <c r="A419" s="119" t="s">
        <v>1002</v>
      </c>
      <c r="B419" s="120" t="s">
        <v>1373</v>
      </c>
      <c r="C419" s="120" t="s">
        <v>1374</v>
      </c>
      <c r="D419" s="121">
        <v>3</v>
      </c>
      <c r="E419" s="122">
        <v>0.1</v>
      </c>
      <c r="F419" s="121">
        <v>23</v>
      </c>
      <c r="G419" s="123">
        <v>0.4</v>
      </c>
      <c r="H419" s="122">
        <f t="shared" si="6"/>
        <v>2.7600000000000007</v>
      </c>
      <c r="I419" s="132" t="s">
        <v>714</v>
      </c>
    </row>
    <row r="420" spans="1:9" hidden="1">
      <c r="A420" s="119" t="s">
        <v>1002</v>
      </c>
      <c r="B420" s="120" t="s">
        <v>1375</v>
      </c>
      <c r="C420" s="120" t="s">
        <v>1376</v>
      </c>
      <c r="D420" s="121">
        <v>3</v>
      </c>
      <c r="E420" s="122">
        <v>0.1</v>
      </c>
      <c r="F420" s="121">
        <v>23</v>
      </c>
      <c r="G420" s="123">
        <v>0.4</v>
      </c>
      <c r="H420" s="122">
        <f t="shared" si="6"/>
        <v>2.7600000000000007</v>
      </c>
      <c r="I420" s="132" t="s">
        <v>714</v>
      </c>
    </row>
    <row r="421" spans="1:9" hidden="1">
      <c r="A421" s="119" t="s">
        <v>1002</v>
      </c>
      <c r="B421" s="120" t="s">
        <v>1377</v>
      </c>
      <c r="C421" s="120" t="s">
        <v>433</v>
      </c>
      <c r="D421" s="121">
        <v>3</v>
      </c>
      <c r="E421" s="122">
        <v>0.1</v>
      </c>
      <c r="F421" s="121">
        <v>23</v>
      </c>
      <c r="G421" s="123">
        <v>0.4</v>
      </c>
      <c r="H421" s="122">
        <f t="shared" si="6"/>
        <v>2.7600000000000007</v>
      </c>
      <c r="I421" s="132" t="s">
        <v>714</v>
      </c>
    </row>
    <row r="422" spans="1:9" hidden="1">
      <c r="A422" s="119" t="s">
        <v>1002</v>
      </c>
      <c r="B422" s="120" t="s">
        <v>1378</v>
      </c>
      <c r="C422" s="120" t="s">
        <v>435</v>
      </c>
      <c r="D422" s="121">
        <v>3</v>
      </c>
      <c r="E422" s="122">
        <v>0.1</v>
      </c>
      <c r="F422" s="121">
        <v>23</v>
      </c>
      <c r="G422" s="123">
        <v>0.4</v>
      </c>
      <c r="H422" s="122">
        <f t="shared" si="6"/>
        <v>2.7600000000000007</v>
      </c>
      <c r="I422" s="132" t="s">
        <v>714</v>
      </c>
    </row>
    <row r="423" spans="1:9" hidden="1">
      <c r="A423" s="119" t="s">
        <v>1002</v>
      </c>
      <c r="B423" s="120" t="s">
        <v>1379</v>
      </c>
      <c r="C423" s="120" t="s">
        <v>1380</v>
      </c>
      <c r="D423" s="121">
        <v>3</v>
      </c>
      <c r="E423" s="122">
        <v>0.1</v>
      </c>
      <c r="F423" s="121">
        <v>23</v>
      </c>
      <c r="G423" s="123">
        <v>0.4</v>
      </c>
      <c r="H423" s="122">
        <f t="shared" si="6"/>
        <v>2.7600000000000007</v>
      </c>
      <c r="I423" s="132" t="s">
        <v>714</v>
      </c>
    </row>
    <row r="424" spans="1:9" hidden="1">
      <c r="A424" s="119" t="s">
        <v>1002</v>
      </c>
      <c r="B424" s="120" t="s">
        <v>1381</v>
      </c>
      <c r="C424" s="120" t="s">
        <v>1382</v>
      </c>
      <c r="D424" s="121">
        <v>3</v>
      </c>
      <c r="E424" s="122">
        <v>0.1</v>
      </c>
      <c r="F424" s="121">
        <v>23</v>
      </c>
      <c r="G424" s="123">
        <v>0.4</v>
      </c>
      <c r="H424" s="122">
        <f t="shared" si="6"/>
        <v>2.7600000000000007</v>
      </c>
      <c r="I424" s="132" t="s">
        <v>714</v>
      </c>
    </row>
    <row r="425" spans="1:9" hidden="1">
      <c r="A425" s="119" t="s">
        <v>1002</v>
      </c>
      <c r="B425" s="120" t="s">
        <v>1383</v>
      </c>
      <c r="C425" s="120" t="s">
        <v>1384</v>
      </c>
      <c r="D425" s="121">
        <v>3</v>
      </c>
      <c r="E425" s="122">
        <v>0.1</v>
      </c>
      <c r="F425" s="121">
        <v>23</v>
      </c>
      <c r="G425" s="123">
        <v>0.4</v>
      </c>
      <c r="H425" s="122">
        <f t="shared" si="6"/>
        <v>2.7600000000000007</v>
      </c>
      <c r="I425" s="132" t="s">
        <v>714</v>
      </c>
    </row>
    <row r="426" spans="1:9" hidden="1">
      <c r="A426" s="119" t="s">
        <v>1002</v>
      </c>
      <c r="B426" s="120" t="s">
        <v>1385</v>
      </c>
      <c r="C426" s="120" t="s">
        <v>1386</v>
      </c>
      <c r="D426" s="121">
        <v>3</v>
      </c>
      <c r="E426" s="122">
        <v>0.1</v>
      </c>
      <c r="F426" s="121">
        <v>23</v>
      </c>
      <c r="G426" s="123">
        <v>0.4</v>
      </c>
      <c r="H426" s="122">
        <f t="shared" si="6"/>
        <v>2.7600000000000007</v>
      </c>
      <c r="I426" s="132" t="s">
        <v>714</v>
      </c>
    </row>
    <row r="427" spans="1:9" hidden="1">
      <c r="A427" s="119" t="s">
        <v>1002</v>
      </c>
      <c r="B427" s="120" t="s">
        <v>1387</v>
      </c>
      <c r="C427" s="120" t="s">
        <v>1388</v>
      </c>
      <c r="D427" s="121">
        <v>3</v>
      </c>
      <c r="E427" s="122">
        <v>0.1</v>
      </c>
      <c r="F427" s="121">
        <v>23</v>
      </c>
      <c r="G427" s="123">
        <v>0.4</v>
      </c>
      <c r="H427" s="122">
        <f t="shared" si="6"/>
        <v>2.7600000000000007</v>
      </c>
      <c r="I427" s="132" t="s">
        <v>714</v>
      </c>
    </row>
    <row r="428" spans="1:9" hidden="1">
      <c r="A428" s="119" t="s">
        <v>1002</v>
      </c>
      <c r="B428" s="120" t="s">
        <v>1389</v>
      </c>
      <c r="C428" s="120" t="s">
        <v>1390</v>
      </c>
      <c r="D428" s="121">
        <v>3</v>
      </c>
      <c r="E428" s="122">
        <v>0.1</v>
      </c>
      <c r="F428" s="121">
        <v>23</v>
      </c>
      <c r="G428" s="123">
        <v>0.4</v>
      </c>
      <c r="H428" s="122">
        <f t="shared" si="6"/>
        <v>2.7600000000000007</v>
      </c>
      <c r="I428" s="132" t="s">
        <v>714</v>
      </c>
    </row>
    <row r="429" spans="1:9" hidden="1">
      <c r="A429" s="119" t="s">
        <v>1002</v>
      </c>
      <c r="B429" s="120" t="s">
        <v>1391</v>
      </c>
      <c r="C429" s="120" t="s">
        <v>1392</v>
      </c>
      <c r="D429" s="121">
        <v>3</v>
      </c>
      <c r="E429" s="122">
        <v>0.1</v>
      </c>
      <c r="F429" s="121">
        <v>23</v>
      </c>
      <c r="G429" s="123">
        <v>0.4</v>
      </c>
      <c r="H429" s="122">
        <f t="shared" si="6"/>
        <v>2.7600000000000007</v>
      </c>
      <c r="I429" s="132" t="s">
        <v>714</v>
      </c>
    </row>
    <row r="430" spans="1:9" hidden="1">
      <c r="A430" s="119" t="s">
        <v>1002</v>
      </c>
      <c r="B430" s="120" t="s">
        <v>1393</v>
      </c>
      <c r="C430" s="120" t="s">
        <v>463</v>
      </c>
      <c r="D430" s="121">
        <v>3</v>
      </c>
      <c r="E430" s="122">
        <v>0.1</v>
      </c>
      <c r="F430" s="121">
        <v>23</v>
      </c>
      <c r="G430" s="123">
        <v>0.4</v>
      </c>
      <c r="H430" s="122">
        <f t="shared" si="6"/>
        <v>2.7600000000000007</v>
      </c>
      <c r="I430" s="132" t="s">
        <v>714</v>
      </c>
    </row>
    <row r="431" spans="1:9" hidden="1">
      <c r="A431" s="119" t="s">
        <v>1002</v>
      </c>
      <c r="B431" s="120" t="s">
        <v>1394</v>
      </c>
      <c r="C431" s="120" t="s">
        <v>465</v>
      </c>
      <c r="D431" s="121">
        <v>3</v>
      </c>
      <c r="E431" s="122">
        <v>0.1</v>
      </c>
      <c r="F431" s="121">
        <v>23</v>
      </c>
      <c r="G431" s="123">
        <v>0.4</v>
      </c>
      <c r="H431" s="122">
        <f t="shared" si="6"/>
        <v>2.7600000000000007</v>
      </c>
      <c r="I431" s="132" t="s">
        <v>714</v>
      </c>
    </row>
    <row r="432" spans="1:9" hidden="1">
      <c r="A432" s="119" t="s">
        <v>1002</v>
      </c>
      <c r="B432" s="120" t="s">
        <v>1395</v>
      </c>
      <c r="C432" s="120" t="s">
        <v>467</v>
      </c>
      <c r="D432" s="121">
        <v>3</v>
      </c>
      <c r="E432" s="122">
        <v>0.1</v>
      </c>
      <c r="F432" s="121">
        <v>23</v>
      </c>
      <c r="G432" s="123">
        <v>0.4</v>
      </c>
      <c r="H432" s="122">
        <f t="shared" si="6"/>
        <v>2.7600000000000007</v>
      </c>
      <c r="I432" s="132" t="s">
        <v>714</v>
      </c>
    </row>
    <row r="433" spans="1:9" hidden="1">
      <c r="A433" s="119" t="s">
        <v>1002</v>
      </c>
      <c r="B433" s="120" t="s">
        <v>1396</v>
      </c>
      <c r="C433" s="120" t="s">
        <v>469</v>
      </c>
      <c r="D433" s="121">
        <v>3</v>
      </c>
      <c r="E433" s="122">
        <v>0.1</v>
      </c>
      <c r="F433" s="121">
        <v>23</v>
      </c>
      <c r="G433" s="123">
        <v>0.4</v>
      </c>
      <c r="H433" s="122">
        <f t="shared" si="6"/>
        <v>2.7600000000000007</v>
      </c>
      <c r="I433" s="132" t="s">
        <v>714</v>
      </c>
    </row>
    <row r="434" spans="1:9" hidden="1">
      <c r="A434" s="119" t="s">
        <v>1002</v>
      </c>
      <c r="B434" s="120" t="s">
        <v>1397</v>
      </c>
      <c r="C434" s="120" t="s">
        <v>1398</v>
      </c>
      <c r="D434" s="121">
        <v>3</v>
      </c>
      <c r="E434" s="122">
        <v>0.1</v>
      </c>
      <c r="F434" s="121">
        <v>23</v>
      </c>
      <c r="G434" s="123">
        <v>0.4</v>
      </c>
      <c r="H434" s="122">
        <f t="shared" si="6"/>
        <v>2.7600000000000007</v>
      </c>
      <c r="I434" s="132" t="s">
        <v>714</v>
      </c>
    </row>
    <row r="435" spans="1:9" hidden="1">
      <c r="A435" s="119" t="s">
        <v>1002</v>
      </c>
      <c r="B435" s="120" t="s">
        <v>1399</v>
      </c>
      <c r="C435" s="120" t="s">
        <v>1400</v>
      </c>
      <c r="D435" s="121">
        <v>3</v>
      </c>
      <c r="E435" s="122">
        <v>0.1</v>
      </c>
      <c r="F435" s="121">
        <v>23</v>
      </c>
      <c r="G435" s="123">
        <v>0.4</v>
      </c>
      <c r="H435" s="122">
        <f t="shared" si="6"/>
        <v>2.7600000000000007</v>
      </c>
      <c r="I435" s="132" t="s">
        <v>714</v>
      </c>
    </row>
    <row r="436" spans="1:9" hidden="1">
      <c r="A436" s="119" t="s">
        <v>1002</v>
      </c>
      <c r="B436" s="120" t="s">
        <v>1401</v>
      </c>
      <c r="C436" s="120" t="s">
        <v>1402</v>
      </c>
      <c r="D436" s="121">
        <v>3</v>
      </c>
      <c r="E436" s="122">
        <v>0.1</v>
      </c>
      <c r="F436" s="121">
        <v>23</v>
      </c>
      <c r="G436" s="123">
        <v>0.4</v>
      </c>
      <c r="H436" s="122">
        <f t="shared" si="6"/>
        <v>2.7600000000000007</v>
      </c>
      <c r="I436" s="132" t="s">
        <v>714</v>
      </c>
    </row>
    <row r="437" spans="1:9" hidden="1">
      <c r="A437" s="119" t="s">
        <v>1002</v>
      </c>
      <c r="B437" s="120" t="s">
        <v>1403</v>
      </c>
      <c r="C437" s="120" t="s">
        <v>1404</v>
      </c>
      <c r="D437" s="121">
        <v>3</v>
      </c>
      <c r="E437" s="122">
        <v>0.1</v>
      </c>
      <c r="F437" s="121">
        <v>23</v>
      </c>
      <c r="G437" s="123">
        <v>0.4</v>
      </c>
      <c r="H437" s="122">
        <f t="shared" si="6"/>
        <v>2.7600000000000007</v>
      </c>
      <c r="I437" s="132" t="s">
        <v>714</v>
      </c>
    </row>
    <row r="438" spans="1:9" hidden="1">
      <c r="A438" s="119" t="s">
        <v>1002</v>
      </c>
      <c r="B438" s="120" t="s">
        <v>1405</v>
      </c>
      <c r="C438" s="120" t="s">
        <v>1406</v>
      </c>
      <c r="D438" s="121">
        <v>3</v>
      </c>
      <c r="E438" s="122">
        <v>0.1</v>
      </c>
      <c r="F438" s="121">
        <v>23</v>
      </c>
      <c r="G438" s="123">
        <v>0.4</v>
      </c>
      <c r="H438" s="122">
        <f t="shared" si="6"/>
        <v>2.7600000000000007</v>
      </c>
      <c r="I438" s="132" t="s">
        <v>714</v>
      </c>
    </row>
    <row r="439" spans="1:9" hidden="1">
      <c r="A439" s="119" t="s">
        <v>1002</v>
      </c>
      <c r="B439" s="120" t="s">
        <v>1407</v>
      </c>
      <c r="C439" s="120" t="s">
        <v>485</v>
      </c>
      <c r="D439" s="121">
        <v>3</v>
      </c>
      <c r="E439" s="122">
        <v>0.1</v>
      </c>
      <c r="F439" s="121">
        <v>23</v>
      </c>
      <c r="G439" s="123">
        <v>0.4</v>
      </c>
      <c r="H439" s="122">
        <f t="shared" si="6"/>
        <v>2.7600000000000007</v>
      </c>
      <c r="I439" s="132" t="s">
        <v>714</v>
      </c>
    </row>
    <row r="440" spans="1:9" hidden="1">
      <c r="A440" s="119" t="s">
        <v>1002</v>
      </c>
      <c r="B440" s="120" t="s">
        <v>1408</v>
      </c>
      <c r="C440" s="120" t="s">
        <v>486</v>
      </c>
      <c r="D440" s="121">
        <v>3</v>
      </c>
      <c r="E440" s="122">
        <v>0.1</v>
      </c>
      <c r="F440" s="121">
        <v>23</v>
      </c>
      <c r="G440" s="123">
        <v>0.4</v>
      </c>
      <c r="H440" s="122">
        <f t="shared" si="6"/>
        <v>2.7600000000000007</v>
      </c>
      <c r="I440" s="132" t="s">
        <v>714</v>
      </c>
    </row>
    <row r="441" spans="1:9" hidden="1">
      <c r="A441" s="119" t="s">
        <v>1002</v>
      </c>
      <c r="B441" s="120" t="s">
        <v>1409</v>
      </c>
      <c r="C441" s="120" t="s">
        <v>487</v>
      </c>
      <c r="D441" s="121">
        <v>3</v>
      </c>
      <c r="E441" s="122">
        <v>0.1</v>
      </c>
      <c r="F441" s="121">
        <v>23</v>
      </c>
      <c r="G441" s="123">
        <v>0.4</v>
      </c>
      <c r="H441" s="122">
        <f t="shared" si="6"/>
        <v>2.7600000000000007</v>
      </c>
      <c r="I441" s="132" t="s">
        <v>714</v>
      </c>
    </row>
    <row r="442" spans="1:9" hidden="1">
      <c r="A442" s="119" t="s">
        <v>1002</v>
      </c>
      <c r="B442" s="120" t="s">
        <v>1410</v>
      </c>
      <c r="C442" s="120" t="s">
        <v>488</v>
      </c>
      <c r="D442" s="121">
        <v>3</v>
      </c>
      <c r="E442" s="122">
        <v>0.1</v>
      </c>
      <c r="F442" s="121">
        <v>23</v>
      </c>
      <c r="G442" s="123">
        <v>0.4</v>
      </c>
      <c r="H442" s="122">
        <f t="shared" si="6"/>
        <v>2.7600000000000007</v>
      </c>
      <c r="I442" s="132" t="s">
        <v>714</v>
      </c>
    </row>
    <row r="443" spans="1:9" hidden="1">
      <c r="A443" s="119" t="s">
        <v>1002</v>
      </c>
      <c r="B443" s="120" t="s">
        <v>1411</v>
      </c>
      <c r="C443" s="120" t="s">
        <v>490</v>
      </c>
      <c r="D443" s="121">
        <v>3</v>
      </c>
      <c r="E443" s="122">
        <v>0.1</v>
      </c>
      <c r="F443" s="121">
        <v>23</v>
      </c>
      <c r="G443" s="123">
        <v>0.4</v>
      </c>
      <c r="H443" s="122">
        <f t="shared" si="6"/>
        <v>2.7600000000000007</v>
      </c>
      <c r="I443" s="132" t="s">
        <v>714</v>
      </c>
    </row>
    <row r="444" spans="1:9" hidden="1">
      <c r="A444" s="119" t="s">
        <v>1002</v>
      </c>
      <c r="B444" s="120" t="s">
        <v>1412</v>
      </c>
      <c r="C444" s="120" t="s">
        <v>1413</v>
      </c>
      <c r="D444" s="121">
        <v>3</v>
      </c>
      <c r="E444" s="122">
        <v>0.1</v>
      </c>
      <c r="F444" s="121">
        <v>23</v>
      </c>
      <c r="G444" s="123">
        <v>0.4</v>
      </c>
      <c r="H444" s="122">
        <f t="shared" si="6"/>
        <v>2.7600000000000007</v>
      </c>
      <c r="I444" s="132" t="s">
        <v>714</v>
      </c>
    </row>
    <row r="445" spans="1:9" hidden="1">
      <c r="A445" s="119" t="s">
        <v>1002</v>
      </c>
      <c r="B445" s="120" t="s">
        <v>1414</v>
      </c>
      <c r="C445" s="120" t="s">
        <v>506</v>
      </c>
      <c r="D445" s="121">
        <v>3</v>
      </c>
      <c r="E445" s="122">
        <v>0.1</v>
      </c>
      <c r="F445" s="121">
        <v>23</v>
      </c>
      <c r="G445" s="123">
        <v>0.4</v>
      </c>
      <c r="H445" s="122">
        <f t="shared" si="6"/>
        <v>2.7600000000000007</v>
      </c>
      <c r="I445" s="132" t="s">
        <v>714</v>
      </c>
    </row>
    <row r="446" spans="1:9" hidden="1">
      <c r="A446" s="119" t="s">
        <v>1002</v>
      </c>
      <c r="B446" s="120" t="s">
        <v>1415</v>
      </c>
      <c r="C446" s="120" t="s">
        <v>1416</v>
      </c>
      <c r="D446" s="121">
        <v>3</v>
      </c>
      <c r="E446" s="122">
        <v>0.1</v>
      </c>
      <c r="F446" s="121">
        <v>23</v>
      </c>
      <c r="G446" s="123">
        <v>0.4</v>
      </c>
      <c r="H446" s="122">
        <f t="shared" si="6"/>
        <v>2.7600000000000007</v>
      </c>
      <c r="I446" s="132" t="s">
        <v>714</v>
      </c>
    </row>
    <row r="447" spans="1:9" hidden="1">
      <c r="A447" s="119" t="s">
        <v>1002</v>
      </c>
      <c r="B447" s="120" t="s">
        <v>1417</v>
      </c>
      <c r="C447" s="120" t="s">
        <v>1418</v>
      </c>
      <c r="D447" s="121">
        <v>3</v>
      </c>
      <c r="E447" s="122">
        <v>0.1</v>
      </c>
      <c r="F447" s="121">
        <v>23</v>
      </c>
      <c r="G447" s="123">
        <v>0.4</v>
      </c>
      <c r="H447" s="122">
        <f t="shared" si="6"/>
        <v>2.7600000000000007</v>
      </c>
      <c r="I447" s="132" t="s">
        <v>714</v>
      </c>
    </row>
    <row r="448" spans="1:9" hidden="1">
      <c r="A448" s="119" t="s">
        <v>1002</v>
      </c>
      <c r="B448" s="120" t="s">
        <v>1419</v>
      </c>
      <c r="C448" s="120" t="s">
        <v>526</v>
      </c>
      <c r="D448" s="121">
        <v>3</v>
      </c>
      <c r="E448" s="122">
        <v>0.1</v>
      </c>
      <c r="F448" s="121">
        <v>23</v>
      </c>
      <c r="G448" s="123">
        <v>0.4</v>
      </c>
      <c r="H448" s="122">
        <f t="shared" si="6"/>
        <v>2.7600000000000007</v>
      </c>
      <c r="I448" s="132" t="s">
        <v>714</v>
      </c>
    </row>
    <row r="449" spans="1:9" hidden="1">
      <c r="A449" s="119" t="s">
        <v>1002</v>
      </c>
      <c r="B449" s="120" t="s">
        <v>1420</v>
      </c>
      <c r="C449" s="120" t="s">
        <v>60</v>
      </c>
      <c r="D449" s="121">
        <v>3</v>
      </c>
      <c r="E449" s="122">
        <v>0.1</v>
      </c>
      <c r="F449" s="121">
        <v>23</v>
      </c>
      <c r="G449" s="123">
        <v>0.4</v>
      </c>
      <c r="H449" s="122">
        <f t="shared" si="6"/>
        <v>2.7600000000000007</v>
      </c>
      <c r="I449" s="132" t="s">
        <v>714</v>
      </c>
    </row>
    <row r="450" spans="1:9" hidden="1">
      <c r="A450" s="119" t="s">
        <v>1002</v>
      </c>
      <c r="B450" s="120" t="s">
        <v>1421</v>
      </c>
      <c r="C450" s="120" t="s">
        <v>1422</v>
      </c>
      <c r="D450" s="121">
        <v>2</v>
      </c>
      <c r="E450" s="122">
        <v>0.1</v>
      </c>
      <c r="F450" s="121">
        <v>23</v>
      </c>
      <c r="G450" s="123">
        <v>0.4</v>
      </c>
      <c r="H450" s="122">
        <f t="shared" ref="H450:H513" si="7">D450*E450*F450*G450</f>
        <v>1.8400000000000003</v>
      </c>
      <c r="I450" s="132" t="s">
        <v>714</v>
      </c>
    </row>
    <row r="451" spans="1:9" hidden="1">
      <c r="A451" s="119" t="s">
        <v>1002</v>
      </c>
      <c r="B451" s="120" t="s">
        <v>1423</v>
      </c>
      <c r="C451" s="120" t="s">
        <v>1424</v>
      </c>
      <c r="D451" s="121">
        <v>2</v>
      </c>
      <c r="E451" s="122">
        <v>0.1</v>
      </c>
      <c r="F451" s="121">
        <v>23</v>
      </c>
      <c r="G451" s="123">
        <v>0.4</v>
      </c>
      <c r="H451" s="122">
        <f t="shared" si="7"/>
        <v>1.8400000000000003</v>
      </c>
      <c r="I451" s="132" t="s">
        <v>714</v>
      </c>
    </row>
    <row r="452" spans="1:9" hidden="1">
      <c r="A452" s="119" t="s">
        <v>1002</v>
      </c>
      <c r="B452" s="120" t="s">
        <v>1425</v>
      </c>
      <c r="C452" s="120" t="s">
        <v>179</v>
      </c>
      <c r="D452" s="121">
        <v>2</v>
      </c>
      <c r="E452" s="122">
        <v>0.1</v>
      </c>
      <c r="F452" s="121">
        <v>23</v>
      </c>
      <c r="G452" s="123">
        <v>0.4</v>
      </c>
      <c r="H452" s="122">
        <f t="shared" si="7"/>
        <v>1.8400000000000003</v>
      </c>
      <c r="I452" s="132" t="s">
        <v>714</v>
      </c>
    </row>
    <row r="453" spans="1:9" hidden="1">
      <c r="A453" s="119" t="s">
        <v>1002</v>
      </c>
      <c r="B453" s="120" t="s">
        <v>1426</v>
      </c>
      <c r="C453" s="120" t="s">
        <v>1427</v>
      </c>
      <c r="D453" s="121">
        <v>2</v>
      </c>
      <c r="E453" s="122">
        <v>0.1</v>
      </c>
      <c r="F453" s="121">
        <v>23</v>
      </c>
      <c r="G453" s="123">
        <v>0.4</v>
      </c>
      <c r="H453" s="122">
        <f t="shared" si="7"/>
        <v>1.8400000000000003</v>
      </c>
      <c r="I453" s="132" t="s">
        <v>714</v>
      </c>
    </row>
    <row r="454" spans="1:9" hidden="1">
      <c r="A454" s="119" t="s">
        <v>1002</v>
      </c>
      <c r="B454" s="120" t="s">
        <v>1428</v>
      </c>
      <c r="C454" s="120" t="s">
        <v>1429</v>
      </c>
      <c r="D454" s="121">
        <v>2</v>
      </c>
      <c r="E454" s="122">
        <v>0.1</v>
      </c>
      <c r="F454" s="121">
        <v>23</v>
      </c>
      <c r="G454" s="123">
        <v>0.4</v>
      </c>
      <c r="H454" s="122">
        <f t="shared" si="7"/>
        <v>1.8400000000000003</v>
      </c>
      <c r="I454" s="132" t="s">
        <v>714</v>
      </c>
    </row>
    <row r="455" spans="1:9" hidden="1">
      <c r="A455" s="119" t="s">
        <v>1002</v>
      </c>
      <c r="B455" s="120" t="s">
        <v>1430</v>
      </c>
      <c r="C455" s="120" t="s">
        <v>1431</v>
      </c>
      <c r="D455" s="121">
        <v>2</v>
      </c>
      <c r="E455" s="122">
        <v>0.1</v>
      </c>
      <c r="F455" s="121">
        <v>23</v>
      </c>
      <c r="G455" s="123">
        <v>0.4</v>
      </c>
      <c r="H455" s="122">
        <f t="shared" si="7"/>
        <v>1.8400000000000003</v>
      </c>
      <c r="I455" s="132" t="s">
        <v>714</v>
      </c>
    </row>
    <row r="456" spans="1:9" hidden="1">
      <c r="A456" s="119" t="s">
        <v>1002</v>
      </c>
      <c r="B456" s="120" t="s">
        <v>1432</v>
      </c>
      <c r="C456" s="120" t="s">
        <v>181</v>
      </c>
      <c r="D456" s="121">
        <v>2</v>
      </c>
      <c r="E456" s="122">
        <v>0.1</v>
      </c>
      <c r="F456" s="121">
        <v>23</v>
      </c>
      <c r="G456" s="123">
        <v>0.4</v>
      </c>
      <c r="H456" s="122">
        <f t="shared" si="7"/>
        <v>1.8400000000000003</v>
      </c>
      <c r="I456" s="132" t="s">
        <v>714</v>
      </c>
    </row>
    <row r="457" spans="1:9" hidden="1">
      <c r="A457" s="119" t="s">
        <v>1002</v>
      </c>
      <c r="B457" s="120" t="s">
        <v>1433</v>
      </c>
      <c r="C457" s="120" t="s">
        <v>1434</v>
      </c>
      <c r="D457" s="121">
        <v>2</v>
      </c>
      <c r="E457" s="122">
        <v>0.1</v>
      </c>
      <c r="F457" s="121">
        <v>23</v>
      </c>
      <c r="G457" s="123">
        <v>0.4</v>
      </c>
      <c r="H457" s="122">
        <f t="shared" si="7"/>
        <v>1.8400000000000003</v>
      </c>
      <c r="I457" s="132" t="s">
        <v>714</v>
      </c>
    </row>
    <row r="458" spans="1:9" hidden="1">
      <c r="A458" s="119" t="s">
        <v>1002</v>
      </c>
      <c r="B458" s="120" t="s">
        <v>1435</v>
      </c>
      <c r="C458" s="120" t="s">
        <v>1436</v>
      </c>
      <c r="D458" s="121">
        <v>2</v>
      </c>
      <c r="E458" s="122">
        <v>0.1</v>
      </c>
      <c r="F458" s="121">
        <v>23</v>
      </c>
      <c r="G458" s="123">
        <v>0.4</v>
      </c>
      <c r="H458" s="122">
        <f t="shared" si="7"/>
        <v>1.8400000000000003</v>
      </c>
      <c r="I458" s="132" t="s">
        <v>714</v>
      </c>
    </row>
    <row r="459" spans="1:9" hidden="1">
      <c r="A459" s="119" t="s">
        <v>1002</v>
      </c>
      <c r="B459" s="120" t="s">
        <v>1437</v>
      </c>
      <c r="C459" s="120" t="s">
        <v>1438</v>
      </c>
      <c r="D459" s="121">
        <v>2</v>
      </c>
      <c r="E459" s="122">
        <v>0.1</v>
      </c>
      <c r="F459" s="121">
        <v>23</v>
      </c>
      <c r="G459" s="123">
        <v>0.4</v>
      </c>
      <c r="H459" s="122">
        <f t="shared" si="7"/>
        <v>1.8400000000000003</v>
      </c>
      <c r="I459" s="132" t="s">
        <v>714</v>
      </c>
    </row>
    <row r="460" spans="1:9" hidden="1">
      <c r="A460" s="119" t="s">
        <v>1002</v>
      </c>
      <c r="B460" s="120" t="s">
        <v>1439</v>
      </c>
      <c r="C460" s="120" t="s">
        <v>91</v>
      </c>
      <c r="D460" s="121">
        <v>2</v>
      </c>
      <c r="E460" s="122">
        <v>0.1</v>
      </c>
      <c r="F460" s="121">
        <v>23</v>
      </c>
      <c r="G460" s="123">
        <v>0.4</v>
      </c>
      <c r="H460" s="122">
        <f t="shared" si="7"/>
        <v>1.8400000000000003</v>
      </c>
      <c r="I460" s="132" t="s">
        <v>714</v>
      </c>
    </row>
    <row r="461" spans="1:9" hidden="1">
      <c r="A461" s="119" t="s">
        <v>1002</v>
      </c>
      <c r="B461" s="120" t="s">
        <v>1440</v>
      </c>
      <c r="C461" s="120" t="s">
        <v>1441</v>
      </c>
      <c r="D461" s="121">
        <v>2</v>
      </c>
      <c r="E461" s="122">
        <v>0.1</v>
      </c>
      <c r="F461" s="121">
        <v>23</v>
      </c>
      <c r="G461" s="123">
        <v>0.4</v>
      </c>
      <c r="H461" s="122">
        <f t="shared" si="7"/>
        <v>1.8400000000000003</v>
      </c>
      <c r="I461" s="132" t="s">
        <v>714</v>
      </c>
    </row>
    <row r="462" spans="1:9" hidden="1">
      <c r="A462" s="119" t="s">
        <v>1002</v>
      </c>
      <c r="B462" s="120" t="s">
        <v>1442</v>
      </c>
      <c r="C462" s="120" t="s">
        <v>1443</v>
      </c>
      <c r="D462" s="121">
        <v>2</v>
      </c>
      <c r="E462" s="122">
        <v>0.1</v>
      </c>
      <c r="F462" s="121">
        <v>23</v>
      </c>
      <c r="G462" s="123">
        <v>0.4</v>
      </c>
      <c r="H462" s="122">
        <f t="shared" si="7"/>
        <v>1.8400000000000003</v>
      </c>
      <c r="I462" s="132" t="s">
        <v>714</v>
      </c>
    </row>
    <row r="463" spans="1:9" hidden="1">
      <c r="A463" s="119" t="s">
        <v>1002</v>
      </c>
      <c r="B463" s="120" t="s">
        <v>1444</v>
      </c>
      <c r="C463" s="120" t="s">
        <v>234</v>
      </c>
      <c r="D463" s="121">
        <v>2</v>
      </c>
      <c r="E463" s="122">
        <v>0.1</v>
      </c>
      <c r="F463" s="121">
        <v>23</v>
      </c>
      <c r="G463" s="123">
        <v>0.4</v>
      </c>
      <c r="H463" s="122">
        <f t="shared" si="7"/>
        <v>1.8400000000000003</v>
      </c>
      <c r="I463" s="132" t="s">
        <v>714</v>
      </c>
    </row>
    <row r="464" spans="1:9" hidden="1">
      <c r="A464" s="119" t="s">
        <v>1002</v>
      </c>
      <c r="B464" s="120" t="s">
        <v>1445</v>
      </c>
      <c r="C464" s="120" t="s">
        <v>249</v>
      </c>
      <c r="D464" s="121">
        <v>2</v>
      </c>
      <c r="E464" s="122">
        <v>0.1</v>
      </c>
      <c r="F464" s="121">
        <v>23</v>
      </c>
      <c r="G464" s="123">
        <v>0.4</v>
      </c>
      <c r="H464" s="122">
        <f t="shared" si="7"/>
        <v>1.8400000000000003</v>
      </c>
      <c r="I464" s="132" t="s">
        <v>714</v>
      </c>
    </row>
    <row r="465" spans="1:9" hidden="1">
      <c r="A465" s="119" t="s">
        <v>1002</v>
      </c>
      <c r="B465" s="120" t="s">
        <v>1446</v>
      </c>
      <c r="C465" s="120" t="s">
        <v>55</v>
      </c>
      <c r="D465" s="121">
        <v>2</v>
      </c>
      <c r="E465" s="122">
        <v>0.1</v>
      </c>
      <c r="F465" s="121">
        <v>23</v>
      </c>
      <c r="G465" s="123">
        <v>0.4</v>
      </c>
      <c r="H465" s="122">
        <f t="shared" si="7"/>
        <v>1.8400000000000003</v>
      </c>
      <c r="I465" s="132" t="s">
        <v>714</v>
      </c>
    </row>
    <row r="466" spans="1:9" hidden="1">
      <c r="A466" s="119" t="s">
        <v>1002</v>
      </c>
      <c r="B466" s="120" t="s">
        <v>1447</v>
      </c>
      <c r="C466" s="120" t="s">
        <v>83</v>
      </c>
      <c r="D466" s="121">
        <v>2</v>
      </c>
      <c r="E466" s="122">
        <v>0.1</v>
      </c>
      <c r="F466" s="121">
        <v>23</v>
      </c>
      <c r="G466" s="123">
        <v>0.4</v>
      </c>
      <c r="H466" s="122">
        <f t="shared" si="7"/>
        <v>1.8400000000000003</v>
      </c>
      <c r="I466" s="132" t="s">
        <v>714</v>
      </c>
    </row>
    <row r="467" spans="1:9" hidden="1">
      <c r="A467" s="119" t="s">
        <v>1002</v>
      </c>
      <c r="B467" s="120" t="s">
        <v>1448</v>
      </c>
      <c r="C467" s="120" t="s">
        <v>307</v>
      </c>
      <c r="D467" s="121">
        <v>2</v>
      </c>
      <c r="E467" s="122">
        <v>0.1</v>
      </c>
      <c r="F467" s="121">
        <v>23</v>
      </c>
      <c r="G467" s="123">
        <v>0.4</v>
      </c>
      <c r="H467" s="122">
        <f t="shared" si="7"/>
        <v>1.8400000000000003</v>
      </c>
      <c r="I467" s="132" t="s">
        <v>714</v>
      </c>
    </row>
    <row r="468" spans="1:9" hidden="1">
      <c r="A468" s="119" t="s">
        <v>1002</v>
      </c>
      <c r="B468" s="120" t="s">
        <v>1449</v>
      </c>
      <c r="C468" s="120" t="s">
        <v>1450</v>
      </c>
      <c r="D468" s="121">
        <v>2</v>
      </c>
      <c r="E468" s="122">
        <v>0.1</v>
      </c>
      <c r="F468" s="121">
        <v>23</v>
      </c>
      <c r="G468" s="123">
        <v>0.4</v>
      </c>
      <c r="H468" s="122">
        <f t="shared" si="7"/>
        <v>1.8400000000000003</v>
      </c>
      <c r="I468" s="132" t="s">
        <v>714</v>
      </c>
    </row>
    <row r="469" spans="1:9" hidden="1">
      <c r="A469" s="119" t="s">
        <v>1002</v>
      </c>
      <c r="B469" s="120" t="s">
        <v>1451</v>
      </c>
      <c r="C469" s="120" t="s">
        <v>310</v>
      </c>
      <c r="D469" s="121">
        <v>2</v>
      </c>
      <c r="E469" s="122">
        <v>0.1</v>
      </c>
      <c r="F469" s="121">
        <v>23</v>
      </c>
      <c r="G469" s="123">
        <v>0.4</v>
      </c>
      <c r="H469" s="122">
        <f t="shared" si="7"/>
        <v>1.8400000000000003</v>
      </c>
      <c r="I469" s="132" t="s">
        <v>714</v>
      </c>
    </row>
    <row r="470" spans="1:9" hidden="1">
      <c r="A470" s="119" t="s">
        <v>1002</v>
      </c>
      <c r="B470" s="120" t="s">
        <v>1452</v>
      </c>
      <c r="C470" s="120" t="s">
        <v>1453</v>
      </c>
      <c r="D470" s="121">
        <v>2</v>
      </c>
      <c r="E470" s="122">
        <v>0.1</v>
      </c>
      <c r="F470" s="121">
        <v>23</v>
      </c>
      <c r="G470" s="123">
        <v>0.4</v>
      </c>
      <c r="H470" s="122">
        <f t="shared" si="7"/>
        <v>1.8400000000000003</v>
      </c>
      <c r="I470" s="132" t="s">
        <v>714</v>
      </c>
    </row>
    <row r="471" spans="1:9" hidden="1">
      <c r="A471" s="119" t="s">
        <v>1002</v>
      </c>
      <c r="B471" s="120" t="s">
        <v>1454</v>
      </c>
      <c r="C471" s="120" t="s">
        <v>1455</v>
      </c>
      <c r="D471" s="121">
        <v>2</v>
      </c>
      <c r="E471" s="122">
        <v>0.1</v>
      </c>
      <c r="F471" s="121">
        <v>23</v>
      </c>
      <c r="G471" s="123">
        <v>0.4</v>
      </c>
      <c r="H471" s="122">
        <f t="shared" si="7"/>
        <v>1.8400000000000003</v>
      </c>
      <c r="I471" s="132" t="s">
        <v>714</v>
      </c>
    </row>
    <row r="472" spans="1:9" hidden="1">
      <c r="A472" s="119" t="s">
        <v>1002</v>
      </c>
      <c r="B472" s="120" t="s">
        <v>1456</v>
      </c>
      <c r="C472" s="120" t="s">
        <v>1457</v>
      </c>
      <c r="D472" s="121">
        <v>2</v>
      </c>
      <c r="E472" s="122">
        <v>0.1</v>
      </c>
      <c r="F472" s="121">
        <v>23</v>
      </c>
      <c r="G472" s="123">
        <v>0.4</v>
      </c>
      <c r="H472" s="122">
        <f t="shared" si="7"/>
        <v>1.8400000000000003</v>
      </c>
      <c r="I472" s="132" t="s">
        <v>714</v>
      </c>
    </row>
    <row r="473" spans="1:9" hidden="1">
      <c r="A473" s="119" t="s">
        <v>1002</v>
      </c>
      <c r="B473" s="120" t="s">
        <v>1458</v>
      </c>
      <c r="C473" s="120" t="s">
        <v>1459</v>
      </c>
      <c r="D473" s="121">
        <v>2</v>
      </c>
      <c r="E473" s="122">
        <v>0.1</v>
      </c>
      <c r="F473" s="121">
        <v>23</v>
      </c>
      <c r="G473" s="123">
        <v>0.4</v>
      </c>
      <c r="H473" s="122">
        <f t="shared" si="7"/>
        <v>1.8400000000000003</v>
      </c>
      <c r="I473" s="132" t="s">
        <v>714</v>
      </c>
    </row>
    <row r="474" spans="1:9" hidden="1">
      <c r="A474" s="119" t="s">
        <v>1002</v>
      </c>
      <c r="B474" s="120" t="s">
        <v>1460</v>
      </c>
      <c r="C474" s="120" t="s">
        <v>1461</v>
      </c>
      <c r="D474" s="121">
        <v>2</v>
      </c>
      <c r="E474" s="122">
        <v>0.1</v>
      </c>
      <c r="F474" s="121">
        <v>23</v>
      </c>
      <c r="G474" s="123">
        <v>0.4</v>
      </c>
      <c r="H474" s="122">
        <f t="shared" si="7"/>
        <v>1.8400000000000003</v>
      </c>
      <c r="I474" s="132" t="s">
        <v>714</v>
      </c>
    </row>
    <row r="475" spans="1:9" hidden="1">
      <c r="A475" s="119" t="s">
        <v>1002</v>
      </c>
      <c r="B475" s="120" t="s">
        <v>1462</v>
      </c>
      <c r="C475" s="120" t="s">
        <v>1463</v>
      </c>
      <c r="D475" s="121">
        <v>2</v>
      </c>
      <c r="E475" s="122">
        <v>0.1</v>
      </c>
      <c r="F475" s="121">
        <v>23</v>
      </c>
      <c r="G475" s="123">
        <v>0.4</v>
      </c>
      <c r="H475" s="122">
        <f t="shared" si="7"/>
        <v>1.8400000000000003</v>
      </c>
      <c r="I475" s="132" t="s">
        <v>714</v>
      </c>
    </row>
    <row r="476" spans="1:9" hidden="1">
      <c r="A476" s="119" t="s">
        <v>1002</v>
      </c>
      <c r="B476" s="120" t="s">
        <v>1464</v>
      </c>
      <c r="C476" s="120" t="s">
        <v>1465</v>
      </c>
      <c r="D476" s="121">
        <v>2</v>
      </c>
      <c r="E476" s="122">
        <v>0.1</v>
      </c>
      <c r="F476" s="121">
        <v>23</v>
      </c>
      <c r="G476" s="123">
        <v>0.4</v>
      </c>
      <c r="H476" s="122">
        <f t="shared" si="7"/>
        <v>1.8400000000000003</v>
      </c>
      <c r="I476" s="132" t="s">
        <v>714</v>
      </c>
    </row>
    <row r="477" spans="1:9" hidden="1">
      <c r="A477" s="119" t="s">
        <v>1002</v>
      </c>
      <c r="B477" s="120" t="s">
        <v>1466</v>
      </c>
      <c r="C477" s="120" t="s">
        <v>1467</v>
      </c>
      <c r="D477" s="121">
        <v>2</v>
      </c>
      <c r="E477" s="122">
        <v>0.1</v>
      </c>
      <c r="F477" s="121">
        <v>23</v>
      </c>
      <c r="G477" s="123">
        <v>0.4</v>
      </c>
      <c r="H477" s="122">
        <f t="shared" si="7"/>
        <v>1.8400000000000003</v>
      </c>
      <c r="I477" s="132" t="s">
        <v>714</v>
      </c>
    </row>
    <row r="478" spans="1:9" hidden="1">
      <c r="A478" s="119" t="s">
        <v>1002</v>
      </c>
      <c r="B478" s="120" t="s">
        <v>1468</v>
      </c>
      <c r="C478" s="120" t="s">
        <v>1469</v>
      </c>
      <c r="D478" s="121">
        <v>2</v>
      </c>
      <c r="E478" s="122">
        <v>0.1</v>
      </c>
      <c r="F478" s="121">
        <v>23</v>
      </c>
      <c r="G478" s="123">
        <v>0.4</v>
      </c>
      <c r="H478" s="122">
        <f t="shared" si="7"/>
        <v>1.8400000000000003</v>
      </c>
      <c r="I478" s="132" t="s">
        <v>714</v>
      </c>
    </row>
    <row r="479" spans="1:9" hidden="1">
      <c r="A479" s="119" t="s">
        <v>1002</v>
      </c>
      <c r="B479" s="120" t="s">
        <v>1470</v>
      </c>
      <c r="C479" s="120" t="s">
        <v>1471</v>
      </c>
      <c r="D479" s="121">
        <v>2</v>
      </c>
      <c r="E479" s="122">
        <v>0.1</v>
      </c>
      <c r="F479" s="121">
        <v>23</v>
      </c>
      <c r="G479" s="123">
        <v>0.4</v>
      </c>
      <c r="H479" s="122">
        <f t="shared" si="7"/>
        <v>1.8400000000000003</v>
      </c>
      <c r="I479" s="132" t="s">
        <v>714</v>
      </c>
    </row>
    <row r="480" spans="1:9" hidden="1">
      <c r="A480" s="119" t="s">
        <v>1002</v>
      </c>
      <c r="B480" s="120" t="s">
        <v>1472</v>
      </c>
      <c r="C480" s="120" t="s">
        <v>1473</v>
      </c>
      <c r="D480" s="121">
        <v>2</v>
      </c>
      <c r="E480" s="122">
        <v>0.1</v>
      </c>
      <c r="F480" s="121">
        <v>23</v>
      </c>
      <c r="G480" s="123">
        <v>0.4</v>
      </c>
      <c r="H480" s="122">
        <f t="shared" si="7"/>
        <v>1.8400000000000003</v>
      </c>
      <c r="I480" s="132" t="s">
        <v>714</v>
      </c>
    </row>
    <row r="481" spans="1:9" hidden="1">
      <c r="A481" s="119" t="s">
        <v>1002</v>
      </c>
      <c r="B481" s="120" t="s">
        <v>1474</v>
      </c>
      <c r="C481" s="120" t="s">
        <v>1475</v>
      </c>
      <c r="D481" s="121">
        <v>2</v>
      </c>
      <c r="E481" s="122">
        <v>0.1</v>
      </c>
      <c r="F481" s="121">
        <v>23</v>
      </c>
      <c r="G481" s="123">
        <v>0.4</v>
      </c>
      <c r="H481" s="122">
        <f t="shared" si="7"/>
        <v>1.8400000000000003</v>
      </c>
      <c r="I481" s="132" t="s">
        <v>714</v>
      </c>
    </row>
    <row r="482" spans="1:9" hidden="1">
      <c r="A482" s="119" t="s">
        <v>1002</v>
      </c>
      <c r="B482" s="120" t="s">
        <v>1476</v>
      </c>
      <c r="C482" s="120" t="s">
        <v>1477</v>
      </c>
      <c r="D482" s="121">
        <v>2</v>
      </c>
      <c r="E482" s="122">
        <v>0.1</v>
      </c>
      <c r="F482" s="121">
        <v>23</v>
      </c>
      <c r="G482" s="123">
        <v>0.4</v>
      </c>
      <c r="H482" s="122">
        <f t="shared" si="7"/>
        <v>1.8400000000000003</v>
      </c>
      <c r="I482" s="132" t="s">
        <v>714</v>
      </c>
    </row>
    <row r="483" spans="1:9" hidden="1">
      <c r="A483" s="119" t="s">
        <v>1002</v>
      </c>
      <c r="B483" s="120" t="s">
        <v>1478</v>
      </c>
      <c r="C483" s="120" t="s">
        <v>1479</v>
      </c>
      <c r="D483" s="121">
        <v>2</v>
      </c>
      <c r="E483" s="122">
        <v>0.1</v>
      </c>
      <c r="F483" s="121">
        <v>23</v>
      </c>
      <c r="G483" s="123">
        <v>0.4</v>
      </c>
      <c r="H483" s="122">
        <f t="shared" si="7"/>
        <v>1.8400000000000003</v>
      </c>
      <c r="I483" s="132" t="s">
        <v>714</v>
      </c>
    </row>
    <row r="484" spans="1:9" hidden="1">
      <c r="A484" s="119" t="s">
        <v>1002</v>
      </c>
      <c r="B484" s="120" t="s">
        <v>1480</v>
      </c>
      <c r="C484" s="120" t="s">
        <v>1481</v>
      </c>
      <c r="D484" s="121">
        <v>2</v>
      </c>
      <c r="E484" s="122">
        <v>0.1</v>
      </c>
      <c r="F484" s="121">
        <v>23</v>
      </c>
      <c r="G484" s="123">
        <v>0.4</v>
      </c>
      <c r="H484" s="122">
        <f t="shared" si="7"/>
        <v>1.8400000000000003</v>
      </c>
      <c r="I484" s="132" t="s">
        <v>714</v>
      </c>
    </row>
    <row r="485" spans="1:9" hidden="1">
      <c r="A485" s="119" t="s">
        <v>1002</v>
      </c>
      <c r="B485" s="120" t="s">
        <v>1482</v>
      </c>
      <c r="C485" s="120" t="s">
        <v>1483</v>
      </c>
      <c r="D485" s="121">
        <v>2</v>
      </c>
      <c r="E485" s="122">
        <v>0.1</v>
      </c>
      <c r="F485" s="121">
        <v>23</v>
      </c>
      <c r="G485" s="123">
        <v>0.4</v>
      </c>
      <c r="H485" s="122">
        <f t="shared" si="7"/>
        <v>1.8400000000000003</v>
      </c>
      <c r="I485" s="132" t="s">
        <v>714</v>
      </c>
    </row>
    <row r="486" spans="1:9" hidden="1">
      <c r="A486" s="119" t="s">
        <v>1002</v>
      </c>
      <c r="B486" s="120" t="s">
        <v>1484</v>
      </c>
      <c r="C486" s="120" t="s">
        <v>1485</v>
      </c>
      <c r="D486" s="121">
        <v>2</v>
      </c>
      <c r="E486" s="122">
        <v>0.1</v>
      </c>
      <c r="F486" s="121">
        <v>23</v>
      </c>
      <c r="G486" s="123">
        <v>0.4</v>
      </c>
      <c r="H486" s="122">
        <f t="shared" si="7"/>
        <v>1.8400000000000003</v>
      </c>
      <c r="I486" s="132" t="s">
        <v>714</v>
      </c>
    </row>
    <row r="487" spans="1:9" hidden="1">
      <c r="A487" s="119" t="s">
        <v>1002</v>
      </c>
      <c r="B487" s="120" t="s">
        <v>1486</v>
      </c>
      <c r="C487" s="120" t="s">
        <v>1487</v>
      </c>
      <c r="D487" s="121">
        <v>2</v>
      </c>
      <c r="E487" s="122">
        <v>0.1</v>
      </c>
      <c r="F487" s="121">
        <v>23</v>
      </c>
      <c r="G487" s="123">
        <v>0.4</v>
      </c>
      <c r="H487" s="122">
        <f t="shared" si="7"/>
        <v>1.8400000000000003</v>
      </c>
      <c r="I487" s="132" t="s">
        <v>714</v>
      </c>
    </row>
    <row r="488" spans="1:9" hidden="1">
      <c r="A488" s="119" t="s">
        <v>1002</v>
      </c>
      <c r="B488" s="120" t="s">
        <v>1488</v>
      </c>
      <c r="C488" s="120" t="s">
        <v>69</v>
      </c>
      <c r="D488" s="121">
        <v>2</v>
      </c>
      <c r="E488" s="122">
        <v>0.1</v>
      </c>
      <c r="F488" s="121">
        <v>23</v>
      </c>
      <c r="G488" s="123">
        <v>0.4</v>
      </c>
      <c r="H488" s="122">
        <f t="shared" si="7"/>
        <v>1.8400000000000003</v>
      </c>
      <c r="I488" s="132" t="s">
        <v>714</v>
      </c>
    </row>
    <row r="489" spans="1:9" hidden="1">
      <c r="A489" s="119" t="s">
        <v>1002</v>
      </c>
      <c r="B489" s="120" t="s">
        <v>1489</v>
      </c>
      <c r="C489" s="120" t="s">
        <v>1490</v>
      </c>
      <c r="D489" s="121">
        <v>2</v>
      </c>
      <c r="E489" s="122">
        <v>0.1</v>
      </c>
      <c r="F489" s="121">
        <v>23</v>
      </c>
      <c r="G489" s="123">
        <v>0.4</v>
      </c>
      <c r="H489" s="122">
        <f t="shared" si="7"/>
        <v>1.8400000000000003</v>
      </c>
      <c r="I489" s="132" t="s">
        <v>714</v>
      </c>
    </row>
    <row r="490" spans="1:9" hidden="1">
      <c r="A490" s="119" t="s">
        <v>1002</v>
      </c>
      <c r="B490" s="120" t="s">
        <v>1491</v>
      </c>
      <c r="C490" s="120" t="s">
        <v>1492</v>
      </c>
      <c r="D490" s="121">
        <v>2</v>
      </c>
      <c r="E490" s="122">
        <v>0.1</v>
      </c>
      <c r="F490" s="121">
        <v>23</v>
      </c>
      <c r="G490" s="123">
        <v>0.4</v>
      </c>
      <c r="H490" s="122">
        <f t="shared" si="7"/>
        <v>1.8400000000000003</v>
      </c>
      <c r="I490" s="132" t="s">
        <v>714</v>
      </c>
    </row>
    <row r="491" spans="1:9" hidden="1">
      <c r="A491" s="119" t="s">
        <v>1002</v>
      </c>
      <c r="B491" s="120" t="s">
        <v>1493</v>
      </c>
      <c r="C491" s="120" t="s">
        <v>1494</v>
      </c>
      <c r="D491" s="121">
        <v>2</v>
      </c>
      <c r="E491" s="122">
        <v>0.1</v>
      </c>
      <c r="F491" s="121">
        <v>23</v>
      </c>
      <c r="G491" s="123">
        <v>0.4</v>
      </c>
      <c r="H491" s="122">
        <f t="shared" si="7"/>
        <v>1.8400000000000003</v>
      </c>
      <c r="I491" s="132" t="s">
        <v>714</v>
      </c>
    </row>
    <row r="492" spans="1:9" hidden="1">
      <c r="A492" s="119" t="s">
        <v>1002</v>
      </c>
      <c r="B492" s="120" t="s">
        <v>1495</v>
      </c>
      <c r="C492" s="120" t="s">
        <v>1496</v>
      </c>
      <c r="D492" s="121">
        <v>2</v>
      </c>
      <c r="E492" s="122">
        <v>0.1</v>
      </c>
      <c r="F492" s="121">
        <v>23</v>
      </c>
      <c r="G492" s="123">
        <v>0.4</v>
      </c>
      <c r="H492" s="122">
        <f t="shared" si="7"/>
        <v>1.8400000000000003</v>
      </c>
      <c r="I492" s="132" t="s">
        <v>714</v>
      </c>
    </row>
    <row r="493" spans="1:9" hidden="1">
      <c r="A493" s="119" t="s">
        <v>1002</v>
      </c>
      <c r="B493" s="120" t="s">
        <v>1497</v>
      </c>
      <c r="C493" s="120" t="s">
        <v>1498</v>
      </c>
      <c r="D493" s="121">
        <v>2</v>
      </c>
      <c r="E493" s="122">
        <v>0.1</v>
      </c>
      <c r="F493" s="121">
        <v>23</v>
      </c>
      <c r="G493" s="123">
        <v>0.4</v>
      </c>
      <c r="H493" s="122">
        <f t="shared" si="7"/>
        <v>1.8400000000000003</v>
      </c>
      <c r="I493" s="132" t="s">
        <v>714</v>
      </c>
    </row>
    <row r="494" spans="1:9" hidden="1">
      <c r="A494" s="119" t="s">
        <v>1002</v>
      </c>
      <c r="B494" s="120" t="s">
        <v>1499</v>
      </c>
      <c r="C494" s="120" t="s">
        <v>1500</v>
      </c>
      <c r="D494" s="121">
        <v>2</v>
      </c>
      <c r="E494" s="122">
        <v>0.1</v>
      </c>
      <c r="F494" s="121">
        <v>23</v>
      </c>
      <c r="G494" s="123">
        <v>0.4</v>
      </c>
      <c r="H494" s="122">
        <f t="shared" si="7"/>
        <v>1.8400000000000003</v>
      </c>
      <c r="I494" s="132" t="s">
        <v>714</v>
      </c>
    </row>
    <row r="495" spans="1:9" hidden="1">
      <c r="A495" s="119" t="s">
        <v>1002</v>
      </c>
      <c r="B495" s="120" t="s">
        <v>1501</v>
      </c>
      <c r="C495" s="120" t="s">
        <v>1502</v>
      </c>
      <c r="D495" s="121">
        <v>2</v>
      </c>
      <c r="E495" s="122">
        <v>0.1</v>
      </c>
      <c r="F495" s="121">
        <v>23</v>
      </c>
      <c r="G495" s="123">
        <v>0.4</v>
      </c>
      <c r="H495" s="122">
        <f t="shared" si="7"/>
        <v>1.8400000000000003</v>
      </c>
      <c r="I495" s="132" t="s">
        <v>714</v>
      </c>
    </row>
    <row r="496" spans="1:9" hidden="1">
      <c r="A496" s="119" t="s">
        <v>1002</v>
      </c>
      <c r="B496" s="120" t="s">
        <v>1503</v>
      </c>
      <c r="C496" s="120" t="s">
        <v>1504</v>
      </c>
      <c r="D496" s="121">
        <v>2</v>
      </c>
      <c r="E496" s="122">
        <v>0.1</v>
      </c>
      <c r="F496" s="121">
        <v>23</v>
      </c>
      <c r="G496" s="123">
        <v>0.4</v>
      </c>
      <c r="H496" s="122">
        <f t="shared" si="7"/>
        <v>1.8400000000000003</v>
      </c>
      <c r="I496" s="132" t="s">
        <v>714</v>
      </c>
    </row>
    <row r="497" spans="1:9" hidden="1">
      <c r="A497" s="119" t="s">
        <v>1002</v>
      </c>
      <c r="B497" s="120" t="s">
        <v>1505</v>
      </c>
      <c r="C497" s="120" t="s">
        <v>1506</v>
      </c>
      <c r="D497" s="121">
        <v>2</v>
      </c>
      <c r="E497" s="122">
        <v>0.1</v>
      </c>
      <c r="F497" s="121">
        <v>23</v>
      </c>
      <c r="G497" s="123">
        <v>0.4</v>
      </c>
      <c r="H497" s="122">
        <f t="shared" si="7"/>
        <v>1.8400000000000003</v>
      </c>
      <c r="I497" s="132" t="s">
        <v>714</v>
      </c>
    </row>
    <row r="498" spans="1:9" hidden="1">
      <c r="A498" s="119" t="s">
        <v>1002</v>
      </c>
      <c r="B498" s="120" t="s">
        <v>1507</v>
      </c>
      <c r="C498" s="120" t="s">
        <v>1508</v>
      </c>
      <c r="D498" s="121">
        <v>2</v>
      </c>
      <c r="E498" s="122">
        <v>0.1</v>
      </c>
      <c r="F498" s="121">
        <v>23</v>
      </c>
      <c r="G498" s="123">
        <v>0.4</v>
      </c>
      <c r="H498" s="122">
        <f t="shared" si="7"/>
        <v>1.8400000000000003</v>
      </c>
      <c r="I498" s="132" t="s">
        <v>714</v>
      </c>
    </row>
    <row r="499" spans="1:9" hidden="1">
      <c r="A499" s="119" t="s">
        <v>1002</v>
      </c>
      <c r="B499" s="120" t="s">
        <v>1509</v>
      </c>
      <c r="C499" s="120" t="s">
        <v>1510</v>
      </c>
      <c r="D499" s="121">
        <v>2</v>
      </c>
      <c r="E499" s="122">
        <v>0.1</v>
      </c>
      <c r="F499" s="121">
        <v>23</v>
      </c>
      <c r="G499" s="123">
        <v>0.4</v>
      </c>
      <c r="H499" s="122">
        <f t="shared" si="7"/>
        <v>1.8400000000000003</v>
      </c>
      <c r="I499" s="132" t="s">
        <v>714</v>
      </c>
    </row>
    <row r="500" spans="1:9" hidden="1">
      <c r="A500" s="119" t="s">
        <v>1002</v>
      </c>
      <c r="B500" s="120" t="s">
        <v>1511</v>
      </c>
      <c r="C500" s="120" t="s">
        <v>1512</v>
      </c>
      <c r="D500" s="121">
        <v>2</v>
      </c>
      <c r="E500" s="122">
        <v>0.1</v>
      </c>
      <c r="F500" s="121">
        <v>23</v>
      </c>
      <c r="G500" s="123">
        <v>0.4</v>
      </c>
      <c r="H500" s="122">
        <f t="shared" si="7"/>
        <v>1.8400000000000003</v>
      </c>
      <c r="I500" s="132" t="s">
        <v>714</v>
      </c>
    </row>
    <row r="501" spans="1:9" hidden="1">
      <c r="A501" s="119" t="s">
        <v>1002</v>
      </c>
      <c r="B501" s="120" t="s">
        <v>1513</v>
      </c>
      <c r="C501" s="120" t="s">
        <v>1514</v>
      </c>
      <c r="D501" s="121">
        <v>2</v>
      </c>
      <c r="E501" s="122">
        <v>0.1</v>
      </c>
      <c r="F501" s="121">
        <v>23</v>
      </c>
      <c r="G501" s="123">
        <v>0.4</v>
      </c>
      <c r="H501" s="122">
        <f t="shared" si="7"/>
        <v>1.8400000000000003</v>
      </c>
      <c r="I501" s="132" t="s">
        <v>714</v>
      </c>
    </row>
    <row r="502" spans="1:9" hidden="1">
      <c r="A502" s="119" t="s">
        <v>1002</v>
      </c>
      <c r="B502" s="120" t="s">
        <v>1515</v>
      </c>
      <c r="C502" s="120" t="s">
        <v>1516</v>
      </c>
      <c r="D502" s="121">
        <v>2</v>
      </c>
      <c r="E502" s="122">
        <v>0.1</v>
      </c>
      <c r="F502" s="121">
        <v>23</v>
      </c>
      <c r="G502" s="123">
        <v>0.4</v>
      </c>
      <c r="H502" s="122">
        <f t="shared" si="7"/>
        <v>1.8400000000000003</v>
      </c>
      <c r="I502" s="132" t="s">
        <v>714</v>
      </c>
    </row>
    <row r="503" spans="1:9" hidden="1">
      <c r="A503" s="119" t="s">
        <v>1002</v>
      </c>
      <c r="B503" s="120" t="s">
        <v>1517</v>
      </c>
      <c r="C503" s="120" t="s">
        <v>1518</v>
      </c>
      <c r="D503" s="121">
        <v>2</v>
      </c>
      <c r="E503" s="122">
        <v>0.1</v>
      </c>
      <c r="F503" s="121">
        <v>23</v>
      </c>
      <c r="G503" s="123">
        <v>0.4</v>
      </c>
      <c r="H503" s="122">
        <f t="shared" si="7"/>
        <v>1.8400000000000003</v>
      </c>
      <c r="I503" s="132" t="s">
        <v>714</v>
      </c>
    </row>
    <row r="504" spans="1:9" hidden="1">
      <c r="A504" s="119" t="s">
        <v>1002</v>
      </c>
      <c r="B504" s="120" t="s">
        <v>1519</v>
      </c>
      <c r="C504" s="120" t="s">
        <v>1520</v>
      </c>
      <c r="D504" s="121">
        <v>2</v>
      </c>
      <c r="E504" s="122">
        <v>0.1</v>
      </c>
      <c r="F504" s="121">
        <v>23</v>
      </c>
      <c r="G504" s="123">
        <v>0.4</v>
      </c>
      <c r="H504" s="122">
        <f t="shared" si="7"/>
        <v>1.8400000000000003</v>
      </c>
      <c r="I504" s="132" t="s">
        <v>714</v>
      </c>
    </row>
    <row r="505" spans="1:9" hidden="1">
      <c r="A505" s="119" t="s">
        <v>1002</v>
      </c>
      <c r="B505" s="120" t="s">
        <v>1521</v>
      </c>
      <c r="C505" s="120" t="s">
        <v>1522</v>
      </c>
      <c r="D505" s="121">
        <v>2</v>
      </c>
      <c r="E505" s="122">
        <v>0.1</v>
      </c>
      <c r="F505" s="121">
        <v>23</v>
      </c>
      <c r="G505" s="123">
        <v>0.4</v>
      </c>
      <c r="H505" s="122">
        <f t="shared" si="7"/>
        <v>1.8400000000000003</v>
      </c>
      <c r="I505" s="132" t="s">
        <v>714</v>
      </c>
    </row>
    <row r="506" spans="1:9" hidden="1">
      <c r="A506" s="119" t="s">
        <v>1002</v>
      </c>
      <c r="B506" s="120" t="s">
        <v>1523</v>
      </c>
      <c r="C506" s="120" t="s">
        <v>1524</v>
      </c>
      <c r="D506" s="121">
        <v>2</v>
      </c>
      <c r="E506" s="122">
        <v>0.1</v>
      </c>
      <c r="F506" s="121">
        <v>23</v>
      </c>
      <c r="G506" s="123">
        <v>0.4</v>
      </c>
      <c r="H506" s="122">
        <f t="shared" si="7"/>
        <v>1.8400000000000003</v>
      </c>
      <c r="I506" s="132" t="s">
        <v>714</v>
      </c>
    </row>
    <row r="507" spans="1:9" hidden="1">
      <c r="A507" s="119" t="s">
        <v>1002</v>
      </c>
      <c r="B507" s="120" t="s">
        <v>1525</v>
      </c>
      <c r="C507" s="120" t="s">
        <v>1526</v>
      </c>
      <c r="D507" s="121">
        <v>2</v>
      </c>
      <c r="E507" s="122">
        <v>0.1</v>
      </c>
      <c r="F507" s="121">
        <v>23</v>
      </c>
      <c r="G507" s="123">
        <v>0.4</v>
      </c>
      <c r="H507" s="122">
        <f t="shared" si="7"/>
        <v>1.8400000000000003</v>
      </c>
      <c r="I507" s="132" t="s">
        <v>714</v>
      </c>
    </row>
    <row r="508" spans="1:9" hidden="1">
      <c r="A508" s="119" t="s">
        <v>1002</v>
      </c>
      <c r="B508" s="120" t="s">
        <v>1527</v>
      </c>
      <c r="C508" s="120" t="s">
        <v>1528</v>
      </c>
      <c r="D508" s="121">
        <v>2</v>
      </c>
      <c r="E508" s="122">
        <v>0.1</v>
      </c>
      <c r="F508" s="121">
        <v>23</v>
      </c>
      <c r="G508" s="123">
        <v>0.4</v>
      </c>
      <c r="H508" s="122">
        <f t="shared" si="7"/>
        <v>1.8400000000000003</v>
      </c>
      <c r="I508" s="132" t="s">
        <v>714</v>
      </c>
    </row>
    <row r="509" spans="1:9" hidden="1">
      <c r="A509" s="119" t="s">
        <v>1002</v>
      </c>
      <c r="B509" s="120" t="s">
        <v>1529</v>
      </c>
      <c r="C509" s="120" t="s">
        <v>1530</v>
      </c>
      <c r="D509" s="121">
        <v>2</v>
      </c>
      <c r="E509" s="122">
        <v>0.1</v>
      </c>
      <c r="F509" s="121">
        <v>23</v>
      </c>
      <c r="G509" s="123">
        <v>0.4</v>
      </c>
      <c r="H509" s="122">
        <f t="shared" si="7"/>
        <v>1.8400000000000003</v>
      </c>
      <c r="I509" s="132" t="s">
        <v>714</v>
      </c>
    </row>
    <row r="510" spans="1:9" hidden="1">
      <c r="A510" s="119" t="s">
        <v>1002</v>
      </c>
      <c r="B510" s="120" t="s">
        <v>1531</v>
      </c>
      <c r="C510" s="120" t="s">
        <v>1532</v>
      </c>
      <c r="D510" s="121">
        <v>2</v>
      </c>
      <c r="E510" s="122">
        <v>0.1</v>
      </c>
      <c r="F510" s="121">
        <v>23</v>
      </c>
      <c r="G510" s="123">
        <v>0.4</v>
      </c>
      <c r="H510" s="122">
        <f t="shared" si="7"/>
        <v>1.8400000000000003</v>
      </c>
      <c r="I510" s="132" t="s">
        <v>714</v>
      </c>
    </row>
    <row r="511" spans="1:9" hidden="1">
      <c r="A511" s="119" t="s">
        <v>1002</v>
      </c>
      <c r="B511" s="120" t="s">
        <v>1533</v>
      </c>
      <c r="C511" s="120" t="s">
        <v>1534</v>
      </c>
      <c r="D511" s="121">
        <v>2</v>
      </c>
      <c r="E511" s="122">
        <v>0.1</v>
      </c>
      <c r="F511" s="121">
        <v>23</v>
      </c>
      <c r="G511" s="123">
        <v>0.4</v>
      </c>
      <c r="H511" s="122">
        <f t="shared" si="7"/>
        <v>1.8400000000000003</v>
      </c>
      <c r="I511" s="132" t="s">
        <v>714</v>
      </c>
    </row>
    <row r="512" spans="1:9" hidden="1">
      <c r="A512" s="119" t="s">
        <v>1002</v>
      </c>
      <c r="B512" s="120" t="s">
        <v>1535</v>
      </c>
      <c r="C512" s="120" t="s">
        <v>1536</v>
      </c>
      <c r="D512" s="121">
        <v>2</v>
      </c>
      <c r="E512" s="122">
        <v>0.1</v>
      </c>
      <c r="F512" s="121">
        <v>23</v>
      </c>
      <c r="G512" s="123">
        <v>0.4</v>
      </c>
      <c r="H512" s="122">
        <f t="shared" si="7"/>
        <v>1.8400000000000003</v>
      </c>
      <c r="I512" s="132" t="s">
        <v>714</v>
      </c>
    </row>
    <row r="513" spans="1:9" hidden="1">
      <c r="A513" s="119" t="s">
        <v>1002</v>
      </c>
      <c r="B513" s="120" t="s">
        <v>1537</v>
      </c>
      <c r="C513" s="120" t="s">
        <v>1538</v>
      </c>
      <c r="D513" s="121">
        <v>2</v>
      </c>
      <c r="E513" s="122">
        <v>0.1</v>
      </c>
      <c r="F513" s="121">
        <v>23</v>
      </c>
      <c r="G513" s="123">
        <v>0.4</v>
      </c>
      <c r="H513" s="122">
        <f t="shared" si="7"/>
        <v>1.8400000000000003</v>
      </c>
      <c r="I513" s="132" t="s">
        <v>714</v>
      </c>
    </row>
    <row r="514" spans="1:9" hidden="1">
      <c r="A514" s="119" t="s">
        <v>1002</v>
      </c>
      <c r="B514" s="120" t="s">
        <v>1539</v>
      </c>
      <c r="C514" s="120" t="s">
        <v>1540</v>
      </c>
      <c r="D514" s="121">
        <v>2</v>
      </c>
      <c r="E514" s="122">
        <v>0.1</v>
      </c>
      <c r="F514" s="121">
        <v>23</v>
      </c>
      <c r="G514" s="123">
        <v>0.4</v>
      </c>
      <c r="H514" s="122">
        <f t="shared" ref="H514:H577" si="8">D514*E514*F514*G514</f>
        <v>1.8400000000000003</v>
      </c>
      <c r="I514" s="132" t="s">
        <v>714</v>
      </c>
    </row>
    <row r="515" spans="1:9" hidden="1">
      <c r="A515" s="119" t="s">
        <v>1002</v>
      </c>
      <c r="B515" s="120" t="s">
        <v>1541</v>
      </c>
      <c r="C515" s="120" t="s">
        <v>1542</v>
      </c>
      <c r="D515" s="121">
        <v>2</v>
      </c>
      <c r="E515" s="122">
        <v>0.1</v>
      </c>
      <c r="F515" s="121">
        <v>23</v>
      </c>
      <c r="G515" s="123">
        <v>0.4</v>
      </c>
      <c r="H515" s="122">
        <f t="shared" si="8"/>
        <v>1.8400000000000003</v>
      </c>
      <c r="I515" s="132" t="s">
        <v>714</v>
      </c>
    </row>
    <row r="516" spans="1:9" hidden="1">
      <c r="A516" s="119" t="s">
        <v>1002</v>
      </c>
      <c r="B516" s="120" t="s">
        <v>1543</v>
      </c>
      <c r="C516" s="120" t="s">
        <v>1544</v>
      </c>
      <c r="D516" s="121">
        <v>2</v>
      </c>
      <c r="E516" s="122">
        <v>0.1</v>
      </c>
      <c r="F516" s="121">
        <v>23</v>
      </c>
      <c r="G516" s="123">
        <v>0.4</v>
      </c>
      <c r="H516" s="122">
        <f t="shared" si="8"/>
        <v>1.8400000000000003</v>
      </c>
      <c r="I516" s="132" t="s">
        <v>714</v>
      </c>
    </row>
    <row r="517" spans="1:9" hidden="1">
      <c r="A517" s="119" t="s">
        <v>1002</v>
      </c>
      <c r="B517" s="120" t="s">
        <v>1545</v>
      </c>
      <c r="C517" s="120" t="s">
        <v>1546</v>
      </c>
      <c r="D517" s="121">
        <v>2</v>
      </c>
      <c r="E517" s="122">
        <v>0.1</v>
      </c>
      <c r="F517" s="121">
        <v>23</v>
      </c>
      <c r="G517" s="123">
        <v>0.4</v>
      </c>
      <c r="H517" s="122">
        <f t="shared" si="8"/>
        <v>1.8400000000000003</v>
      </c>
      <c r="I517" s="132" t="s">
        <v>714</v>
      </c>
    </row>
    <row r="518" spans="1:9" hidden="1">
      <c r="A518" s="119" t="s">
        <v>1002</v>
      </c>
      <c r="B518" s="120" t="s">
        <v>1547</v>
      </c>
      <c r="C518" s="120" t="s">
        <v>1548</v>
      </c>
      <c r="D518" s="121">
        <v>2</v>
      </c>
      <c r="E518" s="122">
        <v>0.1</v>
      </c>
      <c r="F518" s="121">
        <v>23</v>
      </c>
      <c r="G518" s="123">
        <v>0.4</v>
      </c>
      <c r="H518" s="122">
        <f t="shared" si="8"/>
        <v>1.8400000000000003</v>
      </c>
      <c r="I518" s="132" t="s">
        <v>714</v>
      </c>
    </row>
    <row r="519" spans="1:9" hidden="1">
      <c r="A519" s="119" t="s">
        <v>1002</v>
      </c>
      <c r="B519" s="120" t="s">
        <v>1549</v>
      </c>
      <c r="C519" s="120" t="s">
        <v>22</v>
      </c>
      <c r="D519" s="121">
        <v>2</v>
      </c>
      <c r="E519" s="122">
        <v>0.1</v>
      </c>
      <c r="F519" s="121">
        <v>23</v>
      </c>
      <c r="G519" s="123">
        <v>0.4</v>
      </c>
      <c r="H519" s="122">
        <f t="shared" si="8"/>
        <v>1.8400000000000003</v>
      </c>
      <c r="I519" s="132" t="s">
        <v>714</v>
      </c>
    </row>
    <row r="520" spans="1:9" hidden="1">
      <c r="A520" s="119" t="s">
        <v>1002</v>
      </c>
      <c r="B520" s="120" t="s">
        <v>1550</v>
      </c>
      <c r="C520" s="120" t="s">
        <v>1551</v>
      </c>
      <c r="D520" s="121">
        <v>2</v>
      </c>
      <c r="E520" s="122">
        <v>0.1</v>
      </c>
      <c r="F520" s="121">
        <v>23</v>
      </c>
      <c r="G520" s="123">
        <v>0.4</v>
      </c>
      <c r="H520" s="122">
        <f t="shared" si="8"/>
        <v>1.8400000000000003</v>
      </c>
      <c r="I520" s="132" t="s">
        <v>714</v>
      </c>
    </row>
    <row r="521" spans="1:9" hidden="1">
      <c r="A521" s="119" t="s">
        <v>1002</v>
      </c>
      <c r="B521" s="120" t="s">
        <v>1552</v>
      </c>
      <c r="C521" s="120" t="s">
        <v>1553</v>
      </c>
      <c r="D521" s="121">
        <v>2</v>
      </c>
      <c r="E521" s="122">
        <v>0.1</v>
      </c>
      <c r="F521" s="121">
        <v>23</v>
      </c>
      <c r="G521" s="123">
        <v>0.4</v>
      </c>
      <c r="H521" s="122">
        <f t="shared" si="8"/>
        <v>1.8400000000000003</v>
      </c>
      <c r="I521" s="132" t="s">
        <v>714</v>
      </c>
    </row>
    <row r="522" spans="1:9" hidden="1">
      <c r="A522" s="119" t="s">
        <v>1002</v>
      </c>
      <c r="B522" s="120" t="s">
        <v>1554</v>
      </c>
      <c r="C522" s="120" t="s">
        <v>72</v>
      </c>
      <c r="D522" s="121">
        <v>2</v>
      </c>
      <c r="E522" s="122">
        <v>0.1</v>
      </c>
      <c r="F522" s="121">
        <v>23</v>
      </c>
      <c r="G522" s="123">
        <v>0.4</v>
      </c>
      <c r="H522" s="122">
        <f t="shared" si="8"/>
        <v>1.8400000000000003</v>
      </c>
      <c r="I522" s="132" t="s">
        <v>714</v>
      </c>
    </row>
    <row r="523" spans="1:9" hidden="1">
      <c r="A523" s="119" t="s">
        <v>1002</v>
      </c>
      <c r="B523" s="120" t="s">
        <v>1555</v>
      </c>
      <c r="C523" s="120" t="s">
        <v>1556</v>
      </c>
      <c r="D523" s="121">
        <v>2</v>
      </c>
      <c r="E523" s="122">
        <v>0.1</v>
      </c>
      <c r="F523" s="121">
        <v>23</v>
      </c>
      <c r="G523" s="123">
        <v>0.4</v>
      </c>
      <c r="H523" s="122">
        <f t="shared" si="8"/>
        <v>1.8400000000000003</v>
      </c>
      <c r="I523" s="132" t="s">
        <v>714</v>
      </c>
    </row>
    <row r="524" spans="1:9" hidden="1">
      <c r="A524" s="119" t="s">
        <v>1002</v>
      </c>
      <c r="B524" s="120" t="s">
        <v>1557</v>
      </c>
      <c r="C524" s="120" t="s">
        <v>1558</v>
      </c>
      <c r="D524" s="121">
        <v>2</v>
      </c>
      <c r="E524" s="122">
        <v>0.1</v>
      </c>
      <c r="F524" s="121">
        <v>23</v>
      </c>
      <c r="G524" s="123">
        <v>0.4</v>
      </c>
      <c r="H524" s="122">
        <f t="shared" si="8"/>
        <v>1.8400000000000003</v>
      </c>
      <c r="I524" s="132" t="s">
        <v>714</v>
      </c>
    </row>
    <row r="525" spans="1:9" hidden="1">
      <c r="A525" s="119" t="s">
        <v>1002</v>
      </c>
      <c r="B525" s="120" t="s">
        <v>1559</v>
      </c>
      <c r="C525" s="120" t="s">
        <v>1560</v>
      </c>
      <c r="D525" s="121">
        <v>2</v>
      </c>
      <c r="E525" s="122">
        <v>0.1</v>
      </c>
      <c r="F525" s="121">
        <v>23</v>
      </c>
      <c r="G525" s="123">
        <v>0.4</v>
      </c>
      <c r="H525" s="122">
        <f t="shared" si="8"/>
        <v>1.8400000000000003</v>
      </c>
      <c r="I525" s="132" t="s">
        <v>714</v>
      </c>
    </row>
    <row r="526" spans="1:9" hidden="1">
      <c r="A526" s="119" t="s">
        <v>1002</v>
      </c>
      <c r="B526" s="120" t="s">
        <v>1561</v>
      </c>
      <c r="C526" s="120" t="s">
        <v>1562</v>
      </c>
      <c r="D526" s="121">
        <v>2</v>
      </c>
      <c r="E526" s="122">
        <v>0.1</v>
      </c>
      <c r="F526" s="121">
        <v>23</v>
      </c>
      <c r="G526" s="123">
        <v>0.4</v>
      </c>
      <c r="H526" s="122">
        <f t="shared" si="8"/>
        <v>1.8400000000000003</v>
      </c>
      <c r="I526" s="132" t="s">
        <v>714</v>
      </c>
    </row>
    <row r="527" spans="1:9" hidden="1">
      <c r="A527" s="119" t="s">
        <v>1002</v>
      </c>
      <c r="B527" s="120" t="s">
        <v>1563</v>
      </c>
      <c r="C527" s="120" t="s">
        <v>1564</v>
      </c>
      <c r="D527" s="121">
        <v>2</v>
      </c>
      <c r="E527" s="122">
        <v>0.1</v>
      </c>
      <c r="F527" s="121">
        <v>23</v>
      </c>
      <c r="G527" s="123">
        <v>0.4</v>
      </c>
      <c r="H527" s="122">
        <f t="shared" si="8"/>
        <v>1.8400000000000003</v>
      </c>
      <c r="I527" s="132" t="s">
        <v>714</v>
      </c>
    </row>
    <row r="528" spans="1:9" hidden="1">
      <c r="A528" s="119" t="s">
        <v>1002</v>
      </c>
      <c r="B528" s="120" t="s">
        <v>1565</v>
      </c>
      <c r="C528" s="120" t="s">
        <v>1566</v>
      </c>
      <c r="D528" s="121">
        <v>2</v>
      </c>
      <c r="E528" s="122">
        <v>0.1</v>
      </c>
      <c r="F528" s="121">
        <v>23</v>
      </c>
      <c r="G528" s="123">
        <v>0.4</v>
      </c>
      <c r="H528" s="122">
        <f t="shared" si="8"/>
        <v>1.8400000000000003</v>
      </c>
      <c r="I528" s="132" t="s">
        <v>714</v>
      </c>
    </row>
    <row r="529" spans="1:9" hidden="1">
      <c r="A529" s="119" t="s">
        <v>1002</v>
      </c>
      <c r="B529" s="120" t="s">
        <v>1567</v>
      </c>
      <c r="C529" s="120" t="s">
        <v>1568</v>
      </c>
      <c r="D529" s="121">
        <v>2</v>
      </c>
      <c r="E529" s="122">
        <v>0.1</v>
      </c>
      <c r="F529" s="121">
        <v>23</v>
      </c>
      <c r="G529" s="123">
        <v>0.4</v>
      </c>
      <c r="H529" s="122">
        <f t="shared" si="8"/>
        <v>1.8400000000000003</v>
      </c>
      <c r="I529" s="132" t="s">
        <v>714</v>
      </c>
    </row>
    <row r="530" spans="1:9" hidden="1">
      <c r="A530" s="119" t="s">
        <v>1002</v>
      </c>
      <c r="B530" s="120" t="s">
        <v>1569</v>
      </c>
      <c r="C530" s="120" t="s">
        <v>1570</v>
      </c>
      <c r="D530" s="121">
        <v>2</v>
      </c>
      <c r="E530" s="122">
        <v>0.1</v>
      </c>
      <c r="F530" s="121">
        <v>23</v>
      </c>
      <c r="G530" s="123">
        <v>0.4</v>
      </c>
      <c r="H530" s="122">
        <f t="shared" si="8"/>
        <v>1.8400000000000003</v>
      </c>
      <c r="I530" s="132" t="s">
        <v>714</v>
      </c>
    </row>
    <row r="531" spans="1:9" hidden="1">
      <c r="A531" s="119" t="s">
        <v>1002</v>
      </c>
      <c r="B531" s="120" t="s">
        <v>1571</v>
      </c>
      <c r="C531" s="120" t="s">
        <v>428</v>
      </c>
      <c r="D531" s="121">
        <v>2</v>
      </c>
      <c r="E531" s="122">
        <v>0.1</v>
      </c>
      <c r="F531" s="121">
        <v>23</v>
      </c>
      <c r="G531" s="123">
        <v>0.4</v>
      </c>
      <c r="H531" s="122">
        <f t="shared" si="8"/>
        <v>1.8400000000000003</v>
      </c>
      <c r="I531" s="132" t="s">
        <v>714</v>
      </c>
    </row>
    <row r="532" spans="1:9" hidden="1">
      <c r="A532" s="119" t="s">
        <v>1002</v>
      </c>
      <c r="B532" s="120" t="s">
        <v>1572</v>
      </c>
      <c r="C532" s="120" t="s">
        <v>432</v>
      </c>
      <c r="D532" s="121">
        <v>2</v>
      </c>
      <c r="E532" s="122">
        <v>0.1</v>
      </c>
      <c r="F532" s="121">
        <v>23</v>
      </c>
      <c r="G532" s="123">
        <v>0.4</v>
      </c>
      <c r="H532" s="122">
        <f t="shared" si="8"/>
        <v>1.8400000000000003</v>
      </c>
      <c r="I532" s="132" t="s">
        <v>714</v>
      </c>
    </row>
    <row r="533" spans="1:9" hidden="1">
      <c r="A533" s="119" t="s">
        <v>1002</v>
      </c>
      <c r="B533" s="120" t="s">
        <v>1573</v>
      </c>
      <c r="C533" s="120" t="s">
        <v>436</v>
      </c>
      <c r="D533" s="121">
        <v>2</v>
      </c>
      <c r="E533" s="122">
        <v>0.1</v>
      </c>
      <c r="F533" s="121">
        <v>23</v>
      </c>
      <c r="G533" s="123">
        <v>0.4</v>
      </c>
      <c r="H533" s="122">
        <f t="shared" si="8"/>
        <v>1.8400000000000003</v>
      </c>
      <c r="I533" s="132" t="s">
        <v>714</v>
      </c>
    </row>
    <row r="534" spans="1:9" hidden="1">
      <c r="A534" s="119" t="s">
        <v>1002</v>
      </c>
      <c r="B534" s="120" t="s">
        <v>1574</v>
      </c>
      <c r="C534" s="120" t="s">
        <v>437</v>
      </c>
      <c r="D534" s="121">
        <v>2</v>
      </c>
      <c r="E534" s="122">
        <v>0.1</v>
      </c>
      <c r="F534" s="121">
        <v>23</v>
      </c>
      <c r="G534" s="123">
        <v>0.4</v>
      </c>
      <c r="H534" s="122">
        <f t="shared" si="8"/>
        <v>1.8400000000000003</v>
      </c>
      <c r="I534" s="132" t="s">
        <v>714</v>
      </c>
    </row>
    <row r="535" spans="1:9" hidden="1">
      <c r="A535" s="119" t="s">
        <v>1002</v>
      </c>
      <c r="B535" s="120" t="s">
        <v>1575</v>
      </c>
      <c r="C535" s="120" t="s">
        <v>438</v>
      </c>
      <c r="D535" s="121">
        <v>2</v>
      </c>
      <c r="E535" s="122">
        <v>0.1</v>
      </c>
      <c r="F535" s="121">
        <v>23</v>
      </c>
      <c r="G535" s="123">
        <v>0.4</v>
      </c>
      <c r="H535" s="122">
        <f t="shared" si="8"/>
        <v>1.8400000000000003</v>
      </c>
      <c r="I535" s="132" t="s">
        <v>714</v>
      </c>
    </row>
    <row r="536" spans="1:9" hidden="1">
      <c r="A536" s="119" t="s">
        <v>1002</v>
      </c>
      <c r="B536" s="120" t="s">
        <v>1576</v>
      </c>
      <c r="C536" s="120" t="s">
        <v>439</v>
      </c>
      <c r="D536" s="121">
        <v>2</v>
      </c>
      <c r="E536" s="122">
        <v>0.1</v>
      </c>
      <c r="F536" s="121">
        <v>23</v>
      </c>
      <c r="G536" s="123">
        <v>0.4</v>
      </c>
      <c r="H536" s="122">
        <f t="shared" si="8"/>
        <v>1.8400000000000003</v>
      </c>
      <c r="I536" s="132" t="s">
        <v>714</v>
      </c>
    </row>
    <row r="537" spans="1:9" hidden="1">
      <c r="A537" s="119" t="s">
        <v>1002</v>
      </c>
      <c r="B537" s="120" t="s">
        <v>1577</v>
      </c>
      <c r="C537" s="120" t="s">
        <v>441</v>
      </c>
      <c r="D537" s="121">
        <v>2</v>
      </c>
      <c r="E537" s="122">
        <v>0.1</v>
      </c>
      <c r="F537" s="121">
        <v>23</v>
      </c>
      <c r="G537" s="123">
        <v>0.4</v>
      </c>
      <c r="H537" s="122">
        <f t="shared" si="8"/>
        <v>1.8400000000000003</v>
      </c>
      <c r="I537" s="132" t="s">
        <v>714</v>
      </c>
    </row>
    <row r="538" spans="1:9" hidden="1">
      <c r="A538" s="119" t="s">
        <v>1002</v>
      </c>
      <c r="B538" s="120" t="s">
        <v>1578</v>
      </c>
      <c r="C538" s="120" t="s">
        <v>468</v>
      </c>
      <c r="D538" s="121">
        <v>2</v>
      </c>
      <c r="E538" s="122">
        <v>0.1</v>
      </c>
      <c r="F538" s="121">
        <v>23</v>
      </c>
      <c r="G538" s="123">
        <v>0.4</v>
      </c>
      <c r="H538" s="122">
        <f t="shared" si="8"/>
        <v>1.8400000000000003</v>
      </c>
      <c r="I538" s="132" t="s">
        <v>714</v>
      </c>
    </row>
    <row r="539" spans="1:9" hidden="1">
      <c r="A539" s="119" t="s">
        <v>1002</v>
      </c>
      <c r="B539" s="120" t="s">
        <v>1579</v>
      </c>
      <c r="C539" s="120" t="s">
        <v>470</v>
      </c>
      <c r="D539" s="121">
        <v>2</v>
      </c>
      <c r="E539" s="122">
        <v>0.1</v>
      </c>
      <c r="F539" s="121">
        <v>23</v>
      </c>
      <c r="G539" s="123">
        <v>0.4</v>
      </c>
      <c r="H539" s="122">
        <f t="shared" si="8"/>
        <v>1.8400000000000003</v>
      </c>
      <c r="I539" s="132" t="s">
        <v>714</v>
      </c>
    </row>
    <row r="540" spans="1:9" hidden="1">
      <c r="A540" s="119" t="s">
        <v>1002</v>
      </c>
      <c r="B540" s="120" t="s">
        <v>1580</v>
      </c>
      <c r="C540" s="120" t="s">
        <v>1581</v>
      </c>
      <c r="D540" s="121">
        <v>2</v>
      </c>
      <c r="E540" s="122">
        <v>0.1</v>
      </c>
      <c r="F540" s="121">
        <v>23</v>
      </c>
      <c r="G540" s="123">
        <v>0.4</v>
      </c>
      <c r="H540" s="122">
        <f t="shared" si="8"/>
        <v>1.8400000000000003</v>
      </c>
      <c r="I540" s="132" t="s">
        <v>714</v>
      </c>
    </row>
    <row r="541" spans="1:9" hidden="1">
      <c r="A541" s="119" t="s">
        <v>1002</v>
      </c>
      <c r="B541" s="120" t="s">
        <v>1582</v>
      </c>
      <c r="C541" s="120" t="s">
        <v>1583</v>
      </c>
      <c r="D541" s="121">
        <v>2</v>
      </c>
      <c r="E541" s="122">
        <v>0.1</v>
      </c>
      <c r="F541" s="121">
        <v>23</v>
      </c>
      <c r="G541" s="123">
        <v>0.4</v>
      </c>
      <c r="H541" s="122">
        <f t="shared" si="8"/>
        <v>1.8400000000000003</v>
      </c>
      <c r="I541" s="132" t="s">
        <v>714</v>
      </c>
    </row>
    <row r="542" spans="1:9" hidden="1">
      <c r="A542" s="119" t="s">
        <v>1002</v>
      </c>
      <c r="B542" s="120" t="s">
        <v>1584</v>
      </c>
      <c r="C542" s="120" t="s">
        <v>1585</v>
      </c>
      <c r="D542" s="121">
        <v>2</v>
      </c>
      <c r="E542" s="122">
        <v>0.1</v>
      </c>
      <c r="F542" s="121">
        <v>23</v>
      </c>
      <c r="G542" s="123">
        <v>0.4</v>
      </c>
      <c r="H542" s="122">
        <f t="shared" si="8"/>
        <v>1.8400000000000003</v>
      </c>
      <c r="I542" s="132" t="s">
        <v>714</v>
      </c>
    </row>
    <row r="543" spans="1:9" hidden="1">
      <c r="A543" s="119" t="s">
        <v>1002</v>
      </c>
      <c r="B543" s="120" t="s">
        <v>1586</v>
      </c>
      <c r="C543" s="120" t="s">
        <v>1587</v>
      </c>
      <c r="D543" s="121">
        <v>2</v>
      </c>
      <c r="E543" s="122">
        <v>0.1</v>
      </c>
      <c r="F543" s="121">
        <v>23</v>
      </c>
      <c r="G543" s="123">
        <v>0.4</v>
      </c>
      <c r="H543" s="122">
        <f t="shared" si="8"/>
        <v>1.8400000000000003</v>
      </c>
      <c r="I543" s="132" t="s">
        <v>714</v>
      </c>
    </row>
    <row r="544" spans="1:9" hidden="1">
      <c r="A544" s="119" t="s">
        <v>1002</v>
      </c>
      <c r="B544" s="120" t="s">
        <v>1588</v>
      </c>
      <c r="C544" s="120" t="s">
        <v>1589</v>
      </c>
      <c r="D544" s="121">
        <v>2</v>
      </c>
      <c r="E544" s="122">
        <v>0.1</v>
      </c>
      <c r="F544" s="121">
        <v>23</v>
      </c>
      <c r="G544" s="123">
        <v>0.4</v>
      </c>
      <c r="H544" s="122">
        <f t="shared" si="8"/>
        <v>1.8400000000000003</v>
      </c>
      <c r="I544" s="132" t="s">
        <v>714</v>
      </c>
    </row>
    <row r="545" spans="1:9" hidden="1">
      <c r="A545" s="119" t="s">
        <v>1002</v>
      </c>
      <c r="B545" s="120" t="s">
        <v>1590</v>
      </c>
      <c r="C545" s="120" t="s">
        <v>1591</v>
      </c>
      <c r="D545" s="121">
        <v>2</v>
      </c>
      <c r="E545" s="122">
        <v>0.1</v>
      </c>
      <c r="F545" s="121">
        <v>23</v>
      </c>
      <c r="G545" s="123">
        <v>0.4</v>
      </c>
      <c r="H545" s="122">
        <f t="shared" si="8"/>
        <v>1.8400000000000003</v>
      </c>
      <c r="I545" s="132" t="s">
        <v>714</v>
      </c>
    </row>
    <row r="546" spans="1:9" hidden="1">
      <c r="A546" s="119" t="s">
        <v>1002</v>
      </c>
      <c r="B546" s="120" t="s">
        <v>1592</v>
      </c>
      <c r="C546" s="120" t="s">
        <v>1593</v>
      </c>
      <c r="D546" s="121">
        <v>2</v>
      </c>
      <c r="E546" s="122">
        <v>0.1</v>
      </c>
      <c r="F546" s="121">
        <v>23</v>
      </c>
      <c r="G546" s="123">
        <v>0.4</v>
      </c>
      <c r="H546" s="122">
        <f t="shared" si="8"/>
        <v>1.8400000000000003</v>
      </c>
      <c r="I546" s="132" t="s">
        <v>714</v>
      </c>
    </row>
    <row r="547" spans="1:9" hidden="1">
      <c r="A547" s="119" t="s">
        <v>1002</v>
      </c>
      <c r="B547" s="120" t="s">
        <v>1594</v>
      </c>
      <c r="C547" s="120" t="s">
        <v>1595</v>
      </c>
      <c r="D547" s="121">
        <v>2</v>
      </c>
      <c r="E547" s="122">
        <v>0.1</v>
      </c>
      <c r="F547" s="121">
        <v>23</v>
      </c>
      <c r="G547" s="123">
        <v>0.4</v>
      </c>
      <c r="H547" s="122">
        <f t="shared" si="8"/>
        <v>1.8400000000000003</v>
      </c>
      <c r="I547" s="132" t="s">
        <v>714</v>
      </c>
    </row>
    <row r="548" spans="1:9" hidden="1">
      <c r="A548" s="119" t="s">
        <v>1002</v>
      </c>
      <c r="B548" s="120" t="s">
        <v>1596</v>
      </c>
      <c r="C548" s="120" t="s">
        <v>1597</v>
      </c>
      <c r="D548" s="121">
        <v>2</v>
      </c>
      <c r="E548" s="122">
        <v>0.1</v>
      </c>
      <c r="F548" s="121">
        <v>23</v>
      </c>
      <c r="G548" s="123">
        <v>0.4</v>
      </c>
      <c r="H548" s="122">
        <f t="shared" si="8"/>
        <v>1.8400000000000003</v>
      </c>
      <c r="I548" s="132" t="s">
        <v>714</v>
      </c>
    </row>
    <row r="549" spans="1:9" hidden="1">
      <c r="A549" s="119" t="s">
        <v>1002</v>
      </c>
      <c r="B549" s="120" t="s">
        <v>1598</v>
      </c>
      <c r="C549" s="120" t="s">
        <v>493</v>
      </c>
      <c r="D549" s="121">
        <v>2</v>
      </c>
      <c r="E549" s="122">
        <v>0.1</v>
      </c>
      <c r="F549" s="121">
        <v>23</v>
      </c>
      <c r="G549" s="123">
        <v>0.4</v>
      </c>
      <c r="H549" s="122">
        <f t="shared" si="8"/>
        <v>1.8400000000000003</v>
      </c>
      <c r="I549" s="132" t="s">
        <v>714</v>
      </c>
    </row>
    <row r="550" spans="1:9" hidden="1">
      <c r="A550" s="119" t="s">
        <v>1002</v>
      </c>
      <c r="B550" s="120" t="s">
        <v>1599</v>
      </c>
      <c r="C550" s="120" t="s">
        <v>496</v>
      </c>
      <c r="D550" s="121">
        <v>2</v>
      </c>
      <c r="E550" s="122">
        <v>0.1</v>
      </c>
      <c r="F550" s="121">
        <v>23</v>
      </c>
      <c r="G550" s="123">
        <v>0.4</v>
      </c>
      <c r="H550" s="122">
        <f t="shared" si="8"/>
        <v>1.8400000000000003</v>
      </c>
      <c r="I550" s="132" t="s">
        <v>714</v>
      </c>
    </row>
    <row r="551" spans="1:9" hidden="1">
      <c r="A551" s="119" t="s">
        <v>1002</v>
      </c>
      <c r="B551" s="120" t="s">
        <v>1600</v>
      </c>
      <c r="C551" s="120" t="s">
        <v>1601</v>
      </c>
      <c r="D551" s="121">
        <v>2</v>
      </c>
      <c r="E551" s="122">
        <v>0.1</v>
      </c>
      <c r="F551" s="121">
        <v>23</v>
      </c>
      <c r="G551" s="123">
        <v>0.4</v>
      </c>
      <c r="H551" s="122">
        <f t="shared" si="8"/>
        <v>1.8400000000000003</v>
      </c>
      <c r="I551" s="132" t="s">
        <v>714</v>
      </c>
    </row>
    <row r="552" spans="1:9" hidden="1">
      <c r="A552" s="119" t="s">
        <v>1002</v>
      </c>
      <c r="B552" s="120" t="s">
        <v>1602</v>
      </c>
      <c r="C552" s="120" t="s">
        <v>498</v>
      </c>
      <c r="D552" s="121">
        <v>2</v>
      </c>
      <c r="E552" s="122">
        <v>0.1</v>
      </c>
      <c r="F552" s="121">
        <v>23</v>
      </c>
      <c r="G552" s="123">
        <v>0.4</v>
      </c>
      <c r="H552" s="122">
        <f t="shared" si="8"/>
        <v>1.8400000000000003</v>
      </c>
      <c r="I552" s="132" t="s">
        <v>714</v>
      </c>
    </row>
    <row r="553" spans="1:9" hidden="1">
      <c r="A553" s="119" t="s">
        <v>1002</v>
      </c>
      <c r="B553" s="120" t="s">
        <v>1603</v>
      </c>
      <c r="C553" s="120" t="s">
        <v>500</v>
      </c>
      <c r="D553" s="121">
        <v>2</v>
      </c>
      <c r="E553" s="122">
        <v>0.1</v>
      </c>
      <c r="F553" s="121">
        <v>23</v>
      </c>
      <c r="G553" s="123">
        <v>0.4</v>
      </c>
      <c r="H553" s="122">
        <f t="shared" si="8"/>
        <v>1.8400000000000003</v>
      </c>
      <c r="I553" s="132" t="s">
        <v>714</v>
      </c>
    </row>
    <row r="554" spans="1:9" hidden="1">
      <c r="A554" s="119" t="s">
        <v>1002</v>
      </c>
      <c r="B554" s="120" t="s">
        <v>1604</v>
      </c>
      <c r="C554" s="120" t="s">
        <v>501</v>
      </c>
      <c r="D554" s="121">
        <v>2</v>
      </c>
      <c r="E554" s="122">
        <v>0.1</v>
      </c>
      <c r="F554" s="121">
        <v>23</v>
      </c>
      <c r="G554" s="123">
        <v>0.4</v>
      </c>
      <c r="H554" s="122">
        <f t="shared" si="8"/>
        <v>1.8400000000000003</v>
      </c>
      <c r="I554" s="132" t="s">
        <v>714</v>
      </c>
    </row>
    <row r="555" spans="1:9" hidden="1">
      <c r="A555" s="119" t="s">
        <v>1002</v>
      </c>
      <c r="B555" s="120" t="s">
        <v>1605</v>
      </c>
      <c r="C555" s="120" t="s">
        <v>1606</v>
      </c>
      <c r="D555" s="121">
        <v>2</v>
      </c>
      <c r="E555" s="122">
        <v>0.1</v>
      </c>
      <c r="F555" s="121">
        <v>23</v>
      </c>
      <c r="G555" s="123">
        <v>0.4</v>
      </c>
      <c r="H555" s="122">
        <f t="shared" si="8"/>
        <v>1.8400000000000003</v>
      </c>
      <c r="I555" s="132" t="s">
        <v>714</v>
      </c>
    </row>
    <row r="556" spans="1:9" hidden="1">
      <c r="A556" s="119" t="s">
        <v>1002</v>
      </c>
      <c r="B556" s="120" t="s">
        <v>1607</v>
      </c>
      <c r="C556" s="120" t="s">
        <v>1608</v>
      </c>
      <c r="D556" s="121">
        <v>2</v>
      </c>
      <c r="E556" s="122">
        <v>0.1</v>
      </c>
      <c r="F556" s="121">
        <v>23</v>
      </c>
      <c r="G556" s="123">
        <v>0.4</v>
      </c>
      <c r="H556" s="122">
        <f t="shared" si="8"/>
        <v>1.8400000000000003</v>
      </c>
      <c r="I556" s="132" t="s">
        <v>714</v>
      </c>
    </row>
    <row r="557" spans="1:9" hidden="1">
      <c r="A557" s="119" t="s">
        <v>1002</v>
      </c>
      <c r="B557" s="120" t="s">
        <v>1609</v>
      </c>
      <c r="C557" s="120" t="s">
        <v>1610</v>
      </c>
      <c r="D557" s="121">
        <v>2</v>
      </c>
      <c r="E557" s="122">
        <v>0.1</v>
      </c>
      <c r="F557" s="121">
        <v>23</v>
      </c>
      <c r="G557" s="123">
        <v>0.4</v>
      </c>
      <c r="H557" s="122">
        <f t="shared" si="8"/>
        <v>1.8400000000000003</v>
      </c>
      <c r="I557" s="132" t="s">
        <v>714</v>
      </c>
    </row>
    <row r="558" spans="1:9" hidden="1">
      <c r="A558" s="119" t="s">
        <v>1002</v>
      </c>
      <c r="B558" s="120" t="s">
        <v>1611</v>
      </c>
      <c r="C558" s="120" t="s">
        <v>1612</v>
      </c>
      <c r="D558" s="121">
        <v>2</v>
      </c>
      <c r="E558" s="122">
        <v>0.1</v>
      </c>
      <c r="F558" s="121">
        <v>23</v>
      </c>
      <c r="G558" s="123">
        <v>0.4</v>
      </c>
      <c r="H558" s="122">
        <f t="shared" si="8"/>
        <v>1.8400000000000003</v>
      </c>
      <c r="I558" s="132" t="s">
        <v>714</v>
      </c>
    </row>
    <row r="559" spans="1:9" hidden="1">
      <c r="A559" s="119" t="s">
        <v>1002</v>
      </c>
      <c r="B559" s="120" t="s">
        <v>1613</v>
      </c>
      <c r="C559" s="120" t="s">
        <v>1614</v>
      </c>
      <c r="D559" s="121">
        <v>2</v>
      </c>
      <c r="E559" s="122">
        <v>0.1</v>
      </c>
      <c r="F559" s="121">
        <v>23</v>
      </c>
      <c r="G559" s="123">
        <v>0.4</v>
      </c>
      <c r="H559" s="122">
        <f t="shared" si="8"/>
        <v>1.8400000000000003</v>
      </c>
      <c r="I559" s="132" t="s">
        <v>714</v>
      </c>
    </row>
    <row r="560" spans="1:9" hidden="1">
      <c r="A560" s="119" t="s">
        <v>1002</v>
      </c>
      <c r="B560" s="120" t="s">
        <v>1615</v>
      </c>
      <c r="C560" s="120" t="s">
        <v>1616</v>
      </c>
      <c r="D560" s="121">
        <v>2</v>
      </c>
      <c r="E560" s="122">
        <v>0.1</v>
      </c>
      <c r="F560" s="121">
        <v>23</v>
      </c>
      <c r="G560" s="123">
        <v>0.4</v>
      </c>
      <c r="H560" s="122">
        <f t="shared" si="8"/>
        <v>1.8400000000000003</v>
      </c>
      <c r="I560" s="132" t="s">
        <v>714</v>
      </c>
    </row>
    <row r="561" spans="1:9" hidden="1">
      <c r="A561" s="119" t="s">
        <v>1002</v>
      </c>
      <c r="B561" s="120" t="s">
        <v>1617</v>
      </c>
      <c r="C561" s="120" t="s">
        <v>1618</v>
      </c>
      <c r="D561" s="121">
        <v>2</v>
      </c>
      <c r="E561" s="122">
        <v>0.1</v>
      </c>
      <c r="F561" s="121">
        <v>23</v>
      </c>
      <c r="G561" s="123">
        <v>0.4</v>
      </c>
      <c r="H561" s="122">
        <f t="shared" si="8"/>
        <v>1.8400000000000003</v>
      </c>
      <c r="I561" s="132" t="s">
        <v>714</v>
      </c>
    </row>
    <row r="562" spans="1:9" hidden="1">
      <c r="A562" s="119" t="s">
        <v>1002</v>
      </c>
      <c r="B562" s="120" t="s">
        <v>1619</v>
      </c>
      <c r="C562" s="120" t="s">
        <v>1620</v>
      </c>
      <c r="D562" s="121">
        <v>2</v>
      </c>
      <c r="E562" s="122">
        <v>0.1</v>
      </c>
      <c r="F562" s="121">
        <v>23</v>
      </c>
      <c r="G562" s="123">
        <v>0.4</v>
      </c>
      <c r="H562" s="122">
        <f t="shared" si="8"/>
        <v>1.8400000000000003</v>
      </c>
      <c r="I562" s="132" t="s">
        <v>714</v>
      </c>
    </row>
    <row r="563" spans="1:9" hidden="1">
      <c r="A563" s="119" t="s">
        <v>1002</v>
      </c>
      <c r="B563" s="120" t="s">
        <v>1621</v>
      </c>
      <c r="C563" s="120" t="s">
        <v>1622</v>
      </c>
      <c r="D563" s="121">
        <v>2</v>
      </c>
      <c r="E563" s="122">
        <v>0.1</v>
      </c>
      <c r="F563" s="121">
        <v>23</v>
      </c>
      <c r="G563" s="123">
        <v>0.4</v>
      </c>
      <c r="H563" s="122">
        <f t="shared" si="8"/>
        <v>1.8400000000000003</v>
      </c>
      <c r="I563" s="132" t="s">
        <v>714</v>
      </c>
    </row>
    <row r="564" spans="1:9" hidden="1">
      <c r="A564" s="119" t="s">
        <v>1002</v>
      </c>
      <c r="B564" s="120" t="s">
        <v>1623</v>
      </c>
      <c r="C564" s="120" t="s">
        <v>1624</v>
      </c>
      <c r="D564" s="121">
        <v>2</v>
      </c>
      <c r="E564" s="122">
        <v>0.1</v>
      </c>
      <c r="F564" s="121">
        <v>23</v>
      </c>
      <c r="G564" s="123">
        <v>0.4</v>
      </c>
      <c r="H564" s="122">
        <f t="shared" si="8"/>
        <v>1.8400000000000003</v>
      </c>
      <c r="I564" s="132" t="s">
        <v>714</v>
      </c>
    </row>
    <row r="565" spans="1:9" hidden="1">
      <c r="A565" s="119" t="s">
        <v>1002</v>
      </c>
      <c r="B565" s="120" t="s">
        <v>1625</v>
      </c>
      <c r="C565" s="120" t="s">
        <v>1626</v>
      </c>
      <c r="D565" s="121">
        <v>2</v>
      </c>
      <c r="E565" s="122">
        <v>0.1</v>
      </c>
      <c r="F565" s="121">
        <v>23</v>
      </c>
      <c r="G565" s="123">
        <v>0.4</v>
      </c>
      <c r="H565" s="122">
        <f t="shared" si="8"/>
        <v>1.8400000000000003</v>
      </c>
      <c r="I565" s="132" t="s">
        <v>714</v>
      </c>
    </row>
    <row r="566" spans="1:9" hidden="1">
      <c r="A566" s="119" t="s">
        <v>1002</v>
      </c>
      <c r="B566" s="120" t="s">
        <v>1627</v>
      </c>
      <c r="C566" s="120" t="s">
        <v>523</v>
      </c>
      <c r="D566" s="121">
        <v>2</v>
      </c>
      <c r="E566" s="122">
        <v>0.1</v>
      </c>
      <c r="F566" s="121">
        <v>23</v>
      </c>
      <c r="G566" s="123">
        <v>0.4</v>
      </c>
      <c r="H566" s="122">
        <f t="shared" si="8"/>
        <v>1.8400000000000003</v>
      </c>
      <c r="I566" s="132" t="s">
        <v>714</v>
      </c>
    </row>
    <row r="567" spans="1:9" hidden="1">
      <c r="A567" s="119" t="s">
        <v>1002</v>
      </c>
      <c r="B567" s="120" t="s">
        <v>1628</v>
      </c>
      <c r="C567" s="120" t="s">
        <v>1629</v>
      </c>
      <c r="D567" s="121">
        <v>2</v>
      </c>
      <c r="E567" s="122">
        <v>0.1</v>
      </c>
      <c r="F567" s="121">
        <v>23</v>
      </c>
      <c r="G567" s="123">
        <v>0.4</v>
      </c>
      <c r="H567" s="122">
        <f t="shared" si="8"/>
        <v>1.8400000000000003</v>
      </c>
      <c r="I567" s="132" t="s">
        <v>714</v>
      </c>
    </row>
    <row r="568" spans="1:9" hidden="1">
      <c r="A568" s="119" t="s">
        <v>1002</v>
      </c>
      <c r="B568" s="120" t="s">
        <v>1630</v>
      </c>
      <c r="C568" s="120" t="s">
        <v>524</v>
      </c>
      <c r="D568" s="121">
        <v>2</v>
      </c>
      <c r="E568" s="122">
        <v>0.1</v>
      </c>
      <c r="F568" s="121">
        <v>23</v>
      </c>
      <c r="G568" s="123">
        <v>0.4</v>
      </c>
      <c r="H568" s="122">
        <f t="shared" si="8"/>
        <v>1.8400000000000003</v>
      </c>
      <c r="I568" s="132" t="s">
        <v>714</v>
      </c>
    </row>
    <row r="569" spans="1:9" hidden="1">
      <c r="A569" s="119" t="s">
        <v>1002</v>
      </c>
      <c r="B569" s="120" t="s">
        <v>1631</v>
      </c>
      <c r="C569" s="120" t="s">
        <v>528</v>
      </c>
      <c r="D569" s="121">
        <v>2</v>
      </c>
      <c r="E569" s="122">
        <v>0.1</v>
      </c>
      <c r="F569" s="121">
        <v>23</v>
      </c>
      <c r="G569" s="123">
        <v>0.4</v>
      </c>
      <c r="H569" s="122">
        <f t="shared" si="8"/>
        <v>1.8400000000000003</v>
      </c>
      <c r="I569" s="132" t="s">
        <v>714</v>
      </c>
    </row>
    <row r="570" spans="1:9" hidden="1">
      <c r="A570" s="119" t="s">
        <v>1002</v>
      </c>
      <c r="B570" s="120" t="s">
        <v>1632</v>
      </c>
      <c r="C570" s="120" t="s">
        <v>1633</v>
      </c>
      <c r="D570" s="121">
        <v>2</v>
      </c>
      <c r="E570" s="122">
        <v>0.1</v>
      </c>
      <c r="F570" s="121">
        <v>23</v>
      </c>
      <c r="G570" s="123">
        <v>0.4</v>
      </c>
      <c r="H570" s="122">
        <f t="shared" si="8"/>
        <v>1.8400000000000003</v>
      </c>
      <c r="I570" s="132" t="s">
        <v>714</v>
      </c>
    </row>
    <row r="571" spans="1:9" hidden="1">
      <c r="A571" s="119" t="s">
        <v>1002</v>
      </c>
      <c r="B571" s="120" t="s">
        <v>1634</v>
      </c>
      <c r="C571" s="120" t="s">
        <v>530</v>
      </c>
      <c r="D571" s="121">
        <v>2</v>
      </c>
      <c r="E571" s="122">
        <v>0.1</v>
      </c>
      <c r="F571" s="121">
        <v>23</v>
      </c>
      <c r="G571" s="123">
        <v>0.4</v>
      </c>
      <c r="H571" s="122">
        <f t="shared" si="8"/>
        <v>1.8400000000000003</v>
      </c>
      <c r="I571" s="132" t="s">
        <v>714</v>
      </c>
    </row>
    <row r="572" spans="1:9" hidden="1">
      <c r="A572" s="119" t="s">
        <v>1002</v>
      </c>
      <c r="B572" s="120" t="s">
        <v>1635</v>
      </c>
      <c r="C572" s="120" t="s">
        <v>1636</v>
      </c>
      <c r="D572" s="121">
        <v>2</v>
      </c>
      <c r="E572" s="122">
        <v>0.1</v>
      </c>
      <c r="F572" s="121">
        <v>23</v>
      </c>
      <c r="G572" s="123">
        <v>0.4</v>
      </c>
      <c r="H572" s="122">
        <f t="shared" si="8"/>
        <v>1.8400000000000003</v>
      </c>
      <c r="I572" s="132" t="s">
        <v>714</v>
      </c>
    </row>
    <row r="573" spans="1:9" hidden="1">
      <c r="A573" s="119" t="s">
        <v>1002</v>
      </c>
      <c r="B573" s="120" t="s">
        <v>1637</v>
      </c>
      <c r="C573" s="120" t="s">
        <v>1638</v>
      </c>
      <c r="D573" s="121">
        <v>1</v>
      </c>
      <c r="E573" s="122">
        <v>0.1</v>
      </c>
      <c r="F573" s="121">
        <v>23</v>
      </c>
      <c r="G573" s="123">
        <v>0.4</v>
      </c>
      <c r="H573" s="122">
        <f t="shared" si="8"/>
        <v>0.92000000000000015</v>
      </c>
      <c r="I573" s="132" t="s">
        <v>714</v>
      </c>
    </row>
    <row r="574" spans="1:9" hidden="1">
      <c r="A574" s="119" t="s">
        <v>1002</v>
      </c>
      <c r="B574" s="120" t="s">
        <v>1639</v>
      </c>
      <c r="C574" s="120" t="s">
        <v>1640</v>
      </c>
      <c r="D574" s="121">
        <v>1</v>
      </c>
      <c r="E574" s="122">
        <v>0.1</v>
      </c>
      <c r="F574" s="121">
        <v>23</v>
      </c>
      <c r="G574" s="123">
        <v>0.4</v>
      </c>
      <c r="H574" s="122">
        <f t="shared" si="8"/>
        <v>0.92000000000000015</v>
      </c>
      <c r="I574" s="132" t="s">
        <v>714</v>
      </c>
    </row>
    <row r="575" spans="1:9" hidden="1">
      <c r="A575" s="119" t="s">
        <v>1002</v>
      </c>
      <c r="B575" s="120" t="s">
        <v>1641</v>
      </c>
      <c r="C575" s="120" t="s">
        <v>1642</v>
      </c>
      <c r="D575" s="121">
        <v>1</v>
      </c>
      <c r="E575" s="122">
        <v>0.1</v>
      </c>
      <c r="F575" s="121">
        <v>23</v>
      </c>
      <c r="G575" s="123">
        <v>0.4</v>
      </c>
      <c r="H575" s="122">
        <f t="shared" si="8"/>
        <v>0.92000000000000015</v>
      </c>
      <c r="I575" s="132" t="s">
        <v>714</v>
      </c>
    </row>
    <row r="576" spans="1:9" hidden="1">
      <c r="A576" s="119" t="s">
        <v>1002</v>
      </c>
      <c r="B576" s="120" t="s">
        <v>1643</v>
      </c>
      <c r="C576" s="120" t="s">
        <v>205</v>
      </c>
      <c r="D576" s="121">
        <v>1</v>
      </c>
      <c r="E576" s="122">
        <v>0.1</v>
      </c>
      <c r="F576" s="121">
        <v>23</v>
      </c>
      <c r="G576" s="123">
        <v>0.4</v>
      </c>
      <c r="H576" s="122">
        <f t="shared" si="8"/>
        <v>0.92000000000000015</v>
      </c>
      <c r="I576" s="132" t="s">
        <v>714</v>
      </c>
    </row>
    <row r="577" spans="1:9" hidden="1">
      <c r="A577" s="119" t="s">
        <v>1002</v>
      </c>
      <c r="B577" s="120" t="s">
        <v>1644</v>
      </c>
      <c r="C577" s="120" t="s">
        <v>1645</v>
      </c>
      <c r="D577" s="121">
        <v>1</v>
      </c>
      <c r="E577" s="122">
        <v>0.1</v>
      </c>
      <c r="F577" s="121">
        <v>23</v>
      </c>
      <c r="G577" s="123">
        <v>0.4</v>
      </c>
      <c r="H577" s="122">
        <f t="shared" si="8"/>
        <v>0.92000000000000015</v>
      </c>
      <c r="I577" s="132" t="s">
        <v>714</v>
      </c>
    </row>
    <row r="578" spans="1:9" hidden="1">
      <c r="A578" s="119" t="s">
        <v>1002</v>
      </c>
      <c r="B578" s="120" t="s">
        <v>1646</v>
      </c>
      <c r="C578" s="120" t="s">
        <v>1647</v>
      </c>
      <c r="D578" s="121">
        <v>1</v>
      </c>
      <c r="E578" s="122">
        <v>0.1</v>
      </c>
      <c r="F578" s="121">
        <v>23</v>
      </c>
      <c r="G578" s="123">
        <v>0.4</v>
      </c>
      <c r="H578" s="122">
        <f t="shared" ref="H578:H641" si="9">D578*E578*F578*G578</f>
        <v>0.92000000000000015</v>
      </c>
      <c r="I578" s="132" t="s">
        <v>714</v>
      </c>
    </row>
    <row r="579" spans="1:9" hidden="1">
      <c r="A579" s="119" t="s">
        <v>1002</v>
      </c>
      <c r="B579" s="120" t="s">
        <v>1648</v>
      </c>
      <c r="C579" s="120" t="s">
        <v>1649</v>
      </c>
      <c r="D579" s="121">
        <v>1</v>
      </c>
      <c r="E579" s="122">
        <v>0.1</v>
      </c>
      <c r="F579" s="121">
        <v>23</v>
      </c>
      <c r="G579" s="123">
        <v>0.4</v>
      </c>
      <c r="H579" s="122">
        <f t="shared" si="9"/>
        <v>0.92000000000000015</v>
      </c>
      <c r="I579" s="132" t="s">
        <v>714</v>
      </c>
    </row>
    <row r="580" spans="1:9" hidden="1">
      <c r="A580" s="119" t="s">
        <v>1002</v>
      </c>
      <c r="B580" s="120" t="s">
        <v>1650</v>
      </c>
      <c r="C580" s="120" t="s">
        <v>229</v>
      </c>
      <c r="D580" s="121">
        <v>1</v>
      </c>
      <c r="E580" s="122">
        <v>0.1</v>
      </c>
      <c r="F580" s="121">
        <v>23</v>
      </c>
      <c r="G580" s="123">
        <v>0.4</v>
      </c>
      <c r="H580" s="122">
        <f t="shared" si="9"/>
        <v>0.92000000000000015</v>
      </c>
      <c r="I580" s="132" t="s">
        <v>714</v>
      </c>
    </row>
    <row r="581" spans="1:9" hidden="1">
      <c r="A581" s="119" t="s">
        <v>1002</v>
      </c>
      <c r="B581" s="120" t="s">
        <v>1651</v>
      </c>
      <c r="C581" s="120" t="s">
        <v>1652</v>
      </c>
      <c r="D581" s="121">
        <v>1</v>
      </c>
      <c r="E581" s="122">
        <v>0.1</v>
      </c>
      <c r="F581" s="121">
        <v>23</v>
      </c>
      <c r="G581" s="123">
        <v>0.4</v>
      </c>
      <c r="H581" s="122">
        <f t="shared" si="9"/>
        <v>0.92000000000000015</v>
      </c>
      <c r="I581" s="132" t="s">
        <v>714</v>
      </c>
    </row>
    <row r="582" spans="1:9" hidden="1">
      <c r="A582" s="119" t="s">
        <v>1002</v>
      </c>
      <c r="B582" s="120" t="s">
        <v>1653</v>
      </c>
      <c r="C582" s="120" t="s">
        <v>1654</v>
      </c>
      <c r="D582" s="121">
        <v>1</v>
      </c>
      <c r="E582" s="122">
        <v>0.1</v>
      </c>
      <c r="F582" s="121">
        <v>23</v>
      </c>
      <c r="G582" s="123">
        <v>0.4</v>
      </c>
      <c r="H582" s="122">
        <f t="shared" si="9"/>
        <v>0.92000000000000015</v>
      </c>
      <c r="I582" s="132" t="s">
        <v>714</v>
      </c>
    </row>
    <row r="583" spans="1:9" hidden="1">
      <c r="A583" s="119" t="s">
        <v>1002</v>
      </c>
      <c r="B583" s="120" t="s">
        <v>1655</v>
      </c>
      <c r="C583" s="120" t="s">
        <v>1656</v>
      </c>
      <c r="D583" s="121">
        <v>1</v>
      </c>
      <c r="E583" s="122">
        <v>0.1</v>
      </c>
      <c r="F583" s="121">
        <v>23</v>
      </c>
      <c r="G583" s="123">
        <v>0.4</v>
      </c>
      <c r="H583" s="122">
        <f t="shared" si="9"/>
        <v>0.92000000000000015</v>
      </c>
      <c r="I583" s="132" t="s">
        <v>714</v>
      </c>
    </row>
    <row r="584" spans="1:9" hidden="1">
      <c r="A584" s="119" t="s">
        <v>1002</v>
      </c>
      <c r="B584" s="120" t="s">
        <v>1657</v>
      </c>
      <c r="C584" s="120" t="s">
        <v>1658</v>
      </c>
      <c r="D584" s="121">
        <v>1</v>
      </c>
      <c r="E584" s="122">
        <v>0.1</v>
      </c>
      <c r="F584" s="121">
        <v>23</v>
      </c>
      <c r="G584" s="123">
        <v>0.4</v>
      </c>
      <c r="H584" s="122">
        <f t="shared" si="9"/>
        <v>0.92000000000000015</v>
      </c>
      <c r="I584" s="132" t="s">
        <v>714</v>
      </c>
    </row>
    <row r="585" spans="1:9" hidden="1">
      <c r="A585" s="119" t="s">
        <v>1002</v>
      </c>
      <c r="B585" s="120" t="s">
        <v>1659</v>
      </c>
      <c r="C585" s="120" t="s">
        <v>1660</v>
      </c>
      <c r="D585" s="121">
        <v>1</v>
      </c>
      <c r="E585" s="122">
        <v>0.1</v>
      </c>
      <c r="F585" s="121">
        <v>23</v>
      </c>
      <c r="G585" s="123">
        <v>0.4</v>
      </c>
      <c r="H585" s="122">
        <f t="shared" si="9"/>
        <v>0.92000000000000015</v>
      </c>
      <c r="I585" s="132" t="s">
        <v>714</v>
      </c>
    </row>
    <row r="586" spans="1:9" hidden="1">
      <c r="A586" s="119" t="s">
        <v>1002</v>
      </c>
      <c r="B586" s="120" t="s">
        <v>1661</v>
      </c>
      <c r="C586" s="120" t="s">
        <v>255</v>
      </c>
      <c r="D586" s="121">
        <v>1</v>
      </c>
      <c r="E586" s="122">
        <v>0.1</v>
      </c>
      <c r="F586" s="121">
        <v>23</v>
      </c>
      <c r="G586" s="123">
        <v>0.4</v>
      </c>
      <c r="H586" s="122">
        <f t="shared" si="9"/>
        <v>0.92000000000000015</v>
      </c>
      <c r="I586" s="132" t="s">
        <v>714</v>
      </c>
    </row>
    <row r="587" spans="1:9" hidden="1">
      <c r="A587" s="119" t="s">
        <v>1002</v>
      </c>
      <c r="B587" s="120" t="s">
        <v>1662</v>
      </c>
      <c r="C587" s="120" t="s">
        <v>301</v>
      </c>
      <c r="D587" s="121">
        <v>1</v>
      </c>
      <c r="E587" s="122">
        <v>0.1</v>
      </c>
      <c r="F587" s="121">
        <v>23</v>
      </c>
      <c r="G587" s="123">
        <v>0.4</v>
      </c>
      <c r="H587" s="122">
        <f t="shared" si="9"/>
        <v>0.92000000000000015</v>
      </c>
      <c r="I587" s="132" t="s">
        <v>714</v>
      </c>
    </row>
    <row r="588" spans="1:9" hidden="1">
      <c r="A588" s="119" t="s">
        <v>1002</v>
      </c>
      <c r="B588" s="120" t="s">
        <v>1663</v>
      </c>
      <c r="C588" s="120" t="s">
        <v>305</v>
      </c>
      <c r="D588" s="121">
        <v>1</v>
      </c>
      <c r="E588" s="122">
        <v>0.1</v>
      </c>
      <c r="F588" s="121">
        <v>23</v>
      </c>
      <c r="G588" s="123">
        <v>0.4</v>
      </c>
      <c r="H588" s="122">
        <f t="shared" si="9"/>
        <v>0.92000000000000015</v>
      </c>
      <c r="I588" s="132" t="s">
        <v>714</v>
      </c>
    </row>
    <row r="589" spans="1:9" hidden="1">
      <c r="A589" s="119" t="s">
        <v>1002</v>
      </c>
      <c r="B589" s="120" t="s">
        <v>1664</v>
      </c>
      <c r="C589" s="120" t="s">
        <v>1665</v>
      </c>
      <c r="D589" s="121">
        <v>1</v>
      </c>
      <c r="E589" s="122">
        <v>0.1</v>
      </c>
      <c r="F589" s="121">
        <v>23</v>
      </c>
      <c r="G589" s="123">
        <v>0.4</v>
      </c>
      <c r="H589" s="122">
        <f t="shared" si="9"/>
        <v>0.92000000000000015</v>
      </c>
      <c r="I589" s="132" t="s">
        <v>714</v>
      </c>
    </row>
    <row r="590" spans="1:9" hidden="1">
      <c r="A590" s="119" t="s">
        <v>1002</v>
      </c>
      <c r="B590" s="120" t="s">
        <v>1666</v>
      </c>
      <c r="C590" s="120" t="s">
        <v>1667</v>
      </c>
      <c r="D590" s="121">
        <v>1</v>
      </c>
      <c r="E590" s="122">
        <v>0.1</v>
      </c>
      <c r="F590" s="121">
        <v>23</v>
      </c>
      <c r="G590" s="123">
        <v>0.4</v>
      </c>
      <c r="H590" s="122">
        <f t="shared" si="9"/>
        <v>0.92000000000000015</v>
      </c>
      <c r="I590" s="132" t="s">
        <v>714</v>
      </c>
    </row>
    <row r="591" spans="1:9" hidden="1">
      <c r="A591" s="119" t="s">
        <v>1002</v>
      </c>
      <c r="B591" s="120" t="s">
        <v>1668</v>
      </c>
      <c r="C591" s="120" t="s">
        <v>1669</v>
      </c>
      <c r="D591" s="121">
        <v>1</v>
      </c>
      <c r="E591" s="122">
        <v>0.1</v>
      </c>
      <c r="F591" s="121">
        <v>23</v>
      </c>
      <c r="G591" s="123">
        <v>0.4</v>
      </c>
      <c r="H591" s="122">
        <f t="shared" si="9"/>
        <v>0.92000000000000015</v>
      </c>
      <c r="I591" s="132" t="s">
        <v>714</v>
      </c>
    </row>
    <row r="592" spans="1:9" hidden="1">
      <c r="A592" s="119" t="s">
        <v>1002</v>
      </c>
      <c r="B592" s="120" t="s">
        <v>1670</v>
      </c>
      <c r="C592" s="120" t="s">
        <v>1671</v>
      </c>
      <c r="D592" s="121">
        <v>1</v>
      </c>
      <c r="E592" s="122">
        <v>0.1</v>
      </c>
      <c r="F592" s="121">
        <v>23</v>
      </c>
      <c r="G592" s="123">
        <v>0.4</v>
      </c>
      <c r="H592" s="122">
        <f t="shared" si="9"/>
        <v>0.92000000000000015</v>
      </c>
      <c r="I592" s="132" t="s">
        <v>714</v>
      </c>
    </row>
    <row r="593" spans="1:9" hidden="1">
      <c r="A593" s="119" t="s">
        <v>1002</v>
      </c>
      <c r="B593" s="120" t="s">
        <v>1672</v>
      </c>
      <c r="C593" s="120" t="s">
        <v>1673</v>
      </c>
      <c r="D593" s="121">
        <v>1</v>
      </c>
      <c r="E593" s="122">
        <v>0.1</v>
      </c>
      <c r="F593" s="121">
        <v>23</v>
      </c>
      <c r="G593" s="123">
        <v>0.4</v>
      </c>
      <c r="H593" s="122">
        <f t="shared" si="9"/>
        <v>0.92000000000000015</v>
      </c>
      <c r="I593" s="132" t="s">
        <v>714</v>
      </c>
    </row>
    <row r="594" spans="1:9" hidden="1">
      <c r="A594" s="119" t="s">
        <v>1002</v>
      </c>
      <c r="B594" s="120" t="s">
        <v>1674</v>
      </c>
      <c r="C594" s="120" t="s">
        <v>1675</v>
      </c>
      <c r="D594" s="121">
        <v>1</v>
      </c>
      <c r="E594" s="122">
        <v>0.1</v>
      </c>
      <c r="F594" s="121">
        <v>23</v>
      </c>
      <c r="G594" s="123">
        <v>0.4</v>
      </c>
      <c r="H594" s="122">
        <f t="shared" si="9"/>
        <v>0.92000000000000015</v>
      </c>
      <c r="I594" s="132" t="s">
        <v>714</v>
      </c>
    </row>
    <row r="595" spans="1:9" hidden="1">
      <c r="A595" s="119" t="s">
        <v>1002</v>
      </c>
      <c r="B595" s="120" t="s">
        <v>1676</v>
      </c>
      <c r="C595" s="120" t="s">
        <v>1677</v>
      </c>
      <c r="D595" s="121">
        <v>1</v>
      </c>
      <c r="E595" s="122">
        <v>0.1</v>
      </c>
      <c r="F595" s="121">
        <v>23</v>
      </c>
      <c r="G595" s="123">
        <v>0.4</v>
      </c>
      <c r="H595" s="122">
        <f t="shared" si="9"/>
        <v>0.92000000000000015</v>
      </c>
      <c r="I595" s="132" t="s">
        <v>714</v>
      </c>
    </row>
    <row r="596" spans="1:9" hidden="1">
      <c r="A596" s="119" t="s">
        <v>1002</v>
      </c>
      <c r="B596" s="120" t="s">
        <v>1678</v>
      </c>
      <c r="C596" s="120" t="s">
        <v>1679</v>
      </c>
      <c r="D596" s="121">
        <v>1</v>
      </c>
      <c r="E596" s="122">
        <v>0.1</v>
      </c>
      <c r="F596" s="121">
        <v>23</v>
      </c>
      <c r="G596" s="123">
        <v>0.4</v>
      </c>
      <c r="H596" s="122">
        <f t="shared" si="9"/>
        <v>0.92000000000000015</v>
      </c>
      <c r="I596" s="132" t="s">
        <v>714</v>
      </c>
    </row>
    <row r="597" spans="1:9" hidden="1">
      <c r="A597" s="119" t="s">
        <v>1002</v>
      </c>
      <c r="B597" s="120" t="s">
        <v>1680</v>
      </c>
      <c r="C597" s="120" t="s">
        <v>1681</v>
      </c>
      <c r="D597" s="121">
        <v>1</v>
      </c>
      <c r="E597" s="122">
        <v>0.1</v>
      </c>
      <c r="F597" s="121">
        <v>23</v>
      </c>
      <c r="G597" s="123">
        <v>0.4</v>
      </c>
      <c r="H597" s="122">
        <f t="shared" si="9"/>
        <v>0.92000000000000015</v>
      </c>
      <c r="I597" s="132" t="s">
        <v>714</v>
      </c>
    </row>
    <row r="598" spans="1:9" hidden="1">
      <c r="A598" s="119" t="s">
        <v>1002</v>
      </c>
      <c r="B598" s="120" t="s">
        <v>1682</v>
      </c>
      <c r="C598" s="120" t="s">
        <v>1683</v>
      </c>
      <c r="D598" s="121">
        <v>1</v>
      </c>
      <c r="E598" s="122">
        <v>0.1</v>
      </c>
      <c r="F598" s="121">
        <v>23</v>
      </c>
      <c r="G598" s="123">
        <v>0.4</v>
      </c>
      <c r="H598" s="122">
        <f t="shared" si="9"/>
        <v>0.92000000000000015</v>
      </c>
      <c r="I598" s="132" t="s">
        <v>714</v>
      </c>
    </row>
    <row r="599" spans="1:9" hidden="1">
      <c r="A599" s="119" t="s">
        <v>1002</v>
      </c>
      <c r="B599" s="120" t="s">
        <v>1684</v>
      </c>
      <c r="C599" s="120" t="s">
        <v>1685</v>
      </c>
      <c r="D599" s="121">
        <v>1</v>
      </c>
      <c r="E599" s="122">
        <v>0.1</v>
      </c>
      <c r="F599" s="121">
        <v>23</v>
      </c>
      <c r="G599" s="123">
        <v>0.4</v>
      </c>
      <c r="H599" s="122">
        <f t="shared" si="9"/>
        <v>0.92000000000000015</v>
      </c>
      <c r="I599" s="132" t="s">
        <v>714</v>
      </c>
    </row>
    <row r="600" spans="1:9" hidden="1">
      <c r="A600" s="119" t="s">
        <v>1002</v>
      </c>
      <c r="B600" s="120" t="s">
        <v>1686</v>
      </c>
      <c r="C600" s="120" t="s">
        <v>1687</v>
      </c>
      <c r="D600" s="121">
        <v>1</v>
      </c>
      <c r="E600" s="122">
        <v>0.1</v>
      </c>
      <c r="F600" s="121">
        <v>23</v>
      </c>
      <c r="G600" s="123">
        <v>0.4</v>
      </c>
      <c r="H600" s="122">
        <f t="shared" si="9"/>
        <v>0.92000000000000015</v>
      </c>
      <c r="I600" s="132" t="s">
        <v>714</v>
      </c>
    </row>
    <row r="601" spans="1:9" hidden="1">
      <c r="A601" s="119" t="s">
        <v>1002</v>
      </c>
      <c r="B601" s="120" t="s">
        <v>1688</v>
      </c>
      <c r="C601" s="120" t="s">
        <v>1689</v>
      </c>
      <c r="D601" s="121">
        <v>1</v>
      </c>
      <c r="E601" s="122">
        <v>0.1</v>
      </c>
      <c r="F601" s="121">
        <v>23</v>
      </c>
      <c r="G601" s="123">
        <v>0.4</v>
      </c>
      <c r="H601" s="122">
        <f t="shared" si="9"/>
        <v>0.92000000000000015</v>
      </c>
      <c r="I601" s="132" t="s">
        <v>714</v>
      </c>
    </row>
    <row r="602" spans="1:9" hidden="1">
      <c r="A602" s="119" t="s">
        <v>1002</v>
      </c>
      <c r="B602" s="120" t="s">
        <v>1690</v>
      </c>
      <c r="C602" s="120" t="s">
        <v>1691</v>
      </c>
      <c r="D602" s="121">
        <v>1</v>
      </c>
      <c r="E602" s="122">
        <v>0.1</v>
      </c>
      <c r="F602" s="121">
        <v>23</v>
      </c>
      <c r="G602" s="123">
        <v>0.4</v>
      </c>
      <c r="H602" s="122">
        <f t="shared" si="9"/>
        <v>0.92000000000000015</v>
      </c>
      <c r="I602" s="132" t="s">
        <v>714</v>
      </c>
    </row>
    <row r="603" spans="1:9" hidden="1">
      <c r="A603" s="119" t="s">
        <v>1002</v>
      </c>
      <c r="B603" s="120" t="s">
        <v>1692</v>
      </c>
      <c r="C603" s="120" t="s">
        <v>1693</v>
      </c>
      <c r="D603" s="121">
        <v>1</v>
      </c>
      <c r="E603" s="122">
        <v>0.1</v>
      </c>
      <c r="F603" s="121">
        <v>23</v>
      </c>
      <c r="G603" s="123">
        <v>0.4</v>
      </c>
      <c r="H603" s="122">
        <f t="shared" si="9"/>
        <v>0.92000000000000015</v>
      </c>
      <c r="I603" s="132" t="s">
        <v>714</v>
      </c>
    </row>
    <row r="604" spans="1:9" hidden="1">
      <c r="A604" s="119" t="s">
        <v>1002</v>
      </c>
      <c r="B604" s="120" t="s">
        <v>1694</v>
      </c>
      <c r="C604" s="120" t="s">
        <v>1695</v>
      </c>
      <c r="D604" s="121">
        <v>1</v>
      </c>
      <c r="E604" s="122">
        <v>0.1</v>
      </c>
      <c r="F604" s="121">
        <v>23</v>
      </c>
      <c r="G604" s="123">
        <v>0.4</v>
      </c>
      <c r="H604" s="122">
        <f t="shared" si="9"/>
        <v>0.92000000000000015</v>
      </c>
      <c r="I604" s="132" t="s">
        <v>714</v>
      </c>
    </row>
    <row r="605" spans="1:9" hidden="1">
      <c r="A605" s="119" t="s">
        <v>1002</v>
      </c>
      <c r="B605" s="120" t="s">
        <v>1696</v>
      </c>
      <c r="C605" s="120" t="s">
        <v>1697</v>
      </c>
      <c r="D605" s="121">
        <v>1</v>
      </c>
      <c r="E605" s="122">
        <v>0.1</v>
      </c>
      <c r="F605" s="121">
        <v>23</v>
      </c>
      <c r="G605" s="123">
        <v>0.4</v>
      </c>
      <c r="H605" s="122">
        <f t="shared" si="9"/>
        <v>0.92000000000000015</v>
      </c>
      <c r="I605" s="132" t="s">
        <v>714</v>
      </c>
    </row>
    <row r="606" spans="1:9" hidden="1">
      <c r="A606" s="119" t="s">
        <v>1002</v>
      </c>
      <c r="B606" s="120" t="s">
        <v>1698</v>
      </c>
      <c r="C606" s="120" t="s">
        <v>1699</v>
      </c>
      <c r="D606" s="121">
        <v>1</v>
      </c>
      <c r="E606" s="122">
        <v>0.1</v>
      </c>
      <c r="F606" s="121">
        <v>23</v>
      </c>
      <c r="G606" s="123">
        <v>0.4</v>
      </c>
      <c r="H606" s="122">
        <f t="shared" si="9"/>
        <v>0.92000000000000015</v>
      </c>
      <c r="I606" s="132" t="s">
        <v>714</v>
      </c>
    </row>
    <row r="607" spans="1:9" hidden="1">
      <c r="A607" s="119" t="s">
        <v>1002</v>
      </c>
      <c r="B607" s="120" t="s">
        <v>1700</v>
      </c>
      <c r="C607" s="120" t="s">
        <v>1701</v>
      </c>
      <c r="D607" s="121">
        <v>1</v>
      </c>
      <c r="E607" s="122">
        <v>0.1</v>
      </c>
      <c r="F607" s="121">
        <v>23</v>
      </c>
      <c r="G607" s="123">
        <v>0.4</v>
      </c>
      <c r="H607" s="122">
        <f t="shared" si="9"/>
        <v>0.92000000000000015</v>
      </c>
      <c r="I607" s="132" t="s">
        <v>714</v>
      </c>
    </row>
    <row r="608" spans="1:9" hidden="1">
      <c r="A608" s="119" t="s">
        <v>1002</v>
      </c>
      <c r="B608" s="120" t="s">
        <v>1702</v>
      </c>
      <c r="C608" s="120" t="s">
        <v>1703</v>
      </c>
      <c r="D608" s="121">
        <v>1</v>
      </c>
      <c r="E608" s="122">
        <v>0.1</v>
      </c>
      <c r="F608" s="121">
        <v>23</v>
      </c>
      <c r="G608" s="123">
        <v>0.4</v>
      </c>
      <c r="H608" s="122">
        <f t="shared" si="9"/>
        <v>0.92000000000000015</v>
      </c>
      <c r="I608" s="132" t="s">
        <v>714</v>
      </c>
    </row>
    <row r="609" spans="1:9" hidden="1">
      <c r="A609" s="119" t="s">
        <v>1002</v>
      </c>
      <c r="B609" s="120" t="s">
        <v>1704</v>
      </c>
      <c r="C609" s="120" t="s">
        <v>1705</v>
      </c>
      <c r="D609" s="121">
        <v>1</v>
      </c>
      <c r="E609" s="122">
        <v>0.1</v>
      </c>
      <c r="F609" s="121">
        <v>23</v>
      </c>
      <c r="G609" s="123">
        <v>0.4</v>
      </c>
      <c r="H609" s="122">
        <f t="shared" si="9"/>
        <v>0.92000000000000015</v>
      </c>
      <c r="I609" s="132" t="s">
        <v>714</v>
      </c>
    </row>
    <row r="610" spans="1:9" hidden="1">
      <c r="A610" s="119" t="s">
        <v>1002</v>
      </c>
      <c r="B610" s="120" t="s">
        <v>1706</v>
      </c>
      <c r="C610" s="120" t="s">
        <v>1707</v>
      </c>
      <c r="D610" s="121">
        <v>1</v>
      </c>
      <c r="E610" s="122">
        <v>0.1</v>
      </c>
      <c r="F610" s="121">
        <v>23</v>
      </c>
      <c r="G610" s="123">
        <v>0.4</v>
      </c>
      <c r="H610" s="122">
        <f t="shared" si="9"/>
        <v>0.92000000000000015</v>
      </c>
      <c r="I610" s="132" t="s">
        <v>714</v>
      </c>
    </row>
    <row r="611" spans="1:9" hidden="1">
      <c r="A611" s="119" t="s">
        <v>1002</v>
      </c>
      <c r="B611" s="120" t="s">
        <v>1708</v>
      </c>
      <c r="C611" s="120" t="s">
        <v>1709</v>
      </c>
      <c r="D611" s="121">
        <v>1</v>
      </c>
      <c r="E611" s="122">
        <v>0.1</v>
      </c>
      <c r="F611" s="121">
        <v>23</v>
      </c>
      <c r="G611" s="123">
        <v>0.4</v>
      </c>
      <c r="H611" s="122">
        <f t="shared" si="9"/>
        <v>0.92000000000000015</v>
      </c>
      <c r="I611" s="132" t="s">
        <v>714</v>
      </c>
    </row>
    <row r="612" spans="1:9" hidden="1">
      <c r="A612" s="119" t="s">
        <v>1002</v>
      </c>
      <c r="B612" s="120" t="s">
        <v>1710</v>
      </c>
      <c r="C612" s="120" t="s">
        <v>1711</v>
      </c>
      <c r="D612" s="121">
        <v>1</v>
      </c>
      <c r="E612" s="122">
        <v>0.1</v>
      </c>
      <c r="F612" s="121">
        <v>23</v>
      </c>
      <c r="G612" s="123">
        <v>0.4</v>
      </c>
      <c r="H612" s="122">
        <f t="shared" si="9"/>
        <v>0.92000000000000015</v>
      </c>
      <c r="I612" s="132" t="s">
        <v>714</v>
      </c>
    </row>
    <row r="613" spans="1:9" hidden="1">
      <c r="A613" s="119" t="s">
        <v>1002</v>
      </c>
      <c r="B613" s="120" t="s">
        <v>1712</v>
      </c>
      <c r="C613" s="120" t="s">
        <v>1713</v>
      </c>
      <c r="D613" s="121">
        <v>1</v>
      </c>
      <c r="E613" s="122">
        <v>0.1</v>
      </c>
      <c r="F613" s="121">
        <v>23</v>
      </c>
      <c r="G613" s="123">
        <v>0.4</v>
      </c>
      <c r="H613" s="122">
        <f t="shared" si="9"/>
        <v>0.92000000000000015</v>
      </c>
      <c r="I613" s="132" t="s">
        <v>714</v>
      </c>
    </row>
    <row r="614" spans="1:9" hidden="1">
      <c r="A614" s="119" t="s">
        <v>1002</v>
      </c>
      <c r="B614" s="120" t="s">
        <v>1714</v>
      </c>
      <c r="C614" s="120" t="s">
        <v>1715</v>
      </c>
      <c r="D614" s="121">
        <v>1</v>
      </c>
      <c r="E614" s="122">
        <v>0.1</v>
      </c>
      <c r="F614" s="121">
        <v>23</v>
      </c>
      <c r="G614" s="123">
        <v>0.4</v>
      </c>
      <c r="H614" s="122">
        <f t="shared" si="9"/>
        <v>0.92000000000000015</v>
      </c>
      <c r="I614" s="132" t="s">
        <v>714</v>
      </c>
    </row>
    <row r="615" spans="1:9" hidden="1">
      <c r="A615" s="119" t="s">
        <v>1002</v>
      </c>
      <c r="B615" s="120" t="s">
        <v>1716</v>
      </c>
      <c r="C615" s="120" t="s">
        <v>1717</v>
      </c>
      <c r="D615" s="121">
        <v>1</v>
      </c>
      <c r="E615" s="122">
        <v>0.1</v>
      </c>
      <c r="F615" s="121">
        <v>23</v>
      </c>
      <c r="G615" s="123">
        <v>0.4</v>
      </c>
      <c r="H615" s="122">
        <f t="shared" si="9"/>
        <v>0.92000000000000015</v>
      </c>
      <c r="I615" s="132" t="s">
        <v>714</v>
      </c>
    </row>
    <row r="616" spans="1:9" hidden="1">
      <c r="A616" s="119" t="s">
        <v>1002</v>
      </c>
      <c r="B616" s="120" t="s">
        <v>1718</v>
      </c>
      <c r="C616" s="120" t="s">
        <v>1719</v>
      </c>
      <c r="D616" s="121">
        <v>1</v>
      </c>
      <c r="E616" s="122">
        <v>0.1</v>
      </c>
      <c r="F616" s="121">
        <v>23</v>
      </c>
      <c r="G616" s="123">
        <v>0.4</v>
      </c>
      <c r="H616" s="122">
        <f t="shared" si="9"/>
        <v>0.92000000000000015</v>
      </c>
      <c r="I616" s="132" t="s">
        <v>714</v>
      </c>
    </row>
    <row r="617" spans="1:9" hidden="1">
      <c r="A617" s="119" t="s">
        <v>1002</v>
      </c>
      <c r="B617" s="120" t="s">
        <v>1720</v>
      </c>
      <c r="C617" s="120" t="s">
        <v>1721</v>
      </c>
      <c r="D617" s="121">
        <v>1</v>
      </c>
      <c r="E617" s="122">
        <v>0.1</v>
      </c>
      <c r="F617" s="121">
        <v>23</v>
      </c>
      <c r="G617" s="123">
        <v>0.4</v>
      </c>
      <c r="H617" s="122">
        <f t="shared" si="9"/>
        <v>0.92000000000000015</v>
      </c>
      <c r="I617" s="132" t="s">
        <v>714</v>
      </c>
    </row>
    <row r="618" spans="1:9" hidden="1">
      <c r="A618" s="119" t="s">
        <v>1002</v>
      </c>
      <c r="B618" s="120" t="s">
        <v>1722</v>
      </c>
      <c r="C618" s="120" t="s">
        <v>1723</v>
      </c>
      <c r="D618" s="121">
        <v>1</v>
      </c>
      <c r="E618" s="122">
        <v>0.1</v>
      </c>
      <c r="F618" s="121">
        <v>23</v>
      </c>
      <c r="G618" s="123">
        <v>0.4</v>
      </c>
      <c r="H618" s="122">
        <f t="shared" si="9"/>
        <v>0.92000000000000015</v>
      </c>
      <c r="I618" s="132" t="s">
        <v>714</v>
      </c>
    </row>
    <row r="619" spans="1:9" hidden="1">
      <c r="A619" s="119" t="s">
        <v>1002</v>
      </c>
      <c r="B619" s="120" t="s">
        <v>1724</v>
      </c>
      <c r="C619" s="120" t="s">
        <v>73</v>
      </c>
      <c r="D619" s="121">
        <v>1</v>
      </c>
      <c r="E619" s="122">
        <v>0.1</v>
      </c>
      <c r="F619" s="121">
        <v>23</v>
      </c>
      <c r="G619" s="123">
        <v>0.4</v>
      </c>
      <c r="H619" s="122">
        <f t="shared" si="9"/>
        <v>0.92000000000000015</v>
      </c>
      <c r="I619" s="132" t="s">
        <v>714</v>
      </c>
    </row>
    <row r="620" spans="1:9" hidden="1">
      <c r="A620" s="119" t="s">
        <v>1002</v>
      </c>
      <c r="B620" s="120" t="s">
        <v>1725</v>
      </c>
      <c r="C620" s="120" t="s">
        <v>28</v>
      </c>
      <c r="D620" s="121">
        <v>1</v>
      </c>
      <c r="E620" s="122">
        <v>0.1</v>
      </c>
      <c r="F620" s="121">
        <v>23</v>
      </c>
      <c r="G620" s="123">
        <v>0.4</v>
      </c>
      <c r="H620" s="122">
        <f t="shared" si="9"/>
        <v>0.92000000000000015</v>
      </c>
      <c r="I620" s="132" t="s">
        <v>714</v>
      </c>
    </row>
    <row r="621" spans="1:9" hidden="1">
      <c r="A621" s="119" t="s">
        <v>1002</v>
      </c>
      <c r="B621" s="120" t="s">
        <v>1726</v>
      </c>
      <c r="C621" s="120" t="s">
        <v>1727</v>
      </c>
      <c r="D621" s="121">
        <v>1</v>
      </c>
      <c r="E621" s="122">
        <v>0.1</v>
      </c>
      <c r="F621" s="121">
        <v>23</v>
      </c>
      <c r="G621" s="123">
        <v>0.4</v>
      </c>
      <c r="H621" s="122">
        <f t="shared" si="9"/>
        <v>0.92000000000000015</v>
      </c>
      <c r="I621" s="132" t="s">
        <v>714</v>
      </c>
    </row>
    <row r="622" spans="1:9" hidden="1">
      <c r="A622" s="119" t="s">
        <v>1002</v>
      </c>
      <c r="B622" s="120" t="s">
        <v>1728</v>
      </c>
      <c r="C622" s="120" t="s">
        <v>1729</v>
      </c>
      <c r="D622" s="121">
        <v>1</v>
      </c>
      <c r="E622" s="122">
        <v>0.1</v>
      </c>
      <c r="F622" s="121">
        <v>23</v>
      </c>
      <c r="G622" s="123">
        <v>0.4</v>
      </c>
      <c r="H622" s="122">
        <f t="shared" si="9"/>
        <v>0.92000000000000015</v>
      </c>
      <c r="I622" s="132" t="s">
        <v>714</v>
      </c>
    </row>
    <row r="623" spans="1:9" hidden="1">
      <c r="A623" s="119" t="s">
        <v>1002</v>
      </c>
      <c r="B623" s="120" t="s">
        <v>1730</v>
      </c>
      <c r="C623" s="120" t="s">
        <v>1731</v>
      </c>
      <c r="D623" s="121">
        <v>1</v>
      </c>
      <c r="E623" s="122">
        <v>0.1</v>
      </c>
      <c r="F623" s="121">
        <v>23</v>
      </c>
      <c r="G623" s="123">
        <v>0.4</v>
      </c>
      <c r="H623" s="122">
        <f t="shared" si="9"/>
        <v>0.92000000000000015</v>
      </c>
      <c r="I623" s="132" t="s">
        <v>714</v>
      </c>
    </row>
    <row r="624" spans="1:9" hidden="1">
      <c r="A624" s="119" t="s">
        <v>1002</v>
      </c>
      <c r="B624" s="120" t="s">
        <v>1732</v>
      </c>
      <c r="C624" s="120" t="s">
        <v>1733</v>
      </c>
      <c r="D624" s="121">
        <v>1</v>
      </c>
      <c r="E624" s="122">
        <v>0.1</v>
      </c>
      <c r="F624" s="121">
        <v>23</v>
      </c>
      <c r="G624" s="123">
        <v>0.4</v>
      </c>
      <c r="H624" s="122">
        <f t="shared" si="9"/>
        <v>0.92000000000000015</v>
      </c>
      <c r="I624" s="132" t="s">
        <v>714</v>
      </c>
    </row>
    <row r="625" spans="1:9" hidden="1">
      <c r="A625" s="119" t="s">
        <v>1002</v>
      </c>
      <c r="B625" s="120" t="s">
        <v>1734</v>
      </c>
      <c r="C625" s="120" t="s">
        <v>1735</v>
      </c>
      <c r="D625" s="121">
        <v>1</v>
      </c>
      <c r="E625" s="122">
        <v>0.1</v>
      </c>
      <c r="F625" s="121">
        <v>23</v>
      </c>
      <c r="G625" s="123">
        <v>0.4</v>
      </c>
      <c r="H625" s="122">
        <f t="shared" si="9"/>
        <v>0.92000000000000015</v>
      </c>
      <c r="I625" s="132" t="s">
        <v>714</v>
      </c>
    </row>
    <row r="626" spans="1:9" hidden="1">
      <c r="A626" s="119" t="s">
        <v>1002</v>
      </c>
      <c r="B626" s="120" t="s">
        <v>1736</v>
      </c>
      <c r="C626" s="120" t="s">
        <v>1737</v>
      </c>
      <c r="D626" s="121">
        <v>1</v>
      </c>
      <c r="E626" s="122">
        <v>0.1</v>
      </c>
      <c r="F626" s="121">
        <v>23</v>
      </c>
      <c r="G626" s="123">
        <v>0.4</v>
      </c>
      <c r="H626" s="122">
        <f t="shared" si="9"/>
        <v>0.92000000000000015</v>
      </c>
      <c r="I626" s="132" t="s">
        <v>714</v>
      </c>
    </row>
    <row r="627" spans="1:9" hidden="1">
      <c r="A627" s="119" t="s">
        <v>1002</v>
      </c>
      <c r="B627" s="120" t="s">
        <v>1738</v>
      </c>
      <c r="C627" s="120" t="s">
        <v>1739</v>
      </c>
      <c r="D627" s="121">
        <v>1</v>
      </c>
      <c r="E627" s="122">
        <v>0.1</v>
      </c>
      <c r="F627" s="121">
        <v>23</v>
      </c>
      <c r="G627" s="123">
        <v>0.4</v>
      </c>
      <c r="H627" s="122">
        <f t="shared" si="9"/>
        <v>0.92000000000000015</v>
      </c>
      <c r="I627" s="132" t="s">
        <v>714</v>
      </c>
    </row>
    <row r="628" spans="1:9" hidden="1">
      <c r="A628" s="119" t="s">
        <v>1002</v>
      </c>
      <c r="B628" s="120" t="s">
        <v>1740</v>
      </c>
      <c r="C628" s="120" t="s">
        <v>1741</v>
      </c>
      <c r="D628" s="121">
        <v>1</v>
      </c>
      <c r="E628" s="122">
        <v>0.1</v>
      </c>
      <c r="F628" s="121">
        <v>23</v>
      </c>
      <c r="G628" s="123">
        <v>0.4</v>
      </c>
      <c r="H628" s="122">
        <f t="shared" si="9"/>
        <v>0.92000000000000015</v>
      </c>
      <c r="I628" s="132" t="s">
        <v>714</v>
      </c>
    </row>
    <row r="629" spans="1:9" hidden="1">
      <c r="A629" s="119" t="s">
        <v>1002</v>
      </c>
      <c r="B629" s="120" t="s">
        <v>1742</v>
      </c>
      <c r="C629" s="120" t="s">
        <v>1743</v>
      </c>
      <c r="D629" s="121">
        <v>1</v>
      </c>
      <c r="E629" s="122">
        <v>0.1</v>
      </c>
      <c r="F629" s="121">
        <v>23</v>
      </c>
      <c r="G629" s="123">
        <v>0.4</v>
      </c>
      <c r="H629" s="122">
        <f t="shared" si="9"/>
        <v>0.92000000000000015</v>
      </c>
      <c r="I629" s="132" t="s">
        <v>714</v>
      </c>
    </row>
    <row r="630" spans="1:9" hidden="1">
      <c r="A630" s="119" t="s">
        <v>1002</v>
      </c>
      <c r="B630" s="120" t="s">
        <v>1744</v>
      </c>
      <c r="C630" s="120" t="s">
        <v>1745</v>
      </c>
      <c r="D630" s="121">
        <v>1</v>
      </c>
      <c r="E630" s="122">
        <v>0.1</v>
      </c>
      <c r="F630" s="121">
        <v>23</v>
      </c>
      <c r="G630" s="123">
        <v>0.4</v>
      </c>
      <c r="H630" s="122">
        <f t="shared" si="9"/>
        <v>0.92000000000000015</v>
      </c>
      <c r="I630" s="132" t="s">
        <v>714</v>
      </c>
    </row>
    <row r="631" spans="1:9" hidden="1">
      <c r="A631" s="119" t="s">
        <v>1002</v>
      </c>
      <c r="B631" s="120" t="s">
        <v>1746</v>
      </c>
      <c r="C631" s="120" t="s">
        <v>1747</v>
      </c>
      <c r="D631" s="121">
        <v>1</v>
      </c>
      <c r="E631" s="122">
        <v>0.1</v>
      </c>
      <c r="F631" s="121">
        <v>23</v>
      </c>
      <c r="G631" s="123">
        <v>0.4</v>
      </c>
      <c r="H631" s="122">
        <f t="shared" si="9"/>
        <v>0.92000000000000015</v>
      </c>
      <c r="I631" s="132" t="s">
        <v>714</v>
      </c>
    </row>
    <row r="632" spans="1:9" hidden="1">
      <c r="A632" s="119" t="s">
        <v>1002</v>
      </c>
      <c r="B632" s="120" t="s">
        <v>1748</v>
      </c>
      <c r="C632" s="120" t="s">
        <v>1749</v>
      </c>
      <c r="D632" s="121">
        <v>1</v>
      </c>
      <c r="E632" s="122">
        <v>0.1</v>
      </c>
      <c r="F632" s="121">
        <v>23</v>
      </c>
      <c r="G632" s="123">
        <v>0.4</v>
      </c>
      <c r="H632" s="122">
        <f t="shared" si="9"/>
        <v>0.92000000000000015</v>
      </c>
      <c r="I632" s="132" t="s">
        <v>714</v>
      </c>
    </row>
    <row r="633" spans="1:9" hidden="1">
      <c r="A633" s="119" t="s">
        <v>1002</v>
      </c>
      <c r="B633" s="120" t="s">
        <v>1750</v>
      </c>
      <c r="C633" s="120" t="s">
        <v>1751</v>
      </c>
      <c r="D633" s="121">
        <v>1</v>
      </c>
      <c r="E633" s="122">
        <v>0.1</v>
      </c>
      <c r="F633" s="121">
        <v>23</v>
      </c>
      <c r="G633" s="123">
        <v>0.4</v>
      </c>
      <c r="H633" s="122">
        <f t="shared" si="9"/>
        <v>0.92000000000000015</v>
      </c>
      <c r="I633" s="132" t="s">
        <v>714</v>
      </c>
    </row>
    <row r="634" spans="1:9" hidden="1">
      <c r="A634" s="119" t="s">
        <v>1002</v>
      </c>
      <c r="B634" s="120" t="s">
        <v>1752</v>
      </c>
      <c r="C634" s="120" t="s">
        <v>1753</v>
      </c>
      <c r="D634" s="121">
        <v>1</v>
      </c>
      <c r="E634" s="122">
        <v>0.1</v>
      </c>
      <c r="F634" s="121">
        <v>23</v>
      </c>
      <c r="G634" s="123">
        <v>0.4</v>
      </c>
      <c r="H634" s="122">
        <f t="shared" si="9"/>
        <v>0.92000000000000015</v>
      </c>
      <c r="I634" s="132" t="s">
        <v>714</v>
      </c>
    </row>
    <row r="635" spans="1:9" hidden="1">
      <c r="A635" s="119" t="s">
        <v>1002</v>
      </c>
      <c r="B635" s="120" t="s">
        <v>1754</v>
      </c>
      <c r="C635" s="120" t="s">
        <v>1755</v>
      </c>
      <c r="D635" s="121">
        <v>1</v>
      </c>
      <c r="E635" s="122">
        <v>0.1</v>
      </c>
      <c r="F635" s="121">
        <v>23</v>
      </c>
      <c r="G635" s="123">
        <v>0.4</v>
      </c>
      <c r="H635" s="122">
        <f t="shared" si="9"/>
        <v>0.92000000000000015</v>
      </c>
      <c r="I635" s="132" t="s">
        <v>714</v>
      </c>
    </row>
    <row r="636" spans="1:9" hidden="1">
      <c r="A636" s="119" t="s">
        <v>1002</v>
      </c>
      <c r="B636" s="120" t="s">
        <v>1756</v>
      </c>
      <c r="C636" s="120" t="s">
        <v>1757</v>
      </c>
      <c r="D636" s="121">
        <v>1</v>
      </c>
      <c r="E636" s="122">
        <v>0.1</v>
      </c>
      <c r="F636" s="121">
        <v>23</v>
      </c>
      <c r="G636" s="123">
        <v>0.4</v>
      </c>
      <c r="H636" s="122">
        <f t="shared" si="9"/>
        <v>0.92000000000000015</v>
      </c>
      <c r="I636" s="132" t="s">
        <v>714</v>
      </c>
    </row>
    <row r="637" spans="1:9" hidden="1">
      <c r="A637" s="119" t="s">
        <v>1002</v>
      </c>
      <c r="B637" s="120" t="s">
        <v>1758</v>
      </c>
      <c r="C637" s="120" t="s">
        <v>1759</v>
      </c>
      <c r="D637" s="121">
        <v>1</v>
      </c>
      <c r="E637" s="122">
        <v>0.1</v>
      </c>
      <c r="F637" s="121">
        <v>23</v>
      </c>
      <c r="G637" s="123">
        <v>0.4</v>
      </c>
      <c r="H637" s="122">
        <f t="shared" si="9"/>
        <v>0.92000000000000015</v>
      </c>
      <c r="I637" s="132" t="s">
        <v>714</v>
      </c>
    </row>
    <row r="638" spans="1:9" hidden="1">
      <c r="A638" s="119" t="s">
        <v>1002</v>
      </c>
      <c r="B638" s="120" t="s">
        <v>1760</v>
      </c>
      <c r="C638" s="120" t="s">
        <v>1761</v>
      </c>
      <c r="D638" s="121">
        <v>1</v>
      </c>
      <c r="E638" s="122">
        <v>0.1</v>
      </c>
      <c r="F638" s="121">
        <v>23</v>
      </c>
      <c r="G638" s="123">
        <v>0.4</v>
      </c>
      <c r="H638" s="122">
        <f t="shared" si="9"/>
        <v>0.92000000000000015</v>
      </c>
      <c r="I638" s="132" t="s">
        <v>714</v>
      </c>
    </row>
    <row r="639" spans="1:9" hidden="1">
      <c r="A639" s="119" t="s">
        <v>1002</v>
      </c>
      <c r="B639" s="120" t="s">
        <v>1762</v>
      </c>
      <c r="C639" s="120" t="s">
        <v>1763</v>
      </c>
      <c r="D639" s="121">
        <v>1</v>
      </c>
      <c r="E639" s="122">
        <v>0.1</v>
      </c>
      <c r="F639" s="121">
        <v>23</v>
      </c>
      <c r="G639" s="123">
        <v>0.4</v>
      </c>
      <c r="H639" s="122">
        <f t="shared" si="9"/>
        <v>0.92000000000000015</v>
      </c>
      <c r="I639" s="132" t="s">
        <v>714</v>
      </c>
    </row>
    <row r="640" spans="1:9" hidden="1">
      <c r="A640" s="119" t="s">
        <v>1002</v>
      </c>
      <c r="B640" s="120" t="s">
        <v>1764</v>
      </c>
      <c r="C640" s="120" t="s">
        <v>1765</v>
      </c>
      <c r="D640" s="121">
        <v>1</v>
      </c>
      <c r="E640" s="122">
        <v>0.1</v>
      </c>
      <c r="F640" s="121">
        <v>23</v>
      </c>
      <c r="G640" s="123">
        <v>0.4</v>
      </c>
      <c r="H640" s="122">
        <f t="shared" si="9"/>
        <v>0.92000000000000015</v>
      </c>
      <c r="I640" s="132" t="s">
        <v>714</v>
      </c>
    </row>
    <row r="641" spans="1:9" hidden="1">
      <c r="A641" s="119" t="s">
        <v>1002</v>
      </c>
      <c r="B641" s="120" t="s">
        <v>1766</v>
      </c>
      <c r="C641" s="120" t="s">
        <v>1767</v>
      </c>
      <c r="D641" s="121">
        <v>1</v>
      </c>
      <c r="E641" s="122">
        <v>0.1</v>
      </c>
      <c r="F641" s="121">
        <v>23</v>
      </c>
      <c r="G641" s="123">
        <v>0.4</v>
      </c>
      <c r="H641" s="122">
        <f t="shared" si="9"/>
        <v>0.92000000000000015</v>
      </c>
      <c r="I641" s="132" t="s">
        <v>714</v>
      </c>
    </row>
    <row r="642" spans="1:9" hidden="1">
      <c r="A642" s="119" t="s">
        <v>1002</v>
      </c>
      <c r="B642" s="120" t="s">
        <v>1768</v>
      </c>
      <c r="C642" s="120" t="s">
        <v>1769</v>
      </c>
      <c r="D642" s="121">
        <v>1</v>
      </c>
      <c r="E642" s="122">
        <v>0.1</v>
      </c>
      <c r="F642" s="121">
        <v>23</v>
      </c>
      <c r="G642" s="123">
        <v>0.4</v>
      </c>
      <c r="H642" s="122">
        <f t="shared" ref="H642:H705" si="10">D642*E642*F642*G642</f>
        <v>0.92000000000000015</v>
      </c>
      <c r="I642" s="132" t="s">
        <v>714</v>
      </c>
    </row>
    <row r="643" spans="1:9" hidden="1">
      <c r="A643" s="119" t="s">
        <v>1002</v>
      </c>
      <c r="B643" s="120" t="s">
        <v>1770</v>
      </c>
      <c r="C643" s="120" t="s">
        <v>75</v>
      </c>
      <c r="D643" s="121">
        <v>1</v>
      </c>
      <c r="E643" s="122">
        <v>0.1</v>
      </c>
      <c r="F643" s="121">
        <v>23</v>
      </c>
      <c r="G643" s="123">
        <v>0.4</v>
      </c>
      <c r="H643" s="122">
        <f t="shared" si="10"/>
        <v>0.92000000000000015</v>
      </c>
      <c r="I643" s="132" t="s">
        <v>714</v>
      </c>
    </row>
    <row r="644" spans="1:9" hidden="1">
      <c r="A644" s="119" t="s">
        <v>1002</v>
      </c>
      <c r="B644" s="120" t="s">
        <v>1771</v>
      </c>
      <c r="C644" s="120" t="s">
        <v>1772</v>
      </c>
      <c r="D644" s="121">
        <v>1</v>
      </c>
      <c r="E644" s="122">
        <v>0.1</v>
      </c>
      <c r="F644" s="121">
        <v>23</v>
      </c>
      <c r="G644" s="123">
        <v>0.4</v>
      </c>
      <c r="H644" s="122">
        <f t="shared" si="10"/>
        <v>0.92000000000000015</v>
      </c>
      <c r="I644" s="132" t="s">
        <v>714</v>
      </c>
    </row>
    <row r="645" spans="1:9" hidden="1">
      <c r="A645" s="119" t="s">
        <v>1002</v>
      </c>
      <c r="B645" s="120" t="s">
        <v>1773</v>
      </c>
      <c r="C645" s="120" t="s">
        <v>1774</v>
      </c>
      <c r="D645" s="121">
        <v>1</v>
      </c>
      <c r="E645" s="122">
        <v>0.1</v>
      </c>
      <c r="F645" s="121">
        <v>23</v>
      </c>
      <c r="G645" s="123">
        <v>0.4</v>
      </c>
      <c r="H645" s="122">
        <f t="shared" si="10"/>
        <v>0.92000000000000015</v>
      </c>
      <c r="I645" s="132" t="s">
        <v>714</v>
      </c>
    </row>
    <row r="646" spans="1:9" hidden="1">
      <c r="A646" s="119" t="s">
        <v>1002</v>
      </c>
      <c r="B646" s="120" t="s">
        <v>1775</v>
      </c>
      <c r="C646" s="120" t="s">
        <v>1776</v>
      </c>
      <c r="D646" s="121">
        <v>1</v>
      </c>
      <c r="E646" s="122">
        <v>0.1</v>
      </c>
      <c r="F646" s="121">
        <v>23</v>
      </c>
      <c r="G646" s="123">
        <v>0.4</v>
      </c>
      <c r="H646" s="122">
        <f t="shared" si="10"/>
        <v>0.92000000000000015</v>
      </c>
      <c r="I646" s="132" t="s">
        <v>714</v>
      </c>
    </row>
    <row r="647" spans="1:9" hidden="1">
      <c r="A647" s="119" t="s">
        <v>1002</v>
      </c>
      <c r="B647" s="120" t="s">
        <v>1777</v>
      </c>
      <c r="C647" s="120" t="s">
        <v>1778</v>
      </c>
      <c r="D647" s="121">
        <v>1</v>
      </c>
      <c r="E647" s="122">
        <v>0.1</v>
      </c>
      <c r="F647" s="121">
        <v>23</v>
      </c>
      <c r="G647" s="123">
        <v>0.4</v>
      </c>
      <c r="H647" s="122">
        <f t="shared" si="10"/>
        <v>0.92000000000000015</v>
      </c>
      <c r="I647" s="132" t="s">
        <v>714</v>
      </c>
    </row>
    <row r="648" spans="1:9" hidden="1">
      <c r="A648" s="119" t="s">
        <v>1002</v>
      </c>
      <c r="B648" s="120" t="s">
        <v>1779</v>
      </c>
      <c r="C648" s="120" t="s">
        <v>1780</v>
      </c>
      <c r="D648" s="121">
        <v>1</v>
      </c>
      <c r="E648" s="122">
        <v>0.1</v>
      </c>
      <c r="F648" s="121">
        <v>23</v>
      </c>
      <c r="G648" s="123">
        <v>0.4</v>
      </c>
      <c r="H648" s="122">
        <f t="shared" si="10"/>
        <v>0.92000000000000015</v>
      </c>
      <c r="I648" s="132" t="s">
        <v>714</v>
      </c>
    </row>
    <row r="649" spans="1:9" hidden="1">
      <c r="A649" s="119" t="s">
        <v>1002</v>
      </c>
      <c r="B649" s="120" t="s">
        <v>1781</v>
      </c>
      <c r="C649" s="120" t="s">
        <v>1782</v>
      </c>
      <c r="D649" s="121">
        <v>1</v>
      </c>
      <c r="E649" s="122">
        <v>0.1</v>
      </c>
      <c r="F649" s="121">
        <v>23</v>
      </c>
      <c r="G649" s="123">
        <v>0.4</v>
      </c>
      <c r="H649" s="122">
        <f t="shared" si="10"/>
        <v>0.92000000000000015</v>
      </c>
      <c r="I649" s="132" t="s">
        <v>714</v>
      </c>
    </row>
    <row r="650" spans="1:9" hidden="1">
      <c r="A650" s="119" t="s">
        <v>1002</v>
      </c>
      <c r="B650" s="120" t="s">
        <v>1783</v>
      </c>
      <c r="C650" s="120" t="s">
        <v>1784</v>
      </c>
      <c r="D650" s="121">
        <v>1</v>
      </c>
      <c r="E650" s="122">
        <v>0.1</v>
      </c>
      <c r="F650" s="121">
        <v>23</v>
      </c>
      <c r="G650" s="123">
        <v>0.4</v>
      </c>
      <c r="H650" s="122">
        <f t="shared" si="10"/>
        <v>0.92000000000000015</v>
      </c>
      <c r="I650" s="132" t="s">
        <v>714</v>
      </c>
    </row>
    <row r="651" spans="1:9" hidden="1">
      <c r="A651" s="119" t="s">
        <v>1002</v>
      </c>
      <c r="B651" s="120" t="s">
        <v>1785</v>
      </c>
      <c r="C651" s="120" t="s">
        <v>1786</v>
      </c>
      <c r="D651" s="121">
        <v>1</v>
      </c>
      <c r="E651" s="122">
        <v>0.1</v>
      </c>
      <c r="F651" s="121">
        <v>23</v>
      </c>
      <c r="G651" s="123">
        <v>0.4</v>
      </c>
      <c r="H651" s="122">
        <f t="shared" si="10"/>
        <v>0.92000000000000015</v>
      </c>
      <c r="I651" s="132" t="s">
        <v>714</v>
      </c>
    </row>
    <row r="652" spans="1:9" hidden="1">
      <c r="A652" s="119" t="s">
        <v>1002</v>
      </c>
      <c r="B652" s="120" t="s">
        <v>1787</v>
      </c>
      <c r="C652" s="120" t="s">
        <v>494</v>
      </c>
      <c r="D652" s="121">
        <v>1</v>
      </c>
      <c r="E652" s="122">
        <v>0.1</v>
      </c>
      <c r="F652" s="121">
        <v>23</v>
      </c>
      <c r="G652" s="123">
        <v>0.4</v>
      </c>
      <c r="H652" s="122">
        <f t="shared" si="10"/>
        <v>0.92000000000000015</v>
      </c>
      <c r="I652" s="132" t="s">
        <v>714</v>
      </c>
    </row>
    <row r="653" spans="1:9" hidden="1">
      <c r="A653" s="119" t="s">
        <v>1002</v>
      </c>
      <c r="B653" s="120" t="s">
        <v>1788</v>
      </c>
      <c r="C653" s="120" t="s">
        <v>495</v>
      </c>
      <c r="D653" s="121">
        <v>1</v>
      </c>
      <c r="E653" s="122">
        <v>0.1</v>
      </c>
      <c r="F653" s="121">
        <v>23</v>
      </c>
      <c r="G653" s="123">
        <v>0.4</v>
      </c>
      <c r="H653" s="122">
        <f t="shared" si="10"/>
        <v>0.92000000000000015</v>
      </c>
      <c r="I653" s="132" t="s">
        <v>714</v>
      </c>
    </row>
    <row r="654" spans="1:9" hidden="1">
      <c r="A654" s="119" t="s">
        <v>1002</v>
      </c>
      <c r="B654" s="120" t="s">
        <v>1789</v>
      </c>
      <c r="C654" s="120" t="s">
        <v>1790</v>
      </c>
      <c r="D654" s="121">
        <v>1</v>
      </c>
      <c r="E654" s="122">
        <v>0.1</v>
      </c>
      <c r="F654" s="121">
        <v>23</v>
      </c>
      <c r="G654" s="123">
        <v>0.4</v>
      </c>
      <c r="H654" s="122">
        <f t="shared" si="10"/>
        <v>0.92000000000000015</v>
      </c>
      <c r="I654" s="132" t="s">
        <v>714</v>
      </c>
    </row>
    <row r="655" spans="1:9" hidden="1">
      <c r="A655" s="119" t="s">
        <v>1002</v>
      </c>
      <c r="B655" s="120" t="s">
        <v>1791</v>
      </c>
      <c r="C655" s="120" t="s">
        <v>1792</v>
      </c>
      <c r="D655" s="121">
        <v>1</v>
      </c>
      <c r="E655" s="122">
        <v>0.1</v>
      </c>
      <c r="F655" s="121">
        <v>23</v>
      </c>
      <c r="G655" s="123">
        <v>0.4</v>
      </c>
      <c r="H655" s="122">
        <f t="shared" si="10"/>
        <v>0.92000000000000015</v>
      </c>
      <c r="I655" s="132" t="s">
        <v>714</v>
      </c>
    </row>
    <row r="656" spans="1:9" hidden="1">
      <c r="A656" s="119" t="s">
        <v>1002</v>
      </c>
      <c r="B656" s="120" t="s">
        <v>1793</v>
      </c>
      <c r="C656" s="120" t="s">
        <v>1794</v>
      </c>
      <c r="D656" s="121">
        <v>1</v>
      </c>
      <c r="E656" s="122">
        <v>0.1</v>
      </c>
      <c r="F656" s="121">
        <v>23</v>
      </c>
      <c r="G656" s="123">
        <v>0.4</v>
      </c>
      <c r="H656" s="122">
        <f t="shared" si="10"/>
        <v>0.92000000000000015</v>
      </c>
      <c r="I656" s="132" t="s">
        <v>714</v>
      </c>
    </row>
    <row r="657" spans="1:9" hidden="1">
      <c r="A657" s="119" t="s">
        <v>1002</v>
      </c>
      <c r="B657" s="120" t="s">
        <v>1795</v>
      </c>
      <c r="C657" s="120" t="s">
        <v>509</v>
      </c>
      <c r="D657" s="121">
        <v>1</v>
      </c>
      <c r="E657" s="122">
        <v>0.1</v>
      </c>
      <c r="F657" s="121">
        <v>23</v>
      </c>
      <c r="G657" s="123">
        <v>0.4</v>
      </c>
      <c r="H657" s="122">
        <f t="shared" si="10"/>
        <v>0.92000000000000015</v>
      </c>
      <c r="I657" s="132" t="s">
        <v>714</v>
      </c>
    </row>
    <row r="658" spans="1:9" hidden="1">
      <c r="A658" s="119" t="s">
        <v>1002</v>
      </c>
      <c r="B658" s="120" t="s">
        <v>1796</v>
      </c>
      <c r="C658" s="120" t="s">
        <v>1797</v>
      </c>
      <c r="D658" s="121">
        <v>1</v>
      </c>
      <c r="E658" s="122">
        <v>0.1</v>
      </c>
      <c r="F658" s="121">
        <v>23</v>
      </c>
      <c r="G658" s="123">
        <v>0.4</v>
      </c>
      <c r="H658" s="122">
        <f t="shared" si="10"/>
        <v>0.92000000000000015</v>
      </c>
      <c r="I658" s="132" t="s">
        <v>714</v>
      </c>
    </row>
    <row r="659" spans="1:9" hidden="1">
      <c r="A659" s="119" t="s">
        <v>1002</v>
      </c>
      <c r="B659" s="120" t="s">
        <v>1798</v>
      </c>
      <c r="C659" s="120" t="s">
        <v>1799</v>
      </c>
      <c r="D659" s="121">
        <v>1</v>
      </c>
      <c r="E659" s="122">
        <v>0.1</v>
      </c>
      <c r="F659" s="121">
        <v>23</v>
      </c>
      <c r="G659" s="123">
        <v>0.4</v>
      </c>
      <c r="H659" s="122">
        <f t="shared" si="10"/>
        <v>0.92000000000000015</v>
      </c>
      <c r="I659" s="132" t="s">
        <v>714</v>
      </c>
    </row>
    <row r="660" spans="1:9" hidden="1">
      <c r="A660" s="119" t="s">
        <v>1002</v>
      </c>
      <c r="B660" s="120" t="s">
        <v>1800</v>
      </c>
      <c r="C660" s="120" t="s">
        <v>1801</v>
      </c>
      <c r="D660" s="121">
        <v>1</v>
      </c>
      <c r="E660" s="122">
        <v>0.1</v>
      </c>
      <c r="F660" s="121">
        <v>23</v>
      </c>
      <c r="G660" s="123">
        <v>0.4</v>
      </c>
      <c r="H660" s="122">
        <f t="shared" si="10"/>
        <v>0.92000000000000015</v>
      </c>
      <c r="I660" s="132" t="s">
        <v>714</v>
      </c>
    </row>
    <row r="661" spans="1:9" hidden="1">
      <c r="A661" s="119" t="s">
        <v>1002</v>
      </c>
      <c r="B661" s="120" t="s">
        <v>1802</v>
      </c>
      <c r="C661" s="120" t="s">
        <v>1803</v>
      </c>
      <c r="D661" s="121">
        <v>1</v>
      </c>
      <c r="E661" s="122">
        <v>0.1</v>
      </c>
      <c r="F661" s="121">
        <v>23</v>
      </c>
      <c r="G661" s="123">
        <v>0.4</v>
      </c>
      <c r="H661" s="122">
        <f t="shared" si="10"/>
        <v>0.92000000000000015</v>
      </c>
      <c r="I661" s="132" t="s">
        <v>714</v>
      </c>
    </row>
    <row r="662" spans="1:9" hidden="1">
      <c r="A662" s="119" t="s">
        <v>1002</v>
      </c>
      <c r="B662" s="120" t="s">
        <v>1804</v>
      </c>
      <c r="C662" s="120" t="s">
        <v>1805</v>
      </c>
      <c r="D662" s="121">
        <v>1</v>
      </c>
      <c r="E662" s="122">
        <v>0.1</v>
      </c>
      <c r="F662" s="121">
        <v>23</v>
      </c>
      <c r="G662" s="123">
        <v>0.4</v>
      </c>
      <c r="H662" s="122">
        <f t="shared" si="10"/>
        <v>0.92000000000000015</v>
      </c>
      <c r="I662" s="132" t="s">
        <v>714</v>
      </c>
    </row>
    <row r="663" spans="1:9" hidden="1">
      <c r="A663" s="119" t="s">
        <v>1002</v>
      </c>
      <c r="B663" s="120" t="s">
        <v>1806</v>
      </c>
      <c r="C663" s="120" t="s">
        <v>1807</v>
      </c>
      <c r="D663" s="121">
        <v>1</v>
      </c>
      <c r="E663" s="122">
        <v>0.1</v>
      </c>
      <c r="F663" s="121">
        <v>23</v>
      </c>
      <c r="G663" s="123">
        <v>0.4</v>
      </c>
      <c r="H663" s="122">
        <f t="shared" si="10"/>
        <v>0.92000000000000015</v>
      </c>
      <c r="I663" s="132" t="s">
        <v>714</v>
      </c>
    </row>
    <row r="664" spans="1:9" hidden="1">
      <c r="A664" s="119" t="s">
        <v>1002</v>
      </c>
      <c r="B664" s="120" t="s">
        <v>1808</v>
      </c>
      <c r="C664" s="120" t="s">
        <v>1809</v>
      </c>
      <c r="D664" s="121">
        <v>1</v>
      </c>
      <c r="E664" s="122">
        <v>0.1</v>
      </c>
      <c r="F664" s="121">
        <v>23</v>
      </c>
      <c r="G664" s="123">
        <v>0.4</v>
      </c>
      <c r="H664" s="122">
        <f t="shared" si="10"/>
        <v>0.92000000000000015</v>
      </c>
      <c r="I664" s="132" t="s">
        <v>714</v>
      </c>
    </row>
    <row r="665" spans="1:9" hidden="1">
      <c r="A665" s="119" t="s">
        <v>1002</v>
      </c>
      <c r="B665" s="120" t="s">
        <v>1810</v>
      </c>
      <c r="C665" s="120" t="s">
        <v>1811</v>
      </c>
      <c r="D665" s="121">
        <v>1</v>
      </c>
      <c r="E665" s="122">
        <v>0.1</v>
      </c>
      <c r="F665" s="121">
        <v>23</v>
      </c>
      <c r="G665" s="123">
        <v>0.4</v>
      </c>
      <c r="H665" s="122">
        <f t="shared" si="10"/>
        <v>0.92000000000000015</v>
      </c>
      <c r="I665" s="132" t="s">
        <v>714</v>
      </c>
    </row>
    <row r="666" spans="1:9" hidden="1">
      <c r="A666" s="119" t="s">
        <v>1002</v>
      </c>
      <c r="B666" s="120" t="s">
        <v>1812</v>
      </c>
      <c r="C666" s="120" t="s">
        <v>1813</v>
      </c>
      <c r="D666" s="121">
        <v>1</v>
      </c>
      <c r="E666" s="122">
        <v>0.1</v>
      </c>
      <c r="F666" s="121">
        <v>23</v>
      </c>
      <c r="G666" s="123">
        <v>0.4</v>
      </c>
      <c r="H666" s="122">
        <f t="shared" si="10"/>
        <v>0.92000000000000015</v>
      </c>
      <c r="I666" s="132" t="s">
        <v>714</v>
      </c>
    </row>
    <row r="667" spans="1:9" hidden="1">
      <c r="A667" s="119" t="s">
        <v>1002</v>
      </c>
      <c r="B667" s="120" t="s">
        <v>1814</v>
      </c>
      <c r="C667" s="120" t="s">
        <v>1815</v>
      </c>
      <c r="D667" s="121">
        <v>1</v>
      </c>
      <c r="E667" s="122">
        <v>0.1</v>
      </c>
      <c r="F667" s="121">
        <v>23</v>
      </c>
      <c r="G667" s="123">
        <v>0.4</v>
      </c>
      <c r="H667" s="122">
        <f t="shared" si="10"/>
        <v>0.92000000000000015</v>
      </c>
      <c r="I667" s="132" t="s">
        <v>714</v>
      </c>
    </row>
    <row r="668" spans="1:9" hidden="1">
      <c r="A668" s="119" t="s">
        <v>1002</v>
      </c>
      <c r="B668" s="120" t="s">
        <v>1816</v>
      </c>
      <c r="C668" s="120" t="s">
        <v>525</v>
      </c>
      <c r="D668" s="121">
        <v>1</v>
      </c>
      <c r="E668" s="122">
        <v>0.1</v>
      </c>
      <c r="F668" s="121">
        <v>23</v>
      </c>
      <c r="G668" s="123">
        <v>0.4</v>
      </c>
      <c r="H668" s="122">
        <f t="shared" si="10"/>
        <v>0.92000000000000015</v>
      </c>
      <c r="I668" s="132" t="s">
        <v>714</v>
      </c>
    </row>
    <row r="669" spans="1:9" hidden="1">
      <c r="A669" s="119" t="s">
        <v>1002</v>
      </c>
      <c r="B669" s="120" t="s">
        <v>1817</v>
      </c>
      <c r="C669" s="120" t="s">
        <v>1818</v>
      </c>
      <c r="D669" s="121">
        <v>1</v>
      </c>
      <c r="E669" s="122">
        <v>0.1</v>
      </c>
      <c r="F669" s="121">
        <v>23</v>
      </c>
      <c r="G669" s="123">
        <v>0.4</v>
      </c>
      <c r="H669" s="122">
        <f t="shared" si="10"/>
        <v>0.92000000000000015</v>
      </c>
      <c r="I669" s="132" t="s">
        <v>714</v>
      </c>
    </row>
    <row r="670" spans="1:9" hidden="1">
      <c r="A670" s="119" t="s">
        <v>1002</v>
      </c>
      <c r="B670" s="120" t="s">
        <v>1819</v>
      </c>
      <c r="C670" s="120" t="s">
        <v>529</v>
      </c>
      <c r="D670" s="121">
        <v>1</v>
      </c>
      <c r="E670" s="122">
        <v>0.1</v>
      </c>
      <c r="F670" s="121">
        <v>23</v>
      </c>
      <c r="G670" s="123">
        <v>0.4</v>
      </c>
      <c r="H670" s="122">
        <f t="shared" si="10"/>
        <v>0.92000000000000015</v>
      </c>
      <c r="I670" s="132" t="s">
        <v>714</v>
      </c>
    </row>
    <row r="671" spans="1:9" hidden="1">
      <c r="A671" s="119" t="s">
        <v>1002</v>
      </c>
      <c r="B671" s="120" t="s">
        <v>1820</v>
      </c>
      <c r="C671" s="120" t="s">
        <v>1821</v>
      </c>
      <c r="D671" s="121">
        <v>1</v>
      </c>
      <c r="E671" s="122">
        <v>0.1</v>
      </c>
      <c r="F671" s="121">
        <v>23</v>
      </c>
      <c r="G671" s="123">
        <v>0.4</v>
      </c>
      <c r="H671" s="122">
        <f t="shared" si="10"/>
        <v>0.92000000000000015</v>
      </c>
      <c r="I671" s="132" t="s">
        <v>714</v>
      </c>
    </row>
    <row r="672" spans="1:9" hidden="1">
      <c r="A672" s="119" t="s">
        <v>1002</v>
      </c>
      <c r="B672" s="120" t="s">
        <v>1822</v>
      </c>
      <c r="C672" s="120" t="s">
        <v>1823</v>
      </c>
      <c r="D672" s="121">
        <v>1</v>
      </c>
      <c r="E672" s="122">
        <v>0.1</v>
      </c>
      <c r="F672" s="121">
        <v>23</v>
      </c>
      <c r="G672" s="123">
        <v>0.4</v>
      </c>
      <c r="H672" s="122">
        <f t="shared" si="10"/>
        <v>0.92000000000000015</v>
      </c>
      <c r="I672" s="132" t="s">
        <v>714</v>
      </c>
    </row>
    <row r="673" spans="1:9" hidden="1">
      <c r="A673" s="119" t="s">
        <v>1002</v>
      </c>
      <c r="B673" s="120" t="s">
        <v>1824</v>
      </c>
      <c r="C673" s="120" t="s">
        <v>1825</v>
      </c>
      <c r="D673" s="121">
        <v>1</v>
      </c>
      <c r="E673" s="122">
        <v>0.1</v>
      </c>
      <c r="F673" s="121">
        <v>23</v>
      </c>
      <c r="G673" s="123">
        <v>0.4</v>
      </c>
      <c r="H673" s="122">
        <f t="shared" si="10"/>
        <v>0.92000000000000015</v>
      </c>
      <c r="I673" s="132" t="s">
        <v>714</v>
      </c>
    </row>
    <row r="674" spans="1:9" hidden="1">
      <c r="A674" s="119" t="s">
        <v>1002</v>
      </c>
      <c r="B674" s="120" t="s">
        <v>1826</v>
      </c>
      <c r="C674" s="120" t="s">
        <v>1827</v>
      </c>
      <c r="D674" s="121">
        <v>1</v>
      </c>
      <c r="E674" s="122">
        <v>0.1</v>
      </c>
      <c r="F674" s="121">
        <v>23</v>
      </c>
      <c r="G674" s="123">
        <v>0.4</v>
      </c>
      <c r="H674" s="122">
        <f t="shared" si="10"/>
        <v>0.92000000000000015</v>
      </c>
      <c r="I674" s="132" t="s">
        <v>714</v>
      </c>
    </row>
    <row r="675" spans="1:9" hidden="1">
      <c r="A675" s="119" t="s">
        <v>1002</v>
      </c>
      <c r="B675" s="120" t="s">
        <v>1828</v>
      </c>
      <c r="C675" s="120" t="s">
        <v>534</v>
      </c>
      <c r="D675" s="121">
        <v>1</v>
      </c>
      <c r="E675" s="122">
        <v>0.1</v>
      </c>
      <c r="F675" s="121">
        <v>23</v>
      </c>
      <c r="G675" s="123">
        <v>0.4</v>
      </c>
      <c r="H675" s="122">
        <f t="shared" si="10"/>
        <v>0.92000000000000015</v>
      </c>
      <c r="I675" s="132" t="s">
        <v>714</v>
      </c>
    </row>
    <row r="676" spans="1:9" hidden="1">
      <c r="A676" s="119" t="s">
        <v>638</v>
      </c>
      <c r="B676" s="120" t="s">
        <v>1829</v>
      </c>
      <c r="C676" s="120" t="s">
        <v>109</v>
      </c>
      <c r="D676" s="121">
        <v>13</v>
      </c>
      <c r="E676" s="122">
        <v>18</v>
      </c>
      <c r="F676" s="121">
        <v>23</v>
      </c>
      <c r="G676" s="123">
        <v>0.4</v>
      </c>
      <c r="H676" s="122">
        <f t="shared" si="10"/>
        <v>2152.8000000000002</v>
      </c>
      <c r="I676" s="132" t="s">
        <v>714</v>
      </c>
    </row>
    <row r="677" spans="1:9" hidden="1">
      <c r="A677" s="119" t="s">
        <v>638</v>
      </c>
      <c r="B677" s="120" t="s">
        <v>1830</v>
      </c>
      <c r="C677" s="120" t="s">
        <v>80</v>
      </c>
      <c r="D677" s="121">
        <v>14</v>
      </c>
      <c r="E677" s="122">
        <v>15.96</v>
      </c>
      <c r="F677" s="121">
        <v>23</v>
      </c>
      <c r="G677" s="123">
        <v>0.4</v>
      </c>
      <c r="H677" s="122">
        <f t="shared" si="10"/>
        <v>2055.6480000000001</v>
      </c>
      <c r="I677" s="132" t="s">
        <v>714</v>
      </c>
    </row>
    <row r="678" spans="1:9" hidden="1">
      <c r="A678" s="119" t="s">
        <v>638</v>
      </c>
      <c r="B678" s="120" t="s">
        <v>1831</v>
      </c>
      <c r="C678" s="120" t="s">
        <v>1832</v>
      </c>
      <c r="D678" s="121">
        <v>10</v>
      </c>
      <c r="E678" s="122">
        <v>15.96</v>
      </c>
      <c r="F678" s="121">
        <v>23</v>
      </c>
      <c r="G678" s="123">
        <v>0.4</v>
      </c>
      <c r="H678" s="122">
        <f t="shared" si="10"/>
        <v>1468.3200000000004</v>
      </c>
      <c r="I678" s="132" t="s">
        <v>714</v>
      </c>
    </row>
    <row r="679" spans="1:9" hidden="1">
      <c r="A679" s="119" t="s">
        <v>638</v>
      </c>
      <c r="B679" s="120" t="s">
        <v>1833</v>
      </c>
      <c r="C679" s="120" t="s">
        <v>309</v>
      </c>
      <c r="D679" s="121">
        <v>13</v>
      </c>
      <c r="E679" s="122">
        <v>10</v>
      </c>
      <c r="F679" s="121">
        <v>23</v>
      </c>
      <c r="G679" s="123">
        <v>0.4</v>
      </c>
      <c r="H679" s="122">
        <f t="shared" si="10"/>
        <v>1196</v>
      </c>
      <c r="I679" s="132" t="s">
        <v>714</v>
      </c>
    </row>
    <row r="680" spans="1:9" hidden="1">
      <c r="A680" s="119" t="s">
        <v>638</v>
      </c>
      <c r="B680" s="120" t="s">
        <v>1834</v>
      </c>
      <c r="C680" s="120" t="s">
        <v>89</v>
      </c>
      <c r="D680" s="121">
        <v>52</v>
      </c>
      <c r="E680" s="122">
        <v>2.5</v>
      </c>
      <c r="F680" s="121">
        <v>23</v>
      </c>
      <c r="G680" s="123">
        <v>0.4</v>
      </c>
      <c r="H680" s="122">
        <f t="shared" si="10"/>
        <v>1196</v>
      </c>
      <c r="I680" s="132" t="s">
        <v>714</v>
      </c>
    </row>
    <row r="681" spans="1:9" hidden="1">
      <c r="A681" s="119" t="s">
        <v>638</v>
      </c>
      <c r="B681" s="120" t="s">
        <v>1835</v>
      </c>
      <c r="C681" s="120" t="s">
        <v>24</v>
      </c>
      <c r="D681" s="121">
        <v>1</v>
      </c>
      <c r="E681" s="122">
        <v>93</v>
      </c>
      <c r="F681" s="121">
        <v>23</v>
      </c>
      <c r="G681" s="123">
        <v>0.4</v>
      </c>
      <c r="H681" s="122">
        <f t="shared" si="10"/>
        <v>855.6</v>
      </c>
      <c r="I681" s="132" t="s">
        <v>714</v>
      </c>
    </row>
    <row r="682" spans="1:9" hidden="1">
      <c r="A682" s="119" t="s">
        <v>638</v>
      </c>
      <c r="B682" s="120" t="s">
        <v>1836</v>
      </c>
      <c r="C682" s="120" t="s">
        <v>25</v>
      </c>
      <c r="D682" s="121">
        <v>35</v>
      </c>
      <c r="E682" s="122">
        <v>2.5</v>
      </c>
      <c r="F682" s="121">
        <v>23</v>
      </c>
      <c r="G682" s="123">
        <v>0.4</v>
      </c>
      <c r="H682" s="122">
        <f t="shared" si="10"/>
        <v>805</v>
      </c>
      <c r="I682" s="132" t="s">
        <v>714</v>
      </c>
    </row>
    <row r="683" spans="1:9" hidden="1">
      <c r="A683" s="119" t="s">
        <v>638</v>
      </c>
      <c r="B683" s="120" t="s">
        <v>1837</v>
      </c>
      <c r="C683" s="120" t="s">
        <v>62</v>
      </c>
      <c r="D683" s="121">
        <v>4</v>
      </c>
      <c r="E683" s="122">
        <v>21.39</v>
      </c>
      <c r="F683" s="121">
        <v>23</v>
      </c>
      <c r="G683" s="123">
        <v>0.4</v>
      </c>
      <c r="H683" s="122">
        <f t="shared" si="10"/>
        <v>787.15200000000004</v>
      </c>
      <c r="I683" s="132" t="s">
        <v>714</v>
      </c>
    </row>
    <row r="684" spans="1:9" hidden="1">
      <c r="A684" s="119" t="s">
        <v>638</v>
      </c>
      <c r="B684" s="120" t="s">
        <v>1838</v>
      </c>
      <c r="C684" s="120" t="s">
        <v>1839</v>
      </c>
      <c r="D684" s="121">
        <v>1</v>
      </c>
      <c r="E684" s="122">
        <v>81</v>
      </c>
      <c r="F684" s="121">
        <v>23</v>
      </c>
      <c r="G684" s="123">
        <v>0.4</v>
      </c>
      <c r="H684" s="122">
        <f t="shared" si="10"/>
        <v>745.2</v>
      </c>
      <c r="I684" s="132" t="s">
        <v>714</v>
      </c>
    </row>
    <row r="685" spans="1:9" hidden="1">
      <c r="A685" s="119" t="s">
        <v>638</v>
      </c>
      <c r="B685" s="120" t="s">
        <v>1840</v>
      </c>
      <c r="C685" s="120" t="s">
        <v>65</v>
      </c>
      <c r="D685" s="121">
        <v>15</v>
      </c>
      <c r="E685" s="122">
        <v>5</v>
      </c>
      <c r="F685" s="121">
        <v>23</v>
      </c>
      <c r="G685" s="123">
        <v>0.4</v>
      </c>
      <c r="H685" s="122">
        <f t="shared" si="10"/>
        <v>690</v>
      </c>
      <c r="I685" s="132" t="s">
        <v>714</v>
      </c>
    </row>
    <row r="686" spans="1:9" hidden="1">
      <c r="A686" s="119" t="s">
        <v>638</v>
      </c>
      <c r="B686" s="120" t="s">
        <v>1841</v>
      </c>
      <c r="C686" s="120" t="s">
        <v>90</v>
      </c>
      <c r="D686" s="121">
        <v>29</v>
      </c>
      <c r="E686" s="122">
        <v>2.5</v>
      </c>
      <c r="F686" s="121">
        <v>23</v>
      </c>
      <c r="G686" s="123">
        <v>0.4</v>
      </c>
      <c r="H686" s="122">
        <f t="shared" si="10"/>
        <v>667</v>
      </c>
      <c r="I686" s="132" t="s">
        <v>714</v>
      </c>
    </row>
    <row r="687" spans="1:9" hidden="1">
      <c r="A687" s="119" t="s">
        <v>638</v>
      </c>
      <c r="B687" s="120" t="s">
        <v>1842</v>
      </c>
      <c r="C687" s="120" t="s">
        <v>114</v>
      </c>
      <c r="D687" s="121">
        <v>13</v>
      </c>
      <c r="E687" s="122">
        <v>5</v>
      </c>
      <c r="F687" s="121">
        <v>23</v>
      </c>
      <c r="G687" s="123">
        <v>0.4</v>
      </c>
      <c r="H687" s="122">
        <f t="shared" si="10"/>
        <v>598</v>
      </c>
      <c r="I687" s="132" t="s">
        <v>714</v>
      </c>
    </row>
    <row r="688" spans="1:9" hidden="1">
      <c r="A688" s="119" t="s">
        <v>638</v>
      </c>
      <c r="B688" s="120" t="s">
        <v>1843</v>
      </c>
      <c r="C688" s="120" t="s">
        <v>82</v>
      </c>
      <c r="D688" s="121">
        <v>36</v>
      </c>
      <c r="E688" s="122">
        <v>1.5</v>
      </c>
      <c r="F688" s="121">
        <v>23</v>
      </c>
      <c r="G688" s="123">
        <v>0.4</v>
      </c>
      <c r="H688" s="122">
        <f t="shared" si="10"/>
        <v>496.8</v>
      </c>
      <c r="I688" s="132" t="s">
        <v>714</v>
      </c>
    </row>
    <row r="689" spans="1:9" hidden="1">
      <c r="A689" s="119" t="s">
        <v>638</v>
      </c>
      <c r="B689" s="120" t="s">
        <v>1844</v>
      </c>
      <c r="C689" s="120" t="s">
        <v>81</v>
      </c>
      <c r="D689" s="121">
        <v>15</v>
      </c>
      <c r="E689" s="122">
        <v>2.5</v>
      </c>
      <c r="F689" s="121">
        <v>23</v>
      </c>
      <c r="G689" s="123">
        <v>0.4</v>
      </c>
      <c r="H689" s="122">
        <f t="shared" si="10"/>
        <v>345</v>
      </c>
      <c r="I689" s="132" t="s">
        <v>714</v>
      </c>
    </row>
    <row r="690" spans="1:9" hidden="1">
      <c r="A690" s="119" t="s">
        <v>638</v>
      </c>
      <c r="B690" s="120" t="s">
        <v>1845</v>
      </c>
      <c r="C690" s="120" t="s">
        <v>26</v>
      </c>
      <c r="D690" s="121">
        <v>23</v>
      </c>
      <c r="E690" s="122">
        <v>1.5</v>
      </c>
      <c r="F690" s="121">
        <v>23</v>
      </c>
      <c r="G690" s="123">
        <v>0.4</v>
      </c>
      <c r="H690" s="122">
        <f t="shared" si="10"/>
        <v>317.40000000000003</v>
      </c>
      <c r="I690" s="132" t="s">
        <v>714</v>
      </c>
    </row>
    <row r="691" spans="1:9" hidden="1">
      <c r="A691" s="119" t="s">
        <v>638</v>
      </c>
      <c r="B691" s="120" t="s">
        <v>1846</v>
      </c>
      <c r="C691" s="120" t="s">
        <v>536</v>
      </c>
      <c r="D691" s="121">
        <v>20</v>
      </c>
      <c r="E691" s="122">
        <v>1.5</v>
      </c>
      <c r="F691" s="121">
        <v>23</v>
      </c>
      <c r="G691" s="123">
        <v>0.4</v>
      </c>
      <c r="H691" s="122">
        <f t="shared" si="10"/>
        <v>276</v>
      </c>
      <c r="I691" s="132" t="s">
        <v>714</v>
      </c>
    </row>
    <row r="692" spans="1:9" hidden="1">
      <c r="A692" s="119" t="s">
        <v>638</v>
      </c>
      <c r="B692" s="120" t="s">
        <v>1847</v>
      </c>
      <c r="C692" s="120" t="s">
        <v>1848</v>
      </c>
      <c r="D692" s="121">
        <v>9</v>
      </c>
      <c r="E692" s="122">
        <v>2.5</v>
      </c>
      <c r="F692" s="121">
        <v>23</v>
      </c>
      <c r="G692" s="123">
        <v>0.4</v>
      </c>
      <c r="H692" s="122">
        <f t="shared" si="10"/>
        <v>207</v>
      </c>
      <c r="I692" s="132" t="s">
        <v>714</v>
      </c>
    </row>
    <row r="693" spans="1:9" hidden="1">
      <c r="A693" s="119" t="s">
        <v>638</v>
      </c>
      <c r="B693" s="120" t="s">
        <v>1849</v>
      </c>
      <c r="C693" s="120" t="s">
        <v>537</v>
      </c>
      <c r="D693" s="121">
        <v>19</v>
      </c>
      <c r="E693" s="122">
        <v>1</v>
      </c>
      <c r="F693" s="121">
        <v>23</v>
      </c>
      <c r="G693" s="123">
        <v>0.4</v>
      </c>
      <c r="H693" s="122">
        <f t="shared" si="10"/>
        <v>174.8</v>
      </c>
      <c r="I693" s="132" t="s">
        <v>714</v>
      </c>
    </row>
    <row r="694" spans="1:9" hidden="1">
      <c r="A694" s="119" t="s">
        <v>638</v>
      </c>
      <c r="B694" s="120" t="s">
        <v>1850</v>
      </c>
      <c r="C694" s="120" t="s">
        <v>88</v>
      </c>
      <c r="D694" s="121">
        <v>2</v>
      </c>
      <c r="E694" s="122">
        <v>8.5</v>
      </c>
      <c r="F694" s="121">
        <v>23</v>
      </c>
      <c r="G694" s="123">
        <v>0.4</v>
      </c>
      <c r="H694" s="122">
        <f t="shared" si="10"/>
        <v>156.4</v>
      </c>
      <c r="I694" s="132" t="s">
        <v>714</v>
      </c>
    </row>
    <row r="695" spans="1:9" hidden="1">
      <c r="A695" s="119" t="s">
        <v>638</v>
      </c>
      <c r="B695" s="120" t="s">
        <v>1851</v>
      </c>
      <c r="C695" s="120" t="s">
        <v>1852</v>
      </c>
      <c r="D695" s="121">
        <v>10</v>
      </c>
      <c r="E695" s="122">
        <v>1</v>
      </c>
      <c r="F695" s="121">
        <v>23</v>
      </c>
      <c r="G695" s="123">
        <v>0.4</v>
      </c>
      <c r="H695" s="122">
        <f t="shared" si="10"/>
        <v>92</v>
      </c>
      <c r="I695" s="132" t="s">
        <v>714</v>
      </c>
    </row>
    <row r="696" spans="1:9" hidden="1">
      <c r="A696" s="119" t="s">
        <v>638</v>
      </c>
      <c r="B696" s="120" t="s">
        <v>1853</v>
      </c>
      <c r="C696" s="120" t="s">
        <v>70</v>
      </c>
      <c r="D696" s="121">
        <v>7</v>
      </c>
      <c r="E696" s="122">
        <v>1</v>
      </c>
      <c r="F696" s="121">
        <v>23</v>
      </c>
      <c r="G696" s="123">
        <v>0.4</v>
      </c>
      <c r="H696" s="122">
        <f t="shared" si="10"/>
        <v>64.400000000000006</v>
      </c>
      <c r="I696" s="132" t="s">
        <v>714</v>
      </c>
    </row>
    <row r="697" spans="1:9" hidden="1">
      <c r="A697" s="119" t="s">
        <v>638</v>
      </c>
      <c r="B697" s="120" t="s">
        <v>1854</v>
      </c>
      <c r="C697" s="120" t="s">
        <v>1855</v>
      </c>
      <c r="D697" s="121">
        <v>5</v>
      </c>
      <c r="E697" s="122">
        <v>1</v>
      </c>
      <c r="F697" s="121">
        <v>23</v>
      </c>
      <c r="G697" s="123">
        <v>0.4</v>
      </c>
      <c r="H697" s="122">
        <f t="shared" si="10"/>
        <v>46</v>
      </c>
      <c r="I697" s="132" t="s">
        <v>714</v>
      </c>
    </row>
    <row r="698" spans="1:9" hidden="1">
      <c r="A698" s="119" t="s">
        <v>638</v>
      </c>
      <c r="B698" s="120" t="s">
        <v>916</v>
      </c>
      <c r="C698" s="120" t="s">
        <v>23</v>
      </c>
      <c r="D698" s="121">
        <v>1</v>
      </c>
      <c r="E698" s="122">
        <v>5</v>
      </c>
      <c r="F698" s="121">
        <v>23</v>
      </c>
      <c r="G698" s="123">
        <v>0.4</v>
      </c>
      <c r="H698" s="122">
        <f t="shared" si="10"/>
        <v>46</v>
      </c>
      <c r="I698" s="132" t="s">
        <v>714</v>
      </c>
    </row>
    <row r="699" spans="1:9" hidden="1">
      <c r="A699" s="119" t="s">
        <v>638</v>
      </c>
      <c r="B699" s="120" t="s">
        <v>1856</v>
      </c>
      <c r="C699" s="120" t="s">
        <v>538</v>
      </c>
      <c r="D699" s="121">
        <v>5</v>
      </c>
      <c r="E699" s="122">
        <v>1</v>
      </c>
      <c r="F699" s="121">
        <v>23</v>
      </c>
      <c r="G699" s="123">
        <v>0.4</v>
      </c>
      <c r="H699" s="122">
        <f t="shared" si="10"/>
        <v>46</v>
      </c>
      <c r="I699" s="132" t="s">
        <v>714</v>
      </c>
    </row>
    <row r="700" spans="1:9" hidden="1">
      <c r="A700" s="119" t="s">
        <v>638</v>
      </c>
      <c r="B700" s="120" t="s">
        <v>1857</v>
      </c>
      <c r="C700" s="120" t="s">
        <v>311</v>
      </c>
      <c r="D700" s="121">
        <v>2</v>
      </c>
      <c r="E700" s="122">
        <v>1</v>
      </c>
      <c r="F700" s="121">
        <v>23</v>
      </c>
      <c r="G700" s="123">
        <v>0.4</v>
      </c>
      <c r="H700" s="122">
        <f t="shared" si="10"/>
        <v>18.400000000000002</v>
      </c>
      <c r="I700" s="132" t="s">
        <v>714</v>
      </c>
    </row>
    <row r="701" spans="1:9" hidden="1">
      <c r="A701" s="119" t="s">
        <v>638</v>
      </c>
      <c r="B701" s="120" t="s">
        <v>1858</v>
      </c>
      <c r="C701" s="120" t="s">
        <v>1859</v>
      </c>
      <c r="D701" s="121">
        <v>2</v>
      </c>
      <c r="E701" s="122">
        <v>1</v>
      </c>
      <c r="F701" s="121">
        <v>23</v>
      </c>
      <c r="G701" s="123">
        <v>0.4</v>
      </c>
      <c r="H701" s="122">
        <f t="shared" si="10"/>
        <v>18.400000000000002</v>
      </c>
      <c r="I701" s="132" t="s">
        <v>714</v>
      </c>
    </row>
    <row r="702" spans="1:9" hidden="1">
      <c r="A702" s="119" t="s">
        <v>638</v>
      </c>
      <c r="B702" s="120" t="s">
        <v>1860</v>
      </c>
      <c r="C702" s="120" t="s">
        <v>1861</v>
      </c>
      <c r="D702" s="121">
        <v>1</v>
      </c>
      <c r="E702" s="122">
        <v>1.5</v>
      </c>
      <c r="F702" s="121">
        <v>23</v>
      </c>
      <c r="G702" s="123">
        <v>0.4</v>
      </c>
      <c r="H702" s="122">
        <f t="shared" si="10"/>
        <v>13.8</v>
      </c>
      <c r="I702" s="132" t="s">
        <v>714</v>
      </c>
    </row>
    <row r="703" spans="1:9" hidden="1">
      <c r="A703" s="119" t="s">
        <v>638</v>
      </c>
      <c r="B703" s="120" t="s">
        <v>1862</v>
      </c>
      <c r="C703" s="120" t="s">
        <v>182</v>
      </c>
      <c r="D703" s="121">
        <v>1</v>
      </c>
      <c r="E703" s="122">
        <v>1</v>
      </c>
      <c r="F703" s="121">
        <v>23</v>
      </c>
      <c r="G703" s="123">
        <v>0.4</v>
      </c>
      <c r="H703" s="122">
        <f t="shared" si="10"/>
        <v>9.2000000000000011</v>
      </c>
      <c r="I703" s="132" t="s">
        <v>714</v>
      </c>
    </row>
    <row r="704" spans="1:9" hidden="1">
      <c r="A704" s="119" t="s">
        <v>638</v>
      </c>
      <c r="B704" s="120" t="s">
        <v>1863</v>
      </c>
      <c r="C704" s="120" t="s">
        <v>1864</v>
      </c>
      <c r="D704" s="121">
        <v>1</v>
      </c>
      <c r="E704" s="122">
        <v>1</v>
      </c>
      <c r="F704" s="121">
        <v>23</v>
      </c>
      <c r="G704" s="123">
        <v>0.4</v>
      </c>
      <c r="H704" s="122">
        <f t="shared" si="10"/>
        <v>9.2000000000000011</v>
      </c>
      <c r="I704" s="132" t="s">
        <v>714</v>
      </c>
    </row>
    <row r="705" spans="1:9" hidden="1">
      <c r="A705" s="119" t="s">
        <v>638</v>
      </c>
      <c r="B705" s="120" t="s">
        <v>1865</v>
      </c>
      <c r="C705" s="120" t="s">
        <v>1866</v>
      </c>
      <c r="D705" s="121">
        <v>1</v>
      </c>
      <c r="E705" s="122">
        <v>1</v>
      </c>
      <c r="F705" s="121">
        <v>23</v>
      </c>
      <c r="G705" s="123">
        <v>0.4</v>
      </c>
      <c r="H705" s="122">
        <f t="shared" si="10"/>
        <v>9.2000000000000011</v>
      </c>
      <c r="I705" s="132" t="s">
        <v>714</v>
      </c>
    </row>
    <row r="706" spans="1:9" hidden="1">
      <c r="A706" s="125" t="s">
        <v>638</v>
      </c>
      <c r="B706" s="126" t="s">
        <v>1867</v>
      </c>
      <c r="C706" s="126" t="s">
        <v>1868</v>
      </c>
      <c r="D706" s="127">
        <v>1</v>
      </c>
      <c r="E706" s="128">
        <v>0.1</v>
      </c>
      <c r="F706" s="127">
        <v>23</v>
      </c>
      <c r="G706" s="129">
        <v>0.4</v>
      </c>
      <c r="H706" s="128">
        <f t="shared" ref="H706" si="11">D706*E706*F706*G706</f>
        <v>0.92000000000000015</v>
      </c>
      <c r="I706" s="133" t="s">
        <v>714</v>
      </c>
    </row>
  </sheetData>
  <phoneticPr fontId="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A4600"/>
  </sheetPr>
  <dimension ref="A1:H33"/>
  <sheetViews>
    <sheetView showGridLines="0" workbookViewId="0">
      <selection activeCell="H44" sqref="H44"/>
    </sheetView>
  </sheetViews>
  <sheetFormatPr defaultColWidth="9" defaultRowHeight="11.4"/>
  <cols>
    <col min="1" max="1" width="23.69921875" style="205" customWidth="1"/>
    <col min="2" max="2" width="99.8984375" style="205" customWidth="1"/>
    <col min="3" max="16384" width="9" style="1"/>
  </cols>
  <sheetData>
    <row r="1" spans="1:8" ht="21.9" customHeight="1">
      <c r="A1" s="452" t="s">
        <v>2303</v>
      </c>
      <c r="B1" s="453"/>
    </row>
    <row r="2" spans="1:8">
      <c r="A2" s="453" t="s">
        <v>2304</v>
      </c>
      <c r="B2" s="453"/>
    </row>
    <row r="3" spans="1:8" ht="36.75" customHeight="1">
      <c r="A3" s="449" t="s">
        <v>2406</v>
      </c>
      <c r="B3" s="450"/>
    </row>
    <row r="4" spans="1:8">
      <c r="A4" s="455" t="s">
        <v>2407</v>
      </c>
      <c r="B4" s="455"/>
    </row>
    <row r="5" spans="1:8" ht="12" thickBot="1">
      <c r="A5" s="455"/>
      <c r="B5" s="455"/>
    </row>
    <row r="6" spans="1:8" ht="21.9" customHeight="1">
      <c r="A6" s="452" t="s">
        <v>2305</v>
      </c>
      <c r="B6" s="453"/>
    </row>
    <row r="7" spans="1:8">
      <c r="A7" s="203" t="s">
        <v>2306</v>
      </c>
      <c r="B7" s="203" t="s">
        <v>2307</v>
      </c>
    </row>
    <row r="8" spans="1:8">
      <c r="A8" s="203" t="s">
        <v>2308</v>
      </c>
      <c r="B8" s="203" t="s">
        <v>2309</v>
      </c>
      <c r="H8" s="204"/>
    </row>
    <row r="9" spans="1:8" ht="12" thickBot="1">
      <c r="A9" s="456" t="s">
        <v>2310</v>
      </c>
      <c r="B9" s="457"/>
    </row>
    <row r="10" spans="1:8" ht="21.9" customHeight="1">
      <c r="A10" s="452" t="s">
        <v>2408</v>
      </c>
      <c r="B10" s="453"/>
    </row>
    <row r="11" spans="1:8">
      <c r="A11" s="203" t="s">
        <v>2409</v>
      </c>
      <c r="B11" s="203" t="s">
        <v>2410</v>
      </c>
    </row>
    <row r="12" spans="1:8">
      <c r="A12" s="203" t="s">
        <v>2411</v>
      </c>
      <c r="B12" s="203" t="s">
        <v>2412</v>
      </c>
    </row>
    <row r="13" spans="1:8">
      <c r="A13" s="203" t="s">
        <v>2413</v>
      </c>
      <c r="B13" s="203" t="s">
        <v>2414</v>
      </c>
    </row>
    <row r="14" spans="1:8" ht="22.8">
      <c r="A14" s="203" t="s">
        <v>2415</v>
      </c>
      <c r="B14" s="206" t="s">
        <v>2416</v>
      </c>
    </row>
    <row r="15" spans="1:8" ht="21.9" customHeight="1">
      <c r="A15" s="449" t="s">
        <v>2317</v>
      </c>
      <c r="B15" s="450"/>
    </row>
    <row r="16" spans="1:8">
      <c r="A16" s="203" t="s">
        <v>2318</v>
      </c>
      <c r="B16" s="203" t="s">
        <v>2319</v>
      </c>
    </row>
    <row r="17" spans="1:2">
      <c r="A17" s="203" t="s">
        <v>2320</v>
      </c>
      <c r="B17" s="203" t="s">
        <v>2321</v>
      </c>
    </row>
    <row r="18" spans="1:2">
      <c r="A18" s="203" t="s">
        <v>2417</v>
      </c>
      <c r="B18" s="203" t="s">
        <v>2418</v>
      </c>
    </row>
    <row r="19" spans="1:2">
      <c r="A19" s="203" t="s">
        <v>2322</v>
      </c>
      <c r="B19" s="203" t="s">
        <v>2323</v>
      </c>
    </row>
    <row r="20" spans="1:2" ht="31.5" customHeight="1">
      <c r="A20" s="449" t="s">
        <v>2311</v>
      </c>
      <c r="B20" s="450"/>
    </row>
    <row r="21" spans="1:2">
      <c r="A21" s="454" t="s">
        <v>2312</v>
      </c>
      <c r="B21" s="454" t="s">
        <v>2313</v>
      </c>
    </row>
    <row r="22" spans="1:2" ht="22.8">
      <c r="A22" s="203" t="s">
        <v>2314</v>
      </c>
      <c r="B22" s="206" t="s">
        <v>2419</v>
      </c>
    </row>
    <row r="23" spans="1:2">
      <c r="A23" s="203" t="s">
        <v>2315</v>
      </c>
      <c r="B23" s="206" t="s">
        <v>2316</v>
      </c>
    </row>
    <row r="24" spans="1:2" ht="21.9" customHeight="1">
      <c r="A24" s="449" t="s">
        <v>2324</v>
      </c>
      <c r="B24" s="450"/>
    </row>
    <row r="25" spans="1:2" s="207" customFormat="1">
      <c r="A25" s="203" t="s">
        <v>2325</v>
      </c>
      <c r="B25" s="203" t="s">
        <v>2326</v>
      </c>
    </row>
    <row r="26" spans="1:2" s="207" customFormat="1">
      <c r="A26" s="203" t="s">
        <v>2327</v>
      </c>
      <c r="B26" s="203" t="s">
        <v>2328</v>
      </c>
    </row>
    <row r="27" spans="1:2" s="207" customFormat="1">
      <c r="A27" s="203" t="s">
        <v>2329</v>
      </c>
      <c r="B27" s="203" t="s">
        <v>2330</v>
      </c>
    </row>
    <row r="28" spans="1:2" s="207" customFormat="1">
      <c r="A28" s="203" t="s">
        <v>2331</v>
      </c>
      <c r="B28" s="203" t="s">
        <v>2332</v>
      </c>
    </row>
    <row r="29" spans="1:2" ht="21.9" customHeight="1">
      <c r="A29" s="449" t="s">
        <v>2333</v>
      </c>
      <c r="B29" s="450"/>
    </row>
    <row r="30" spans="1:2" ht="22.8">
      <c r="A30" s="203" t="s">
        <v>2420</v>
      </c>
      <c r="B30" s="206" t="s">
        <v>2421</v>
      </c>
    </row>
    <row r="31" spans="1:2" ht="22.8">
      <c r="A31" s="203" t="s">
        <v>2334</v>
      </c>
      <c r="B31" s="206" t="s">
        <v>2335</v>
      </c>
    </row>
    <row r="32" spans="1:2">
      <c r="A32" s="203" t="s">
        <v>2336</v>
      </c>
      <c r="B32" s="206" t="s">
        <v>2337</v>
      </c>
    </row>
    <row r="33" spans="1:2">
      <c r="A33" s="451" t="s">
        <v>2338</v>
      </c>
      <c r="B33" s="451"/>
    </row>
  </sheetData>
  <mergeCells count="13">
    <mergeCell ref="A24:B24"/>
    <mergeCell ref="A29:B29"/>
    <mergeCell ref="A33:B33"/>
    <mergeCell ref="A1:B1"/>
    <mergeCell ref="A2:B2"/>
    <mergeCell ref="A21:B21"/>
    <mergeCell ref="A10:B10"/>
    <mergeCell ref="A6:B6"/>
    <mergeCell ref="A3:B3"/>
    <mergeCell ref="A4:B5"/>
    <mergeCell ref="A9:B9"/>
    <mergeCell ref="A15:B15"/>
    <mergeCell ref="A20:B20"/>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4E00"/>
    <pageSetUpPr autoPageBreaks="0" fitToPage="1"/>
  </sheetPr>
  <dimension ref="A1:L42"/>
  <sheetViews>
    <sheetView showGridLines="0" workbookViewId="0">
      <selection activeCell="F45" sqref="F45"/>
    </sheetView>
  </sheetViews>
  <sheetFormatPr defaultRowHeight="13.8"/>
  <cols>
    <col min="1" max="1" width="16" style="158" customWidth="1"/>
    <col min="2" max="6" width="13" style="158" customWidth="1"/>
    <col min="7" max="7" width="16" customWidth="1"/>
    <col min="8" max="12" width="13" customWidth="1"/>
  </cols>
  <sheetData>
    <row r="1" spans="1:12" ht="26.1" customHeight="1">
      <c r="A1" s="458" t="s">
        <v>2422</v>
      </c>
      <c r="B1" s="458"/>
      <c r="C1" s="458"/>
      <c r="D1" s="458"/>
      <c r="E1" s="458"/>
      <c r="F1" s="458"/>
      <c r="G1" s="458"/>
      <c r="H1" s="458"/>
      <c r="I1" s="458"/>
      <c r="J1" s="459" t="s">
        <v>2423</v>
      </c>
      <c r="K1" s="459"/>
      <c r="L1" s="459"/>
    </row>
    <row r="2" spans="1:12" ht="26.1" customHeight="1">
      <c r="A2" s="458"/>
      <c r="B2" s="458"/>
      <c r="C2" s="458"/>
      <c r="D2" s="458"/>
      <c r="E2" s="458"/>
      <c r="F2" s="458"/>
      <c r="G2" s="458"/>
      <c r="H2" s="458"/>
      <c r="I2" s="458"/>
      <c r="J2" s="459"/>
      <c r="K2" s="459"/>
      <c r="L2" s="459"/>
    </row>
    <row r="3" spans="1:12" ht="21.9" customHeight="1">
      <c r="A3" s="460" t="str">
        <f ca="1">'Dashboard Data'!H3</f>
        <v>SHUTDOWN DAY 7 OF 23</v>
      </c>
      <c r="B3" s="461"/>
      <c r="C3" s="461"/>
      <c r="D3" s="462" t="str">
        <f>"REFRESH  •  "&amp;'Dashboard Data'!H2</f>
        <v>REFRESH  •  READY</v>
      </c>
      <c r="E3" s="462"/>
      <c r="F3" s="463" t="str">
        <f ca="1">"RELEASE  •  "&amp;'Dashboard Data'!H20</f>
        <v>RELEASE  •  FAIL — CRITICAL</v>
      </c>
      <c r="G3" s="463"/>
      <c r="H3" s="463"/>
      <c r="I3" s="462" t="str">
        <f>"COMPANIES  •  "&amp;'Dashboard Data'!H21&amp;"  |  ACTION  •  "&amp;'Dashboard Data'!H22</f>
        <v>COMPANIES  •  11  |  ACTION  •  2</v>
      </c>
      <c r="J3" s="462"/>
      <c r="K3" s="462" t="str">
        <f>"REFRESHED  •  "&amp;TEXT('Dashboard Data'!H1,"dd mmm  hh:mm")</f>
        <v>REFRESHED  •  26 Jul  20:51</v>
      </c>
      <c r="L3" s="464"/>
    </row>
    <row r="4" spans="1:12" ht="14.4">
      <c r="A4" s="274"/>
      <c r="B4" s="274"/>
      <c r="C4" s="274"/>
      <c r="D4" s="274"/>
      <c r="E4" s="274"/>
      <c r="F4" s="274"/>
      <c r="G4" s="274"/>
      <c r="H4" s="274"/>
      <c r="I4" s="274"/>
      <c r="J4" s="274"/>
      <c r="K4" s="274"/>
      <c r="L4" s="274"/>
    </row>
    <row r="5" spans="1:12" ht="18" customHeight="1">
      <c r="A5" s="465" t="s">
        <v>2424</v>
      </c>
      <c r="B5" s="466"/>
      <c r="C5" s="467"/>
      <c r="D5" s="465" t="s">
        <v>2354</v>
      </c>
      <c r="E5" s="466"/>
      <c r="F5" s="467"/>
      <c r="G5" s="465" t="s">
        <v>2425</v>
      </c>
      <c r="H5" s="466"/>
      <c r="I5" s="467"/>
      <c r="J5" s="465" t="s">
        <v>2426</v>
      </c>
      <c r="K5" s="466"/>
      <c r="L5" s="467"/>
    </row>
    <row r="6" spans="1:12" ht="21" customHeight="1">
      <c r="A6" s="507">
        <f>'Dashboard Data'!H5</f>
        <v>6497.58</v>
      </c>
      <c r="B6" s="508"/>
      <c r="C6" s="509"/>
      <c r="D6" s="516" t="str">
        <f>'Dashboard Data'!H7&amp;" / "&amp;TEXT('Dashboard Data'!H8,"#,##0")</f>
        <v>429 / 5,244</v>
      </c>
      <c r="E6" s="517"/>
      <c r="F6" s="518"/>
      <c r="G6" s="525">
        <f>'Dashboard Data'!H9</f>
        <v>8.1807780320366133E-2</v>
      </c>
      <c r="H6" s="526"/>
      <c r="I6" s="527"/>
      <c r="J6" s="468">
        <f>'Dashboard Data'!H10</f>
        <v>41</v>
      </c>
      <c r="K6" s="469"/>
      <c r="L6" s="470"/>
    </row>
    <row r="7" spans="1:12" ht="21" customHeight="1">
      <c r="A7" s="510"/>
      <c r="B7" s="511"/>
      <c r="C7" s="512"/>
      <c r="D7" s="519"/>
      <c r="E7" s="520"/>
      <c r="F7" s="521"/>
      <c r="G7" s="528"/>
      <c r="H7" s="529"/>
      <c r="I7" s="530"/>
      <c r="J7" s="471"/>
      <c r="K7" s="472"/>
      <c r="L7" s="473"/>
    </row>
    <row r="8" spans="1:12" ht="21" customHeight="1">
      <c r="A8" s="513"/>
      <c r="B8" s="514"/>
      <c r="C8" s="515"/>
      <c r="D8" s="522"/>
      <c r="E8" s="523"/>
      <c r="F8" s="524"/>
      <c r="G8" s="531"/>
      <c r="H8" s="532"/>
      <c r="I8" s="533"/>
      <c r="J8" s="474"/>
      <c r="K8" s="475"/>
      <c r="L8" s="476"/>
    </row>
    <row r="9" spans="1:12" ht="18" customHeight="1">
      <c r="A9" s="274"/>
      <c r="B9" s="274"/>
      <c r="C9" s="274"/>
      <c r="D9" s="274"/>
      <c r="E9" s="274"/>
      <c r="F9" s="274"/>
      <c r="G9" s="274"/>
      <c r="H9" s="274"/>
      <c r="I9" s="274"/>
      <c r="J9" s="274"/>
      <c r="K9" s="274"/>
      <c r="L9" s="274"/>
    </row>
    <row r="10" spans="1:12" ht="18" customHeight="1">
      <c r="A10" s="477" t="s">
        <v>2427</v>
      </c>
      <c r="B10" s="478"/>
      <c r="C10" s="479"/>
      <c r="D10" s="477" t="s">
        <v>2428</v>
      </c>
      <c r="E10" s="478"/>
      <c r="F10" s="479"/>
      <c r="G10" s="477" t="s">
        <v>2429</v>
      </c>
      <c r="H10" s="478"/>
      <c r="I10" s="479"/>
      <c r="J10" s="477" t="s">
        <v>2430</v>
      </c>
      <c r="K10" s="478"/>
      <c r="L10" s="479"/>
    </row>
    <row r="11" spans="1:12" ht="21" customHeight="1">
      <c r="A11" s="480">
        <f>'Dashboard Data'!H31</f>
        <v>606916.1</v>
      </c>
      <c r="B11" s="481"/>
      <c r="C11" s="482"/>
      <c r="D11" s="480" t="str">
        <f ca="1">'Dashboard Data'!H16</f>
        <v>NOT LOADED</v>
      </c>
      <c r="E11" s="481"/>
      <c r="F11" s="482"/>
      <c r="G11" s="489">
        <f>'Dashboard Data'!H11</f>
        <v>146963.78000000003</v>
      </c>
      <c r="H11" s="490"/>
      <c r="I11" s="491"/>
      <c r="J11" s="498">
        <f ca="1">K2_OpenExceptionCount</f>
        <v>11</v>
      </c>
      <c r="K11" s="499"/>
      <c r="L11" s="500"/>
    </row>
    <row r="12" spans="1:12" ht="21" customHeight="1">
      <c r="A12" s="483"/>
      <c r="B12" s="484"/>
      <c r="C12" s="485"/>
      <c r="D12" s="483"/>
      <c r="E12" s="484"/>
      <c r="F12" s="485"/>
      <c r="G12" s="492"/>
      <c r="H12" s="493"/>
      <c r="I12" s="494"/>
      <c r="J12" s="501"/>
      <c r="K12" s="502"/>
      <c r="L12" s="503"/>
    </row>
    <row r="13" spans="1:12" ht="21" customHeight="1">
      <c r="A13" s="486"/>
      <c r="B13" s="487"/>
      <c r="C13" s="488"/>
      <c r="D13" s="486"/>
      <c r="E13" s="487"/>
      <c r="F13" s="488"/>
      <c r="G13" s="495"/>
      <c r="H13" s="496"/>
      <c r="I13" s="497"/>
      <c r="J13" s="504"/>
      <c r="K13" s="505"/>
      <c r="L13" s="506"/>
    </row>
    <row r="14" spans="1:12" ht="14.4">
      <c r="A14" s="274"/>
      <c r="B14" s="274"/>
      <c r="C14" s="274"/>
      <c r="D14" s="274"/>
      <c r="E14" s="274"/>
      <c r="F14" s="274"/>
      <c r="G14" s="274"/>
      <c r="H14" s="274"/>
      <c r="I14" s="274"/>
      <c r="J14" s="274"/>
      <c r="K14" s="274"/>
      <c r="L14" s="274"/>
    </row>
    <row r="15" spans="1:12" ht="21.9" customHeight="1">
      <c r="A15" s="534" t="s">
        <v>2431</v>
      </c>
      <c r="B15" s="534"/>
      <c r="C15" s="534"/>
      <c r="D15" s="534"/>
      <c r="E15" s="534"/>
      <c r="F15" s="534"/>
      <c r="G15" s="534"/>
      <c r="H15" s="534"/>
      <c r="I15" s="534"/>
      <c r="J15" s="534"/>
      <c r="K15" s="534"/>
      <c r="L15" s="534"/>
    </row>
    <row r="16" spans="1:12">
      <c r="A16" s="275" t="s">
        <v>2432</v>
      </c>
      <c r="B16" s="275" t="s">
        <v>2433</v>
      </c>
      <c r="C16" s="275" t="s">
        <v>2434</v>
      </c>
      <c r="D16" s="275" t="s">
        <v>2435</v>
      </c>
      <c r="E16" s="275" t="s">
        <v>2436</v>
      </c>
      <c r="F16" s="275" t="s">
        <v>2437</v>
      </c>
      <c r="G16" s="535" t="s">
        <v>2438</v>
      </c>
      <c r="H16" s="535"/>
      <c r="I16" s="535"/>
      <c r="J16" s="535"/>
      <c r="K16" s="535" t="s">
        <v>2439</v>
      </c>
      <c r="L16" s="535"/>
    </row>
    <row r="17" spans="1:12">
      <c r="A17" s="276" t="s">
        <v>2360</v>
      </c>
      <c r="B17" s="277">
        <f>COUNTA(Tooling_Onhire__4[Barcode])</f>
        <v>13</v>
      </c>
      <c r="C17" s="278">
        <f>SUM(Tooling_Onhire__4[Replacement Cost])</f>
        <v>85217.7</v>
      </c>
      <c r="D17" s="277">
        <f>COUNTIF(Tooling_Onhire__4[Days On Hire],2)</f>
        <v>0</v>
      </c>
      <c r="E17" s="277">
        <f>COUNTIF(Tooling_Onhire__4[Days On Hire],3)</f>
        <v>0</v>
      </c>
      <c r="F17" s="277">
        <f>COUNTIF(Tooling_Onhire__4[Days On Hire],"&gt;=4")</f>
        <v>13</v>
      </c>
      <c r="G17" s="536" t="s">
        <v>2440</v>
      </c>
      <c r="H17" s="536"/>
      <c r="I17" s="536"/>
      <c r="J17" s="536"/>
      <c r="K17" s="537">
        <f>'Dashboard Data'!H31</f>
        <v>606916.1</v>
      </c>
      <c r="L17" s="537"/>
    </row>
    <row r="18" spans="1:12">
      <c r="A18" s="276" t="s">
        <v>2361</v>
      </c>
      <c r="B18" s="277">
        <f>COUNTA(RENTAL_STOCK__3[Barcode])</f>
        <v>28</v>
      </c>
      <c r="C18" s="278">
        <f>SUM(RENTAL_STOCK__3[Replacement Cost])</f>
        <v>25026.080000000016</v>
      </c>
      <c r="D18" s="277">
        <f>COUNTIF(RENTAL_STOCK__3[Days On Hire],2)</f>
        <v>0</v>
      </c>
      <c r="E18" s="277">
        <f>COUNTIF(RENTAL_STOCK__3[Days On Hire],3)</f>
        <v>0</v>
      </c>
      <c r="F18" s="277">
        <f>COUNTIF(RENTAL_STOCK__3[Days On Hire],"&gt;=4")</f>
        <v>24</v>
      </c>
      <c r="G18" s="536" t="s">
        <v>2441</v>
      </c>
      <c r="H18" s="536"/>
      <c r="I18" s="536"/>
      <c r="J18" s="536"/>
      <c r="K18" s="537">
        <f>'Dashboard Data'!H15</f>
        <v>606916.1</v>
      </c>
      <c r="L18" s="537"/>
    </row>
    <row r="19" spans="1:12">
      <c r="A19" s="276" t="s">
        <v>2259</v>
      </c>
      <c r="B19" s="277">
        <v>37</v>
      </c>
      <c r="C19" s="278">
        <v>22200</v>
      </c>
      <c r="D19" s="277">
        <v>7</v>
      </c>
      <c r="E19" s="277">
        <v>3</v>
      </c>
      <c r="F19" s="277">
        <v>4</v>
      </c>
      <c r="G19" s="536" t="s">
        <v>2442</v>
      </c>
      <c r="H19" s="536"/>
      <c r="I19" s="536"/>
      <c r="J19" s="536"/>
      <c r="K19" s="537">
        <f>'Dashboard Data'!H32</f>
        <v>0</v>
      </c>
      <c r="L19" s="537"/>
    </row>
    <row r="20" spans="1:12">
      <c r="A20" s="276" t="s">
        <v>2443</v>
      </c>
      <c r="B20" s="277">
        <v>37</v>
      </c>
      <c r="C20" s="278">
        <v>0</v>
      </c>
      <c r="D20" s="277">
        <v>6</v>
      </c>
      <c r="E20" s="277">
        <v>4</v>
      </c>
      <c r="F20" s="277">
        <v>4</v>
      </c>
      <c r="G20" s="536" t="s">
        <v>2444</v>
      </c>
      <c r="H20" s="536"/>
      <c r="I20" s="536"/>
      <c r="J20" s="536"/>
      <c r="K20" s="537" t="str">
        <f ca="1">'Dashboard Data'!H18</f>
        <v>NOT LOADED</v>
      </c>
      <c r="L20" s="537"/>
    </row>
    <row r="21" spans="1:12">
      <c r="A21" s="276" t="s">
        <v>2264</v>
      </c>
      <c r="B21" s="277">
        <f>COUNTA(Gas_Monitors_Onhire[Barcode])</f>
        <v>8</v>
      </c>
      <c r="C21" s="278">
        <f>SUM(Gas_Monitors_Onhire[Replacement Fee])</f>
        <v>14520</v>
      </c>
      <c r="D21" s="277">
        <f>COUNTIF(Gas_Monitors_Onhire[Days On Hire],2)</f>
        <v>1</v>
      </c>
      <c r="E21" s="277">
        <f>COUNTIF(Gas_Monitors_Onhire[Days On Hire],3)</f>
        <v>0</v>
      </c>
      <c r="F21" s="277">
        <f>COUNTIF(Gas_Monitors_Onhire[Days On Hire],"&gt;=4")</f>
        <v>0</v>
      </c>
      <c r="G21" s="536" t="s">
        <v>2445</v>
      </c>
      <c r="H21" s="536"/>
      <c r="I21" s="536"/>
      <c r="J21" s="536"/>
      <c r="K21" s="537" t="str">
        <f ca="1">'Dashboard Data'!H19</f>
        <v/>
      </c>
      <c r="L21" s="537"/>
    </row>
    <row r="22" spans="1:12" ht="14.4">
      <c r="A22" s="279" t="s">
        <v>619</v>
      </c>
      <c r="B22" s="280">
        <f>SUM(B17:B21)</f>
        <v>123</v>
      </c>
      <c r="C22" s="281">
        <f>SUM(C17:C21)</f>
        <v>146963.78000000003</v>
      </c>
      <c r="D22" s="280">
        <f>SUM(D17:D21)</f>
        <v>14</v>
      </c>
      <c r="E22" s="280">
        <f>SUM(E17:E21)</f>
        <v>7</v>
      </c>
      <c r="F22" s="280">
        <f>SUM(F17:F21)</f>
        <v>45</v>
      </c>
      <c r="G22" s="274"/>
      <c r="H22" s="274"/>
      <c r="I22" s="274"/>
      <c r="J22" s="274"/>
      <c r="K22" s="274"/>
      <c r="L22" s="274"/>
    </row>
    <row r="23" spans="1:12" ht="21.9" customHeight="1">
      <c r="A23" s="534" t="s">
        <v>2446</v>
      </c>
      <c r="B23" s="538"/>
      <c r="C23" s="538"/>
      <c r="D23" s="538"/>
      <c r="E23" s="538"/>
      <c r="F23" s="538"/>
      <c r="G23" s="538"/>
      <c r="H23" s="538"/>
      <c r="I23" s="538"/>
      <c r="J23" s="538"/>
      <c r="K23" s="538"/>
      <c r="L23" s="538"/>
    </row>
    <row r="24" spans="1:12" ht="17.100000000000001" customHeight="1">
      <c r="A24" s="275" t="s">
        <v>2447</v>
      </c>
      <c r="B24" s="275" t="s">
        <v>2448</v>
      </c>
      <c r="C24" s="275" t="s">
        <v>2449</v>
      </c>
      <c r="D24" s="275" t="s">
        <v>2450</v>
      </c>
      <c r="E24" s="275" t="s">
        <v>2451</v>
      </c>
      <c r="F24" s="275" t="s">
        <v>2355</v>
      </c>
      <c r="G24" s="274"/>
      <c r="H24" s="274"/>
      <c r="I24" s="274"/>
      <c r="J24" s="274"/>
      <c r="K24" s="274"/>
      <c r="L24" s="274"/>
    </row>
    <row r="25" spans="1:12" ht="13.5" customHeight="1">
      <c r="A25" s="276" t="s">
        <v>644</v>
      </c>
      <c r="B25" s="282">
        <f>'Dashboard Data'!K2</f>
        <v>95</v>
      </c>
      <c r="C25" s="283">
        <f>'Dashboard Data'!L2</f>
        <v>749.16000000000008</v>
      </c>
      <c r="D25" s="283">
        <f>'Dashboard Data'!M2</f>
        <v>10488.24</v>
      </c>
      <c r="E25" s="282">
        <f>'Dashboard Data'!N2</f>
        <v>667</v>
      </c>
      <c r="F25" s="284">
        <f>'Dashboard Data'!O2</f>
        <v>0.14242878560719641</v>
      </c>
      <c r="G25" s="274"/>
      <c r="H25" s="274"/>
      <c r="I25" s="274"/>
      <c r="J25" s="274"/>
      <c r="K25" s="274"/>
      <c r="L25" s="274"/>
    </row>
    <row r="26" spans="1:12" ht="13.5" customHeight="1">
      <c r="A26" s="276" t="s">
        <v>651</v>
      </c>
      <c r="B26" s="282">
        <f>'Dashboard Data'!K3</f>
        <v>88</v>
      </c>
      <c r="C26" s="283">
        <f>'Dashboard Data'!L3</f>
        <v>315.20999999999998</v>
      </c>
      <c r="D26" s="283">
        <f>'Dashboard Data'!M3</f>
        <v>4412.9400000000005</v>
      </c>
      <c r="E26" s="282">
        <f>'Dashboard Data'!N3</f>
        <v>852</v>
      </c>
      <c r="F26" s="284">
        <f>'Dashboard Data'!O3</f>
        <v>0.10328638497652583</v>
      </c>
      <c r="G26" s="274"/>
      <c r="H26" s="274"/>
      <c r="I26" s="274"/>
      <c r="J26" s="274"/>
      <c r="K26" s="274"/>
      <c r="L26" s="274"/>
    </row>
    <row r="27" spans="1:12" ht="13.5" customHeight="1">
      <c r="A27" s="276" t="s">
        <v>842</v>
      </c>
      <c r="B27" s="282">
        <f>'Dashboard Data'!K4</f>
        <v>12</v>
      </c>
      <c r="C27" s="283">
        <f>'Dashboard Data'!L4</f>
        <v>122.5</v>
      </c>
      <c r="D27" s="283">
        <f>'Dashboard Data'!M4</f>
        <v>1715</v>
      </c>
      <c r="E27" s="282">
        <f>'Dashboard Data'!N4</f>
        <v>81</v>
      </c>
      <c r="F27" s="284">
        <f>'Dashboard Data'!O4</f>
        <v>0.14814814814814814</v>
      </c>
      <c r="G27" s="274"/>
      <c r="H27" s="274"/>
      <c r="I27" s="274"/>
      <c r="J27" s="274"/>
      <c r="K27" s="274"/>
      <c r="L27" s="274"/>
    </row>
    <row r="28" spans="1:12" ht="13.5" customHeight="1">
      <c r="A28" s="276" t="s">
        <v>638</v>
      </c>
      <c r="B28" s="282">
        <f>'Dashboard Data'!K5</f>
        <v>33</v>
      </c>
      <c r="C28" s="283">
        <f>'Dashboard Data'!L5</f>
        <v>187.88</v>
      </c>
      <c r="D28" s="283">
        <f>'Dashboard Data'!M5</f>
        <v>2630.32</v>
      </c>
      <c r="E28" s="282">
        <f>'Dashboard Data'!N5</f>
        <v>435</v>
      </c>
      <c r="F28" s="284">
        <f>'Dashboard Data'!O5</f>
        <v>7.586206896551724E-2</v>
      </c>
      <c r="G28" s="274"/>
      <c r="H28" s="274"/>
      <c r="I28" s="274"/>
      <c r="J28" s="274"/>
      <c r="K28" s="274"/>
      <c r="L28" s="274"/>
    </row>
    <row r="29" spans="1:12" ht="13.5" customHeight="1">
      <c r="A29" s="276" t="s">
        <v>1002</v>
      </c>
      <c r="B29" s="282">
        <f>'Dashboard Data'!K6</f>
        <v>53</v>
      </c>
      <c r="C29" s="283">
        <f>'Dashboard Data'!L6</f>
        <v>6.3999999999999968</v>
      </c>
      <c r="D29" s="283">
        <f>'Dashboard Data'!M6</f>
        <v>89.600000000000051</v>
      </c>
      <c r="E29" s="282">
        <f>'Dashboard Data'!N6</f>
        <v>2297</v>
      </c>
      <c r="F29" s="284">
        <f>'Dashboard Data'!O6</f>
        <v>2.3073574227252938E-2</v>
      </c>
      <c r="G29" s="274"/>
      <c r="H29" s="274"/>
      <c r="I29" s="274"/>
      <c r="J29" s="274"/>
      <c r="K29" s="274"/>
      <c r="L29" s="274"/>
    </row>
    <row r="30" spans="1:12" ht="13.5" customHeight="1">
      <c r="A30" s="276" t="s">
        <v>712</v>
      </c>
      <c r="B30" s="282">
        <f>'Dashboard Data'!K7</f>
        <v>2</v>
      </c>
      <c r="C30" s="283">
        <f>'Dashboard Data'!L7</f>
        <v>2</v>
      </c>
      <c r="D30" s="283">
        <f>'Dashboard Data'!M7</f>
        <v>28</v>
      </c>
      <c r="E30" s="282">
        <f>'Dashboard Data'!N7</f>
        <v>300</v>
      </c>
      <c r="F30" s="284">
        <f>'Dashboard Data'!O7</f>
        <v>6.6666666666666671E-3</v>
      </c>
      <c r="G30" s="274"/>
      <c r="H30" s="274"/>
      <c r="I30" s="274"/>
      <c r="J30" s="274"/>
      <c r="K30" s="274"/>
      <c r="L30" s="274"/>
    </row>
    <row r="31" spans="1:12" ht="13.5" customHeight="1">
      <c r="A31" s="276" t="s">
        <v>915</v>
      </c>
      <c r="B31" s="282">
        <f>'Dashboard Data'!K8</f>
        <v>8</v>
      </c>
      <c r="C31" s="283">
        <f>'Dashboard Data'!L8</f>
        <v>44.42</v>
      </c>
      <c r="D31" s="283">
        <f>'Dashboard Data'!M8</f>
        <v>621.87999999999988</v>
      </c>
      <c r="E31" s="282">
        <f>'Dashboard Data'!N8</f>
        <v>71</v>
      </c>
      <c r="F31" s="284">
        <f>'Dashboard Data'!O8</f>
        <v>0.11267605633802817</v>
      </c>
      <c r="G31" s="274"/>
      <c r="H31" s="274"/>
      <c r="I31" s="274"/>
      <c r="J31" s="274"/>
      <c r="K31" s="274"/>
      <c r="L31" s="274"/>
    </row>
    <row r="32" spans="1:12" ht="13.5" customHeight="1">
      <c r="A32" s="276" t="s">
        <v>2352</v>
      </c>
      <c r="B32" s="282">
        <f>'Dashboard Data'!K9</f>
        <v>56</v>
      </c>
      <c r="C32" s="283">
        <f>'Dashboard Data'!L9</f>
        <v>3255.1899999999996</v>
      </c>
      <c r="D32" s="283">
        <f>'Dashboard Data'!M9</f>
        <v>45572.66</v>
      </c>
      <c r="E32" s="282">
        <f>'Dashboard Data'!N9</f>
        <v>159</v>
      </c>
      <c r="F32" s="284">
        <f>'Dashboard Data'!O9</f>
        <v>0.3522012578616352</v>
      </c>
      <c r="G32" s="274"/>
      <c r="H32" s="274"/>
      <c r="I32" s="274"/>
      <c r="J32" s="274"/>
      <c r="K32" s="274"/>
      <c r="L32" s="274"/>
    </row>
    <row r="33" spans="1:12" ht="13.5" customHeight="1">
      <c r="A33" s="276" t="s">
        <v>2259</v>
      </c>
      <c r="B33" s="282">
        <f>'Dashboard Data'!K10</f>
        <v>37</v>
      </c>
      <c r="C33" s="283">
        <f>'Dashboard Data'!L10</f>
        <v>922.32</v>
      </c>
      <c r="D33" s="283">
        <f>'Dashboard Data'!M10</f>
        <v>12912.480000000001</v>
      </c>
      <c r="E33" s="282">
        <f>'Dashboard Data'!N10</f>
        <v>72</v>
      </c>
      <c r="F33" s="284">
        <f>'Dashboard Data'!O10</f>
        <v>0.51388888888888884</v>
      </c>
      <c r="G33" s="274"/>
      <c r="H33" s="274"/>
      <c r="I33" s="274"/>
      <c r="J33" s="274"/>
      <c r="K33" s="274"/>
      <c r="L33" s="274"/>
    </row>
    <row r="34" spans="1:12" ht="13.5" customHeight="1">
      <c r="A34" s="276" t="s">
        <v>2443</v>
      </c>
      <c r="B34" s="282">
        <f>'Dashboard Data'!K11</f>
        <v>37</v>
      </c>
      <c r="C34" s="283">
        <f>'Dashboard Data'!L11</f>
        <v>0</v>
      </c>
      <c r="D34" s="283">
        <f>'Dashboard Data'!M11</f>
        <v>0</v>
      </c>
      <c r="E34" s="282">
        <f>'Dashboard Data'!N11</f>
        <v>104</v>
      </c>
      <c r="F34" s="284">
        <f>'Dashboard Data'!O11</f>
        <v>0.35576923076923078</v>
      </c>
      <c r="G34" s="274"/>
      <c r="H34" s="274"/>
      <c r="I34" s="274"/>
      <c r="J34" s="274"/>
      <c r="K34" s="274"/>
      <c r="L34" s="274"/>
    </row>
    <row r="35" spans="1:12" ht="13.5" customHeight="1">
      <c r="A35" s="276" t="s">
        <v>2264</v>
      </c>
      <c r="B35" s="282">
        <f>'Dashboard Data'!K12</f>
        <v>8</v>
      </c>
      <c r="C35" s="283">
        <f>'Dashboard Data'!L12</f>
        <v>892.5</v>
      </c>
      <c r="D35" s="283">
        <f>'Dashboard Data'!M12</f>
        <v>12495</v>
      </c>
      <c r="E35" s="282">
        <f>'Dashboard Data'!N12</f>
        <v>30</v>
      </c>
      <c r="F35" s="284">
        <f>'Dashboard Data'!O12</f>
        <v>0.26666666666666666</v>
      </c>
      <c r="G35" s="274"/>
      <c r="H35" s="274"/>
      <c r="I35" s="274"/>
      <c r="J35" s="274"/>
      <c r="K35" s="274"/>
      <c r="L35" s="274"/>
    </row>
    <row r="36" spans="1:12" ht="13.5" customHeight="1">
      <c r="A36" s="276" t="s">
        <v>2452</v>
      </c>
      <c r="B36" s="282">
        <f>'Dashboard Data'!K13</f>
        <v>0</v>
      </c>
      <c r="C36" s="283">
        <f>'Dashboard Data'!L13</f>
        <v>0</v>
      </c>
      <c r="D36" s="283">
        <f>'Dashboard Data'!M13</f>
        <v>0</v>
      </c>
      <c r="E36" s="282">
        <f>'Dashboard Data'!N13</f>
        <v>50</v>
      </c>
      <c r="F36" s="284">
        <f>'Dashboard Data'!O13</f>
        <v>0</v>
      </c>
      <c r="G36" s="274"/>
      <c r="H36" s="274"/>
      <c r="I36" s="274"/>
      <c r="J36" s="274"/>
      <c r="K36" s="274"/>
      <c r="L36" s="274"/>
    </row>
    <row r="37" spans="1:12" ht="13.5" customHeight="1">
      <c r="A37" s="276" t="s">
        <v>637</v>
      </c>
      <c r="B37" s="282">
        <f>'Dashboard Data'!K14</f>
        <v>0</v>
      </c>
      <c r="C37" s="283">
        <f>'Dashboard Data'!L14</f>
        <v>0</v>
      </c>
      <c r="D37" s="283">
        <f>'Dashboard Data'!M14</f>
        <v>0</v>
      </c>
      <c r="E37" s="282">
        <f>'Dashboard Data'!N14</f>
        <v>40</v>
      </c>
      <c r="F37" s="284">
        <f>'Dashboard Data'!O14</f>
        <v>0</v>
      </c>
      <c r="G37" s="274"/>
      <c r="H37" s="274"/>
      <c r="I37" s="274"/>
      <c r="J37" s="274"/>
      <c r="K37" s="274"/>
      <c r="L37" s="274"/>
    </row>
    <row r="38" spans="1:12" ht="13.5" customHeight="1">
      <c r="A38" s="276" t="s">
        <v>2453</v>
      </c>
      <c r="B38" s="282">
        <f>'Dashboard Data'!K15</f>
        <v>0</v>
      </c>
      <c r="C38" s="283">
        <f>'Dashboard Data'!L15</f>
        <v>0</v>
      </c>
      <c r="D38" s="283">
        <f>'Dashboard Data'!M15</f>
        <v>0</v>
      </c>
      <c r="E38" s="282">
        <f>'Dashboard Data'!N15</f>
        <v>70</v>
      </c>
      <c r="F38" s="284">
        <f>'Dashboard Data'!O15</f>
        <v>0</v>
      </c>
      <c r="G38" s="274"/>
      <c r="H38" s="274"/>
      <c r="I38" s="274"/>
      <c r="J38" s="274"/>
      <c r="K38" s="274"/>
      <c r="L38" s="274"/>
    </row>
    <row r="39" spans="1:12" ht="13.5" customHeight="1">
      <c r="A39" s="276" t="s">
        <v>2454</v>
      </c>
      <c r="B39" s="282">
        <f>'Dashboard Data'!K16</f>
        <v>0</v>
      </c>
      <c r="C39" s="283">
        <f>'Dashboard Data'!L16</f>
        <v>0</v>
      </c>
      <c r="D39" s="283">
        <f>'Dashboard Data'!M16</f>
        <v>0</v>
      </c>
      <c r="E39" s="282">
        <f>'Dashboard Data'!N16</f>
        <v>8</v>
      </c>
      <c r="F39" s="284">
        <f>'Dashboard Data'!O16</f>
        <v>0</v>
      </c>
      <c r="G39" s="274"/>
      <c r="H39" s="274"/>
      <c r="I39" s="274"/>
      <c r="J39" s="274"/>
      <c r="K39" s="274"/>
      <c r="L39" s="274"/>
    </row>
    <row r="40" spans="1:12" ht="13.5" customHeight="1">
      <c r="A40" s="276" t="s">
        <v>2455</v>
      </c>
      <c r="B40" s="282">
        <f>'Dashboard Data'!K17</f>
        <v>0</v>
      </c>
      <c r="C40" s="283">
        <f>'Dashboard Data'!L17</f>
        <v>0</v>
      </c>
      <c r="D40" s="283">
        <f>'Dashboard Data'!M17</f>
        <v>0</v>
      </c>
      <c r="E40" s="282">
        <f>'Dashboard Data'!N17</f>
        <v>8</v>
      </c>
      <c r="F40" s="284">
        <f>'Dashboard Data'!O17</f>
        <v>0</v>
      </c>
      <c r="G40" s="274"/>
      <c r="H40" s="274"/>
      <c r="I40" s="274"/>
      <c r="J40" s="274"/>
      <c r="K40" s="274"/>
      <c r="L40" s="274"/>
    </row>
    <row r="41" spans="1:12" ht="3" customHeight="1">
      <c r="A41" s="274"/>
      <c r="B41" s="274"/>
      <c r="C41" s="274"/>
      <c r="D41" s="274"/>
      <c r="E41" s="274"/>
      <c r="F41" s="274"/>
      <c r="G41" s="274"/>
      <c r="H41" s="274"/>
      <c r="I41" s="274"/>
      <c r="J41" s="274"/>
      <c r="K41" s="274"/>
      <c r="L41" s="274"/>
    </row>
    <row r="42" spans="1:12" ht="20.100000000000001" customHeight="1">
      <c r="A42" s="539" t="s">
        <v>2456</v>
      </c>
      <c r="B42" s="539"/>
      <c r="C42" s="539"/>
      <c r="D42" s="539"/>
      <c r="E42" s="539"/>
      <c r="F42" s="539"/>
      <c r="G42" s="539"/>
      <c r="H42" s="539"/>
      <c r="I42" s="539"/>
      <c r="J42" s="539"/>
      <c r="K42" s="539"/>
      <c r="L42" s="539"/>
    </row>
  </sheetData>
  <mergeCells count="38">
    <mergeCell ref="K19:L19"/>
    <mergeCell ref="K20:L20"/>
    <mergeCell ref="K21:L21"/>
    <mergeCell ref="A23:L23"/>
    <mergeCell ref="A42:L42"/>
    <mergeCell ref="G19:J19"/>
    <mergeCell ref="G20:J20"/>
    <mergeCell ref="G21:J21"/>
    <mergeCell ref="A15:L15"/>
    <mergeCell ref="G16:J16"/>
    <mergeCell ref="K16:L16"/>
    <mergeCell ref="G17:J17"/>
    <mergeCell ref="G18:J18"/>
    <mergeCell ref="K17:L17"/>
    <mergeCell ref="K18:L18"/>
    <mergeCell ref="J5:L5"/>
    <mergeCell ref="J6:L8"/>
    <mergeCell ref="A10:C10"/>
    <mergeCell ref="A11:C13"/>
    <mergeCell ref="D10:F10"/>
    <mergeCell ref="D11:F13"/>
    <mergeCell ref="G10:I10"/>
    <mergeCell ref="G11:I13"/>
    <mergeCell ref="J10:L10"/>
    <mergeCell ref="J11:L13"/>
    <mergeCell ref="A5:C5"/>
    <mergeCell ref="A6:C8"/>
    <mergeCell ref="D5:F5"/>
    <mergeCell ref="D6:F8"/>
    <mergeCell ref="G5:I5"/>
    <mergeCell ref="G6:I8"/>
    <mergeCell ref="A1:I2"/>
    <mergeCell ref="J1:L2"/>
    <mergeCell ref="A3:C3"/>
    <mergeCell ref="D3:E3"/>
    <mergeCell ref="F3:H3"/>
    <mergeCell ref="I3:J3"/>
    <mergeCell ref="K3:L3"/>
  </mergeCells>
  <printOptions horizontalCentered="1"/>
  <pageMargins left="0.25" right="0.25" top="0.35" bottom="0.35" header="0.15" footer="0.15"/>
  <pageSetup paperSize="9" orientation="landscape" horizontalDpi="300" verticalDpi="30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4E00"/>
    <pageSetUpPr autoPageBreaks="0" fitToPage="1"/>
  </sheetPr>
  <dimension ref="A1:X15"/>
  <sheetViews>
    <sheetView showGridLines="0" workbookViewId="0">
      <selection activeCell="A4" sqref="A4:X6"/>
    </sheetView>
  </sheetViews>
  <sheetFormatPr defaultRowHeight="13.8"/>
  <cols>
    <col min="1" max="1" width="36" customWidth="1"/>
    <col min="2" max="11" width="13" customWidth="1"/>
    <col min="12" max="12" width="22" customWidth="1"/>
    <col min="13" max="13" width="16" customWidth="1"/>
    <col min="14" max="14" width="14" customWidth="1"/>
    <col min="15" max="15" width="12" customWidth="1"/>
    <col min="16" max="16" width="14" customWidth="1"/>
    <col min="17" max="17" width="12" customWidth="1"/>
    <col min="18" max="18" width="13" customWidth="1"/>
    <col min="19" max="19" width="14" customWidth="1"/>
    <col min="20" max="20" width="15" customWidth="1"/>
    <col min="21" max="23" width="12" customWidth="1"/>
    <col min="24" max="24" width="13" customWidth="1"/>
  </cols>
  <sheetData>
    <row r="1" spans="1:24" ht="30" customHeight="1">
      <c r="A1" s="540" t="s">
        <v>2457</v>
      </c>
      <c r="B1" s="540"/>
      <c r="C1" s="540"/>
      <c r="D1" s="540"/>
      <c r="E1" s="540"/>
      <c r="F1" s="540"/>
      <c r="G1" s="540"/>
      <c r="H1" s="540"/>
      <c r="I1" s="540"/>
      <c r="J1" s="540"/>
      <c r="K1" s="540"/>
      <c r="L1" s="540"/>
      <c r="M1" s="540"/>
      <c r="N1" s="541"/>
      <c r="O1" s="541"/>
      <c r="P1" s="541"/>
      <c r="Q1" s="541"/>
      <c r="R1" s="541"/>
      <c r="S1" s="541"/>
      <c r="T1" s="541"/>
      <c r="U1" s="541"/>
      <c r="V1" s="541"/>
      <c r="W1" s="541"/>
      <c r="X1" s="541"/>
    </row>
    <row r="2" spans="1:24" ht="21.9" customHeight="1">
      <c r="A2" s="542" t="s">
        <v>2926</v>
      </c>
      <c r="B2" s="542"/>
      <c r="C2" s="542"/>
      <c r="D2" s="542"/>
      <c r="E2" s="542"/>
      <c r="F2" s="542"/>
      <c r="G2" s="542"/>
      <c r="H2" s="542"/>
      <c r="I2" s="542"/>
      <c r="J2" s="542"/>
      <c r="K2" s="542"/>
      <c r="L2" s="542"/>
      <c r="M2" s="542"/>
      <c r="N2" s="543"/>
      <c r="O2" s="543"/>
      <c r="P2" s="543"/>
      <c r="Q2" s="543"/>
      <c r="R2" s="543"/>
      <c r="S2" s="543"/>
      <c r="T2" s="543"/>
      <c r="U2" s="543"/>
      <c r="V2" s="543"/>
      <c r="W2" s="543"/>
      <c r="X2" s="543"/>
    </row>
    <row r="4" spans="1:24" ht="30" customHeight="1">
      <c r="A4" s="190" t="s">
        <v>0</v>
      </c>
      <c r="B4" s="191" t="s">
        <v>1002</v>
      </c>
      <c r="C4" s="191" t="s">
        <v>2361</v>
      </c>
      <c r="D4" s="191" t="s">
        <v>2259</v>
      </c>
      <c r="E4" s="191" t="s">
        <v>2443</v>
      </c>
      <c r="F4" s="191" t="s">
        <v>2264</v>
      </c>
      <c r="G4" s="191" t="s">
        <v>2458</v>
      </c>
      <c r="H4" s="191" t="s">
        <v>2357</v>
      </c>
      <c r="I4" s="191" t="s">
        <v>2358</v>
      </c>
      <c r="J4" s="191" t="s">
        <v>2359</v>
      </c>
      <c r="K4" s="191" t="s">
        <v>2459</v>
      </c>
      <c r="L4" s="191" t="s">
        <v>2356</v>
      </c>
      <c r="M4" s="191" t="s">
        <v>2460</v>
      </c>
      <c r="N4" s="191" t="s">
        <v>2461</v>
      </c>
      <c r="O4" s="191" t="s">
        <v>2462</v>
      </c>
      <c r="P4" s="191" t="s">
        <v>2463</v>
      </c>
      <c r="Q4" s="191" t="s">
        <v>2464</v>
      </c>
      <c r="R4" s="191" t="s">
        <v>2465</v>
      </c>
      <c r="S4" s="191" t="s">
        <v>2466</v>
      </c>
      <c r="T4" s="191" t="s">
        <v>2467</v>
      </c>
      <c r="U4" s="191" t="s">
        <v>2468</v>
      </c>
      <c r="V4" s="191" t="s">
        <v>2469</v>
      </c>
      <c r="W4" s="191" t="s">
        <v>2470</v>
      </c>
      <c r="X4" s="192" t="s">
        <v>2471</v>
      </c>
    </row>
    <row r="5" spans="1:24">
      <c r="A5" s="193" t="s">
        <v>3674</v>
      </c>
      <c r="B5" s="195">
        <v>6</v>
      </c>
      <c r="C5" s="195">
        <v>0</v>
      </c>
      <c r="D5" s="195">
        <v>0</v>
      </c>
      <c r="E5" s="195">
        <v>0</v>
      </c>
      <c r="F5" s="195">
        <v>0</v>
      </c>
      <c r="G5" s="195">
        <v>6</v>
      </c>
      <c r="H5" s="195">
        <v>0</v>
      </c>
      <c r="I5" s="195">
        <v>0</v>
      </c>
      <c r="J5" s="195">
        <v>6</v>
      </c>
      <c r="K5" s="195">
        <v>6</v>
      </c>
      <c r="L5" s="196">
        <v>64888.75</v>
      </c>
      <c r="M5" s="196">
        <f>IFERROR(L5/G5,0)</f>
        <v>10814.791666666666</v>
      </c>
      <c r="N5" s="195">
        <f>MIN(50,8*H5+15*I5+25*J5+3*MAX(0,K5-K2_ReturnCriticalDays))</f>
        <v>50</v>
      </c>
      <c r="O5" s="195">
        <f>MIN(30,30*L5/K2_ExposureHighThreshold)</f>
        <v>30</v>
      </c>
      <c r="P5" s="195">
        <f>IFERROR(MIN(20,20*(I5+J5)/G5),0)</f>
        <v>20</v>
      </c>
      <c r="Q5" s="195">
        <f>MIN(100,SUM(N5:P5))</f>
        <v>100</v>
      </c>
      <c r="R5" s="197" t="str">
        <f>IF(Q5&gt;=70,"CRITICAL",IF(Q5&gt;=45,"HIGH",IF(Q5&gt;=20,"WATCH","CURRENT")))</f>
        <v>CRITICAL</v>
      </c>
      <c r="S5" s="197" t="str">
        <f>IF(R5="CRITICAL","ESCALATE",IF(R5="HIGH","HIGH",IF(R5="WATCH","FOLLOW UP","CURRENT")))</f>
        <v>ESCALATE</v>
      </c>
      <c r="T5" s="197"/>
      <c r="U5" s="197"/>
      <c r="V5" s="197"/>
      <c r="W5" s="197"/>
      <c r="X5" s="198"/>
    </row>
    <row r="6" spans="1:24">
      <c r="A6" s="194" t="s">
        <v>3446</v>
      </c>
      <c r="B6" s="199">
        <v>4</v>
      </c>
      <c r="C6" s="199">
        <v>17</v>
      </c>
      <c r="D6" s="199">
        <v>4</v>
      </c>
      <c r="E6" s="199">
        <v>4</v>
      </c>
      <c r="F6" s="199">
        <v>3</v>
      </c>
      <c r="G6" s="199">
        <v>32</v>
      </c>
      <c r="H6" s="199">
        <v>1</v>
      </c>
      <c r="I6" s="199">
        <v>0</v>
      </c>
      <c r="J6" s="199">
        <v>22</v>
      </c>
      <c r="K6" s="199">
        <v>7</v>
      </c>
      <c r="L6" s="200">
        <v>35497.350000000006</v>
      </c>
      <c r="M6" s="200">
        <f>IFERROR(L6/G6,0)</f>
        <v>1109.2921875000002</v>
      </c>
      <c r="N6" s="199">
        <f>MIN(50,8*H6+15*I6+25*J6+3*MAX(0,K6-K2_ReturnCriticalDays))</f>
        <v>50</v>
      </c>
      <c r="O6" s="199">
        <f>MIN(30,30*L6/K2_ExposureHighThreshold)</f>
        <v>30</v>
      </c>
      <c r="P6" s="199">
        <f>IFERROR(MIN(20,20*(I6+J6)/G6),0)</f>
        <v>13.75</v>
      </c>
      <c r="Q6" s="199">
        <f>MIN(100,SUM(N6:P6))</f>
        <v>93.75</v>
      </c>
      <c r="R6" s="201" t="str">
        <f>IF(Q6&gt;=70,"CRITICAL",IF(Q6&gt;=45,"HIGH",IF(Q6&gt;=20,"WATCH","CURRENT")))</f>
        <v>CRITICAL</v>
      </c>
      <c r="S6" s="201" t="str">
        <f>IF(R6="CRITICAL","ESCALATE",IF(R6="HIGH","HIGH",IF(R6="WATCH","FOLLOW UP","CURRENT")))</f>
        <v>ESCALATE</v>
      </c>
      <c r="T6" s="201"/>
      <c r="U6" s="201"/>
      <c r="V6" s="201"/>
      <c r="W6" s="201"/>
      <c r="X6" s="202"/>
    </row>
    <row r="7" spans="1:24">
      <c r="A7" s="193" t="s">
        <v>14</v>
      </c>
      <c r="B7" s="195">
        <v>2</v>
      </c>
      <c r="C7" s="195">
        <v>2</v>
      </c>
      <c r="D7" s="195">
        <v>3</v>
      </c>
      <c r="E7" s="195">
        <v>2</v>
      </c>
      <c r="F7" s="195">
        <v>0</v>
      </c>
      <c r="G7" s="195">
        <v>9</v>
      </c>
      <c r="H7" s="195">
        <v>0</v>
      </c>
      <c r="I7" s="195">
        <v>4</v>
      </c>
      <c r="J7" s="195">
        <v>3</v>
      </c>
      <c r="K7" s="195">
        <v>11</v>
      </c>
      <c r="L7" s="196">
        <v>14019.75</v>
      </c>
      <c r="M7" s="196"/>
      <c r="N7" s="195"/>
      <c r="O7" s="195"/>
      <c r="P7" s="195"/>
      <c r="Q7" s="195"/>
      <c r="R7" s="197"/>
      <c r="S7" s="197"/>
      <c r="T7" s="197"/>
      <c r="U7" s="197"/>
      <c r="V7" s="197"/>
      <c r="W7" s="197"/>
      <c r="X7" s="198"/>
    </row>
    <row r="8" spans="1:24">
      <c r="A8" s="193" t="s">
        <v>3654</v>
      </c>
      <c r="B8" s="195">
        <v>0</v>
      </c>
      <c r="C8" s="195">
        <v>7</v>
      </c>
      <c r="D8" s="195">
        <v>2</v>
      </c>
      <c r="E8" s="195">
        <v>2</v>
      </c>
      <c r="F8" s="195">
        <v>0</v>
      </c>
      <c r="G8" s="195">
        <v>11</v>
      </c>
      <c r="H8" s="195">
        <v>0</v>
      </c>
      <c r="I8" s="195">
        <v>0</v>
      </c>
      <c r="J8" s="195">
        <v>11</v>
      </c>
      <c r="K8" s="195">
        <v>6</v>
      </c>
      <c r="L8" s="196">
        <v>5482.3</v>
      </c>
      <c r="M8" s="196"/>
      <c r="N8" s="195"/>
      <c r="O8" s="195"/>
      <c r="P8" s="195"/>
      <c r="Q8" s="195"/>
      <c r="R8" s="197"/>
      <c r="S8" s="197"/>
      <c r="T8" s="197"/>
      <c r="U8" s="197"/>
      <c r="V8" s="197"/>
      <c r="W8" s="197"/>
      <c r="X8" s="198"/>
    </row>
    <row r="9" spans="1:24">
      <c r="A9" s="193" t="s">
        <v>3808</v>
      </c>
      <c r="B9" s="195">
        <v>0</v>
      </c>
      <c r="C9" s="195">
        <v>0</v>
      </c>
      <c r="D9" s="195">
        <v>1</v>
      </c>
      <c r="E9" s="195">
        <v>2</v>
      </c>
      <c r="F9" s="195">
        <v>0</v>
      </c>
      <c r="G9" s="195">
        <v>3</v>
      </c>
      <c r="H9" s="195">
        <v>0</v>
      </c>
      <c r="I9" s="195">
        <v>3</v>
      </c>
      <c r="J9" s="195">
        <v>0</v>
      </c>
      <c r="K9" s="195">
        <v>3</v>
      </c>
      <c r="L9" s="196">
        <v>600</v>
      </c>
      <c r="M9" s="196"/>
      <c r="N9" s="195"/>
      <c r="O9" s="195"/>
      <c r="P9" s="195"/>
      <c r="Q9" s="195"/>
      <c r="R9" s="197"/>
      <c r="S9" s="197"/>
      <c r="T9" s="197"/>
      <c r="U9" s="197"/>
      <c r="V9" s="197"/>
      <c r="W9" s="197"/>
      <c r="X9" s="198"/>
    </row>
    <row r="10" spans="1:24">
      <c r="A10" s="193" t="s">
        <v>11</v>
      </c>
      <c r="B10" s="195">
        <v>1</v>
      </c>
      <c r="C10" s="195">
        <v>2</v>
      </c>
      <c r="D10" s="195">
        <v>7</v>
      </c>
      <c r="E10" s="195">
        <v>7</v>
      </c>
      <c r="F10" s="195">
        <v>1</v>
      </c>
      <c r="G10" s="195">
        <v>18</v>
      </c>
      <c r="H10" s="195">
        <v>7</v>
      </c>
      <c r="I10" s="195">
        <v>0</v>
      </c>
      <c r="J10" s="195">
        <v>1</v>
      </c>
      <c r="K10" s="195">
        <v>11</v>
      </c>
      <c r="L10" s="196">
        <v>7215.63</v>
      </c>
      <c r="M10" s="196"/>
      <c r="N10" s="195"/>
      <c r="O10" s="195"/>
      <c r="P10" s="195"/>
      <c r="Q10" s="195"/>
      <c r="R10" s="197"/>
      <c r="S10" s="197"/>
      <c r="T10" s="197"/>
      <c r="U10" s="197"/>
      <c r="V10" s="197"/>
      <c r="W10" s="197"/>
      <c r="X10" s="198"/>
    </row>
    <row r="11" spans="1:24">
      <c r="A11" s="193" t="s">
        <v>3714</v>
      </c>
      <c r="B11" s="195">
        <v>0</v>
      </c>
      <c r="C11" s="195">
        <v>0</v>
      </c>
      <c r="D11" s="195">
        <v>3</v>
      </c>
      <c r="E11" s="195">
        <v>3</v>
      </c>
      <c r="F11" s="195">
        <v>1</v>
      </c>
      <c r="G11" s="195">
        <v>7</v>
      </c>
      <c r="H11" s="195">
        <v>0</v>
      </c>
      <c r="I11" s="195">
        <v>0</v>
      </c>
      <c r="J11" s="195">
        <v>2</v>
      </c>
      <c r="K11" s="195">
        <v>4</v>
      </c>
      <c r="L11" s="196">
        <v>3615</v>
      </c>
      <c r="M11" s="196"/>
      <c r="N11" s="195"/>
      <c r="O11" s="195"/>
      <c r="P11" s="195"/>
      <c r="Q11" s="195"/>
      <c r="R11" s="197"/>
      <c r="S11" s="197"/>
      <c r="T11" s="197"/>
      <c r="U11" s="197"/>
      <c r="V11" s="197"/>
      <c r="W11" s="197"/>
      <c r="X11" s="198"/>
    </row>
    <row r="12" spans="1:24">
      <c r="A12" s="193" t="s">
        <v>3839</v>
      </c>
      <c r="B12" s="195">
        <v>0</v>
      </c>
      <c r="C12" s="195">
        <v>0</v>
      </c>
      <c r="D12" s="195">
        <v>3</v>
      </c>
      <c r="E12" s="195">
        <v>3</v>
      </c>
      <c r="F12" s="195">
        <v>0</v>
      </c>
      <c r="G12" s="195">
        <v>6</v>
      </c>
      <c r="H12" s="195">
        <v>4</v>
      </c>
      <c r="I12" s="195">
        <v>0</v>
      </c>
      <c r="J12" s="195">
        <v>0</v>
      </c>
      <c r="K12" s="195">
        <v>2</v>
      </c>
      <c r="L12" s="196">
        <v>1800</v>
      </c>
      <c r="M12" s="196"/>
      <c r="N12" s="195"/>
      <c r="O12" s="195"/>
      <c r="P12" s="195"/>
      <c r="Q12" s="195"/>
      <c r="R12" s="197"/>
      <c r="S12" s="197"/>
      <c r="T12" s="197"/>
      <c r="U12" s="197"/>
      <c r="V12" s="197"/>
      <c r="W12" s="197"/>
      <c r="X12" s="198"/>
    </row>
    <row r="13" spans="1:24">
      <c r="A13" s="193" t="s">
        <v>3836</v>
      </c>
      <c r="B13" s="195">
        <v>0</v>
      </c>
      <c r="C13" s="195">
        <v>0</v>
      </c>
      <c r="D13" s="195">
        <v>2</v>
      </c>
      <c r="E13" s="195">
        <v>2</v>
      </c>
      <c r="F13" s="195">
        <v>1</v>
      </c>
      <c r="G13" s="195">
        <v>5</v>
      </c>
      <c r="H13" s="195">
        <v>2</v>
      </c>
      <c r="I13" s="195">
        <v>0</v>
      </c>
      <c r="J13" s="195">
        <v>0</v>
      </c>
      <c r="K13" s="195">
        <v>2</v>
      </c>
      <c r="L13" s="196">
        <v>3015</v>
      </c>
      <c r="M13" s="196"/>
      <c r="N13" s="195"/>
      <c r="O13" s="195"/>
      <c r="P13" s="195"/>
      <c r="Q13" s="195"/>
      <c r="R13" s="197"/>
      <c r="S13" s="197"/>
      <c r="T13" s="197"/>
      <c r="U13" s="197"/>
      <c r="V13" s="197"/>
      <c r="W13" s="197"/>
      <c r="X13" s="198"/>
    </row>
    <row r="14" spans="1:24">
      <c r="A14" s="193" t="s">
        <v>3074</v>
      </c>
      <c r="B14" s="195">
        <v>0</v>
      </c>
      <c r="C14" s="195">
        <v>0</v>
      </c>
      <c r="D14" s="195">
        <v>11</v>
      </c>
      <c r="E14" s="195">
        <v>11</v>
      </c>
      <c r="F14" s="195">
        <v>2</v>
      </c>
      <c r="G14" s="195">
        <v>24</v>
      </c>
      <c r="H14" s="195">
        <v>0</v>
      </c>
      <c r="I14" s="195">
        <v>0</v>
      </c>
      <c r="J14" s="195">
        <v>0</v>
      </c>
      <c r="K14" s="195">
        <v>1</v>
      </c>
      <c r="L14" s="196">
        <v>10230</v>
      </c>
      <c r="M14" s="196"/>
      <c r="N14" s="195"/>
      <c r="O14" s="195"/>
      <c r="P14" s="195"/>
      <c r="Q14" s="195"/>
      <c r="R14" s="197"/>
      <c r="S14" s="197"/>
      <c r="T14" s="197"/>
      <c r="U14" s="197"/>
      <c r="V14" s="197"/>
      <c r="W14" s="197"/>
      <c r="X14" s="198"/>
    </row>
    <row r="15" spans="1:24">
      <c r="A15" s="193" t="s">
        <v>3978</v>
      </c>
      <c r="B15" s="195">
        <v>0</v>
      </c>
      <c r="C15" s="195">
        <v>0</v>
      </c>
      <c r="D15" s="195">
        <v>1</v>
      </c>
      <c r="E15" s="195">
        <v>1</v>
      </c>
      <c r="F15" s="195">
        <v>0</v>
      </c>
      <c r="G15" s="195">
        <v>2</v>
      </c>
      <c r="H15" s="195">
        <v>0</v>
      </c>
      <c r="I15" s="195">
        <v>0</v>
      </c>
      <c r="J15" s="195">
        <v>0</v>
      </c>
      <c r="K15" s="195">
        <v>1</v>
      </c>
      <c r="L15" s="196">
        <v>600</v>
      </c>
      <c r="M15" s="196"/>
      <c r="N15" s="195"/>
      <c r="O15" s="195"/>
      <c r="P15" s="195"/>
      <c r="Q15" s="195"/>
      <c r="R15" s="197"/>
      <c r="S15" s="197"/>
      <c r="T15" s="197"/>
      <c r="U15" s="197"/>
      <c r="V15" s="197"/>
      <c r="W15" s="197"/>
      <c r="X15" s="198"/>
    </row>
  </sheetData>
  <mergeCells count="2">
    <mergeCell ref="A1:X1"/>
    <mergeCell ref="A2:X2"/>
  </mergeCells>
  <conditionalFormatting sqref="M5:M15">
    <cfRule type="containsText" dxfId="3" priority="1" operator="containsText" text="ESCALATE"/>
    <cfRule type="containsText" dxfId="2" priority="2" operator="containsText" text="HIGH"/>
    <cfRule type="containsText" dxfId="1" priority="3" operator="containsText" text="FOLLOW UP"/>
    <cfRule type="containsText" dxfId="0" priority="4" operator="containsText" text="CURRENT"/>
  </conditionalFormatting>
  <printOptions horizontalCentered="1"/>
  <pageMargins left="0.25" right="0.25" top="0.35" bottom="0.35" header="0.15" footer="0.15"/>
  <pageSetup paperSize="9" fitToHeight="0" orientation="landscape" horizontalDpi="300" verticalDpi="300"/>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P49"/>
  <sheetViews>
    <sheetView showGridLines="0" workbookViewId="0"/>
  </sheetViews>
  <sheetFormatPr defaultRowHeight="13.8"/>
  <cols>
    <col min="1" max="6" width="16" customWidth="1"/>
    <col min="7" max="7" width="28" customWidth="1"/>
    <col min="8" max="9" width="16" customWidth="1"/>
    <col min="10" max="10" width="24" customWidth="1"/>
    <col min="11" max="15" width="16" customWidth="1"/>
    <col min="16" max="16" width="12" hidden="1" customWidth="1"/>
  </cols>
  <sheetData>
    <row r="1" spans="1:16" ht="14.4">
      <c r="A1" s="168" t="s">
        <v>572</v>
      </c>
      <c r="B1" s="168" t="s">
        <v>2472</v>
      </c>
      <c r="C1" s="168" t="s">
        <v>2473</v>
      </c>
      <c r="D1" s="168" t="s">
        <v>2474</v>
      </c>
      <c r="E1" s="168" t="s">
        <v>2475</v>
      </c>
      <c r="F1" s="162"/>
      <c r="G1" s="169" t="s">
        <v>2476</v>
      </c>
      <c r="H1" s="163">
        <v>46229.868903090275</v>
      </c>
      <c r="I1" s="162"/>
      <c r="J1" s="168" t="s">
        <v>128</v>
      </c>
      <c r="K1" s="168" t="s">
        <v>2362</v>
      </c>
      <c r="L1" s="168" t="s">
        <v>2245</v>
      </c>
      <c r="M1" s="168" t="s">
        <v>2477</v>
      </c>
      <c r="N1" s="168" t="s">
        <v>2478</v>
      </c>
      <c r="O1" s="168" t="s">
        <v>2479</v>
      </c>
      <c r="P1" t="s">
        <v>2480</v>
      </c>
    </row>
    <row r="2" spans="1:16" ht="14.4">
      <c r="A2" s="164" t="str">
        <f>TEXT('Daily Tracking'!A2,"dd mmm")</f>
        <v>12 Jul</v>
      </c>
      <c r="B2" s="165">
        <f>'Daily Tracking'!Z2</f>
        <v>2358.5</v>
      </c>
      <c r="C2" s="165">
        <f>IF(COUNT('Daily Tracking'!C2,'Daily Tracking'!F2,'Daily Tracking'!I2,'Daily Tracking'!L2,'Daily Tracking'!O2,'Daily Tracking'!R2,'Daily Tracking'!U2,'Daily Tracking'!X2)=0,"",'Daily Tracking'!AA2)</f>
        <v>2358.5</v>
      </c>
      <c r="D2" s="165">
        <f>SUM($B$2:B2)</f>
        <v>2358.5</v>
      </c>
      <c r="E2" s="165">
        <f>SUM($C$2:C2)</f>
        <v>2358.5</v>
      </c>
      <c r="F2" s="162"/>
      <c r="G2" s="169" t="s">
        <v>2481</v>
      </c>
      <c r="H2" s="162" t="s">
        <v>2482</v>
      </c>
      <c r="I2" s="162"/>
      <c r="J2" s="162" t="s">
        <v>644</v>
      </c>
      <c r="K2" s="166">
        <f>SUMIF(RENTAL_STOCK[Storage Unit],J2,RENTAL_STOCK[Qty On Hire])</f>
        <v>95</v>
      </c>
      <c r="L2" s="165">
        <f>SUMIF(RENTAL_STOCK[Storage Unit],J2,RENTAL_STOCK[Daily Hire Value On Hire])</f>
        <v>749.16000000000008</v>
      </c>
      <c r="M2" s="165">
        <f>SUMIF(RENTAL_STOCK[Storage Unit],J2,RENTAL_STOCK[Est Period Hire Value])</f>
        <v>10488.24</v>
      </c>
      <c r="N2" s="166">
        <f>SUMIF(RENTAL_STOCK[Storage Unit],J2,RENTAL_STOCK[Total Qty])</f>
        <v>667</v>
      </c>
      <c r="O2" s="167">
        <f t="shared" ref="O2:O17" si="0">IFERROR(K2/N2,0)</f>
        <v>0.14242878560719641</v>
      </c>
      <c r="P2">
        <f>IF('Daily Tracking'!$A$2&lt;=$H$1,'Daily Tracking'!$Z$2,0)</f>
        <v>2358.5</v>
      </c>
    </row>
    <row r="3" spans="1:16" ht="14.4">
      <c r="A3" s="164" t="str">
        <f>TEXT('Daily Tracking'!A3,"dd mmm")</f>
        <v>13 Jul</v>
      </c>
      <c r="B3" s="165">
        <f>'Daily Tracking'!Z3</f>
        <v>2828.5</v>
      </c>
      <c r="C3" s="165">
        <f>IF(COUNT('Daily Tracking'!C3,'Daily Tracking'!F3,'Daily Tracking'!I3,'Daily Tracking'!L3,'Daily Tracking'!O3,'Daily Tracking'!R3,'Daily Tracking'!U3,'Daily Tracking'!X3)=0,"",'Daily Tracking'!AA3)</f>
        <v>2828.5</v>
      </c>
      <c r="D3" s="165">
        <f>SUM($B$2:B3)</f>
        <v>5187</v>
      </c>
      <c r="E3" s="165">
        <f>SUM($C$2:C3)</f>
        <v>5187</v>
      </c>
      <c r="F3" s="162"/>
      <c r="G3" s="169" t="s">
        <v>2483</v>
      </c>
      <c r="H3" s="162" t="str">
        <f ca="1">IF(TODAY()&lt;DATE(2026,7,20),"MOBILISATION — T-"&amp;(DATE(2026,7,20)-TODAY())&amp;" DAYS",IF(TODAY()&lt;=DATE(2026,8,11),"SHUTDOWN DAY "&amp;(TODAY()-DATE(2026,7,20)+1)&amp;" OF 23","SHUTDOWN COMPLETE"))</f>
        <v>SHUTDOWN DAY 7 OF 23</v>
      </c>
      <c r="I3" s="162"/>
      <c r="J3" s="162" t="s">
        <v>651</v>
      </c>
      <c r="K3" s="166">
        <f>SUMIF(RENTAL_STOCK[Storage Unit],J3,RENTAL_STOCK[Qty On Hire])</f>
        <v>88</v>
      </c>
      <c r="L3" s="165">
        <f>SUMIF(RENTAL_STOCK[Storage Unit],J3,RENTAL_STOCK[Daily Hire Value On Hire])</f>
        <v>315.20999999999998</v>
      </c>
      <c r="M3" s="165">
        <f>SUMIF(RENTAL_STOCK[Storage Unit],J3,RENTAL_STOCK[Est Period Hire Value])</f>
        <v>4412.9400000000005</v>
      </c>
      <c r="N3" s="166">
        <f>SUMIF(RENTAL_STOCK[Storage Unit],J3,RENTAL_STOCK[Total Qty])</f>
        <v>852</v>
      </c>
      <c r="O3" s="167">
        <f t="shared" si="0"/>
        <v>0.10328638497652583</v>
      </c>
      <c r="P3">
        <f>IF('Daily Tracking'!$A$3&lt;=$H$1,'Daily Tracking'!$Z$3,0)</f>
        <v>2828.5</v>
      </c>
    </row>
    <row r="4" spans="1:16" ht="14.4">
      <c r="A4" s="164" t="str">
        <f>TEXT('Daily Tracking'!A4,"dd mmm")</f>
        <v>14 Jul</v>
      </c>
      <c r="B4" s="165">
        <f>'Daily Tracking'!Z4</f>
        <v>2828.5</v>
      </c>
      <c r="C4" s="165">
        <f>IF(COUNT('Daily Tracking'!C4,'Daily Tracking'!F4,'Daily Tracking'!I4,'Daily Tracking'!L4,'Daily Tracking'!O4,'Daily Tracking'!R4,'Daily Tracking'!U4,'Daily Tracking'!X4)=0,"",'Daily Tracking'!AA4)</f>
        <v>2828.5</v>
      </c>
      <c r="D4" s="165">
        <f>SUM($B$2:B4)</f>
        <v>8015.5</v>
      </c>
      <c r="E4" s="165">
        <f>SUM($C$2:C4)</f>
        <v>8015.5</v>
      </c>
      <c r="F4" s="162"/>
      <c r="G4" s="169"/>
      <c r="H4" s="162"/>
      <c r="I4" s="162"/>
      <c r="J4" s="162" t="s">
        <v>842</v>
      </c>
      <c r="K4" s="166">
        <f>SUMIF(RENTAL_STOCK[Storage Unit],J4,RENTAL_STOCK[Qty On Hire])</f>
        <v>12</v>
      </c>
      <c r="L4" s="165">
        <f>SUMIF(RENTAL_STOCK[Storage Unit],J4,RENTAL_STOCK[Daily Hire Value On Hire])</f>
        <v>122.5</v>
      </c>
      <c r="M4" s="165">
        <f>SUMIF(RENTAL_STOCK[Storage Unit],J4,RENTAL_STOCK[Est Period Hire Value])</f>
        <v>1715</v>
      </c>
      <c r="N4" s="166">
        <f>SUMIF(RENTAL_STOCK[Storage Unit],J4,RENTAL_STOCK[Total Qty])</f>
        <v>81</v>
      </c>
      <c r="O4" s="167">
        <f t="shared" si="0"/>
        <v>0.14814814814814814</v>
      </c>
      <c r="P4">
        <f>IF('Daily Tracking'!$A$4&lt;=$H$1,'Daily Tracking'!$Z$4,0)</f>
        <v>2828.5</v>
      </c>
    </row>
    <row r="5" spans="1:16" ht="14.4">
      <c r="A5" s="164" t="str">
        <f>TEXT('Daily Tracking'!A5,"dd mmm")</f>
        <v>15 Jul</v>
      </c>
      <c r="B5" s="165">
        <f>'Daily Tracking'!Z5</f>
        <v>2828.5</v>
      </c>
      <c r="C5" s="165">
        <f>IF(COUNT('Daily Tracking'!C5,'Daily Tracking'!F5,'Daily Tracking'!I5,'Daily Tracking'!L5,'Daily Tracking'!O5,'Daily Tracking'!R5,'Daily Tracking'!U5,'Daily Tracking'!X5)=0,"",'Daily Tracking'!AA5)</f>
        <v>2828.5</v>
      </c>
      <c r="D5" s="165">
        <f>SUM($B$2:B5)</f>
        <v>10844</v>
      </c>
      <c r="E5" s="165">
        <f>SUM($C$2:C5)</f>
        <v>10844</v>
      </c>
      <c r="F5" s="162"/>
      <c r="G5" s="169" t="s">
        <v>2484</v>
      </c>
      <c r="H5" s="165">
        <f>SUM(RENTAL_STOCK[Daily Hire Value On Hire])</f>
        <v>6497.58</v>
      </c>
      <c r="I5" s="162"/>
      <c r="J5" s="162" t="s">
        <v>638</v>
      </c>
      <c r="K5" s="166">
        <f>SUMIF(RENTAL_STOCK[Storage Unit],J5,RENTAL_STOCK[Qty On Hire])</f>
        <v>33</v>
      </c>
      <c r="L5" s="165">
        <f>SUMIF(RENTAL_STOCK[Storage Unit],J5,RENTAL_STOCK[Daily Hire Value On Hire])</f>
        <v>187.88</v>
      </c>
      <c r="M5" s="165">
        <f>SUMIF(RENTAL_STOCK[Storage Unit],J5,RENTAL_STOCK[Est Period Hire Value])</f>
        <v>2630.32</v>
      </c>
      <c r="N5" s="166">
        <f>SUMIF(RENTAL_STOCK[Storage Unit],J5,RENTAL_STOCK[Total Qty])</f>
        <v>435</v>
      </c>
      <c r="O5" s="167">
        <f t="shared" si="0"/>
        <v>7.586206896551724E-2</v>
      </c>
      <c r="P5">
        <f>IF('Daily Tracking'!$A$5&lt;=$H$1,'Daily Tracking'!$Z$5,0)</f>
        <v>2828.5</v>
      </c>
    </row>
    <row r="6" spans="1:16" ht="14.4">
      <c r="A6" s="164" t="str">
        <f>TEXT('Daily Tracking'!A6,"dd mmm")</f>
        <v>16 Jul</v>
      </c>
      <c r="B6" s="165">
        <f>'Daily Tracking'!Z6</f>
        <v>2828.5</v>
      </c>
      <c r="C6" s="165">
        <f>IF(COUNT('Daily Tracking'!C6,'Daily Tracking'!F6,'Daily Tracking'!I6,'Daily Tracking'!L6,'Daily Tracking'!O6,'Daily Tracking'!R6,'Daily Tracking'!U6,'Daily Tracking'!X6)=0,"",'Daily Tracking'!AA6)</f>
        <v>3126.19</v>
      </c>
      <c r="D6" s="165">
        <f>SUM($B$2:B6)</f>
        <v>13672.5</v>
      </c>
      <c r="E6" s="165">
        <f>SUM($C$2:C6)</f>
        <v>13970.19</v>
      </c>
      <c r="F6" s="162"/>
      <c r="G6" s="169" t="s">
        <v>2485</v>
      </c>
      <c r="H6" s="165">
        <f>SUM(RENTAL_STOCK[Est Period Hire Value])</f>
        <v>90966.12</v>
      </c>
      <c r="I6" s="162"/>
      <c r="J6" s="162" t="s">
        <v>1002</v>
      </c>
      <c r="K6" s="166">
        <f>SUMIF(RENTAL_STOCK[Storage Unit],J6,RENTAL_STOCK[Qty On Hire])</f>
        <v>53</v>
      </c>
      <c r="L6" s="165">
        <f>SUMIF(RENTAL_STOCK[Storage Unit],J6,RENTAL_STOCK[Daily Hire Value On Hire])</f>
        <v>6.3999999999999968</v>
      </c>
      <c r="M6" s="165">
        <f>SUMIF(RENTAL_STOCK[Storage Unit],J6,RENTAL_STOCK[Est Period Hire Value])</f>
        <v>89.600000000000051</v>
      </c>
      <c r="N6" s="166">
        <f>SUMIF(RENTAL_STOCK[Storage Unit],J6,RENTAL_STOCK[Total Qty])</f>
        <v>2297</v>
      </c>
      <c r="O6" s="167">
        <f t="shared" si="0"/>
        <v>2.3073574227252938E-2</v>
      </c>
      <c r="P6">
        <f>IF('Daily Tracking'!$A$6&lt;=$H$1,'Daily Tracking'!$Z$6,0)</f>
        <v>2828.5</v>
      </c>
    </row>
    <row r="7" spans="1:16" ht="14.4">
      <c r="A7" s="164" t="str">
        <f>TEXT('Daily Tracking'!A7,"dd mmm")</f>
        <v>17 Jul</v>
      </c>
      <c r="B7" s="165">
        <f>'Daily Tracking'!Z7</f>
        <v>3725.2</v>
      </c>
      <c r="C7" s="165">
        <f>IF(COUNT('Daily Tracking'!C7,'Daily Tracking'!F7,'Daily Tracking'!I7,'Daily Tracking'!L7,'Daily Tracking'!O7,'Daily Tracking'!R7,'Daily Tracking'!U7,'Daily Tracking'!X7)=0,"",'Daily Tracking'!AA7)</f>
        <v>4119.3500000000004</v>
      </c>
      <c r="D7" s="165">
        <f>SUM($B$2:B7)</f>
        <v>17397.7</v>
      </c>
      <c r="E7" s="165">
        <f>SUM($C$2:C7)</f>
        <v>18089.54</v>
      </c>
      <c r="F7" s="162"/>
      <c r="G7" s="169" t="s">
        <v>2362</v>
      </c>
      <c r="H7" s="166">
        <f>SUM(RENTAL_STOCK[Qty On Hire])</f>
        <v>429</v>
      </c>
      <c r="I7" s="162"/>
      <c r="J7" s="162" t="s">
        <v>712</v>
      </c>
      <c r="K7" s="166">
        <f>SUMIF(RENTAL_STOCK[Storage Unit],J7,RENTAL_STOCK[Qty On Hire])</f>
        <v>2</v>
      </c>
      <c r="L7" s="165">
        <f>SUMIF(RENTAL_STOCK[Storage Unit],J7,RENTAL_STOCK[Daily Hire Value On Hire])</f>
        <v>2</v>
      </c>
      <c r="M7" s="165">
        <f>SUMIF(RENTAL_STOCK[Storage Unit],J7,RENTAL_STOCK[Est Period Hire Value])</f>
        <v>28</v>
      </c>
      <c r="N7" s="166">
        <f>SUMIF(RENTAL_STOCK[Storage Unit],J7,RENTAL_STOCK[Total Qty])</f>
        <v>300</v>
      </c>
      <c r="O7" s="167">
        <f t="shared" si="0"/>
        <v>6.6666666666666671E-3</v>
      </c>
      <c r="P7">
        <f>IF('Daily Tracking'!$A$7&lt;=$H$1,'Daily Tracking'!$Z$7,0)</f>
        <v>3725.2</v>
      </c>
    </row>
    <row r="8" spans="1:16" ht="14.4">
      <c r="A8" s="164" t="str">
        <f>TEXT('Daily Tracking'!A8,"dd mmm")</f>
        <v>18 Jul</v>
      </c>
      <c r="B8" s="165">
        <f>'Daily Tracking'!Z8</f>
        <v>1375.2</v>
      </c>
      <c r="C8" s="165">
        <f>IF(COUNT('Daily Tracking'!C8,'Daily Tracking'!F8,'Daily Tracking'!I8,'Daily Tracking'!L8,'Daily Tracking'!O8,'Daily Tracking'!R8,'Daily Tracking'!U8,'Daily Tracking'!X8)=0,"",'Daily Tracking'!AA8)</f>
        <v>1769.35</v>
      </c>
      <c r="D8" s="165">
        <f>SUM($B$2:B8)</f>
        <v>18772.900000000001</v>
      </c>
      <c r="E8" s="165">
        <f>SUM($C$2:C8)</f>
        <v>19858.89</v>
      </c>
      <c r="F8" s="162"/>
      <c r="G8" s="169" t="s">
        <v>2486</v>
      </c>
      <c r="H8" s="166">
        <f>SUM(N2:N17)</f>
        <v>5244</v>
      </c>
      <c r="I8" s="162"/>
      <c r="J8" s="162" t="s">
        <v>915</v>
      </c>
      <c r="K8" s="166">
        <f>SUMIF(RENTAL_STOCK[Storage Unit],J8,RENTAL_STOCK[Qty On Hire])</f>
        <v>8</v>
      </c>
      <c r="L8" s="165">
        <f>SUMIF(RENTAL_STOCK[Storage Unit],J8,RENTAL_STOCK[Daily Hire Value On Hire])</f>
        <v>44.42</v>
      </c>
      <c r="M8" s="165">
        <f>SUMIF(RENTAL_STOCK[Storage Unit],J8,RENTAL_STOCK[Est Period Hire Value])</f>
        <v>621.87999999999988</v>
      </c>
      <c r="N8" s="166">
        <f>SUMIF(RENTAL_STOCK[Storage Unit],J8,RENTAL_STOCK[Total Qty])</f>
        <v>71</v>
      </c>
      <c r="O8" s="167">
        <f t="shared" si="0"/>
        <v>0.11267605633802817</v>
      </c>
      <c r="P8">
        <f>IF('Daily Tracking'!$A$8&lt;=$H$1,'Daily Tracking'!$Z$8,0)</f>
        <v>1375.2</v>
      </c>
    </row>
    <row r="9" spans="1:16" ht="14.4">
      <c r="A9" s="164" t="str">
        <f>TEXT('Daily Tracking'!A9,"dd mmm")</f>
        <v>19 Jul</v>
      </c>
      <c r="B9" s="165">
        <f>'Daily Tracking'!Z9</f>
        <v>2134.6999999999998</v>
      </c>
      <c r="C9" s="165">
        <f>IF(COUNT('Daily Tracking'!C9,'Daily Tracking'!F9,'Daily Tracking'!I9,'Daily Tracking'!L9,'Daily Tracking'!O9,'Daily Tracking'!R9,'Daily Tracking'!U9,'Daily Tracking'!X9)=0,"",'Daily Tracking'!AA9)</f>
        <v>2528.85</v>
      </c>
      <c r="D9" s="165">
        <f>SUM($B$2:B9)</f>
        <v>20907.600000000002</v>
      </c>
      <c r="E9" s="165">
        <f>SUM($C$2:C9)</f>
        <v>22387.739999999998</v>
      </c>
      <c r="F9" s="162"/>
      <c r="G9" s="169" t="s">
        <v>2479</v>
      </c>
      <c r="H9" s="167">
        <f>IFERROR(H7/H8,0)</f>
        <v>8.1807780320366133E-2</v>
      </c>
      <c r="I9" s="162"/>
      <c r="J9" s="162" t="s">
        <v>2352</v>
      </c>
      <c r="K9" s="166">
        <f>SUMIF(RENTAL_STOCK[Storage Unit],J9,RENTAL_STOCK[Qty On Hire])</f>
        <v>56</v>
      </c>
      <c r="L9" s="165">
        <f>SUMIF(RENTAL_STOCK[Storage Unit],J9,RENTAL_STOCK[Daily Hire Value On Hire])</f>
        <v>3255.1899999999996</v>
      </c>
      <c r="M9" s="165">
        <f>SUMIF(RENTAL_STOCK[Storage Unit],J9,RENTAL_STOCK[Est Period Hire Value])</f>
        <v>45572.66</v>
      </c>
      <c r="N9" s="166">
        <f>SUMIF(RENTAL_STOCK[Storage Unit],J9,RENTAL_STOCK[Total Qty])</f>
        <v>159</v>
      </c>
      <c r="O9" s="167">
        <f t="shared" si="0"/>
        <v>0.3522012578616352</v>
      </c>
      <c r="P9">
        <f>IF('Daily Tracking'!$A$9&lt;=$H$1,'Daily Tracking'!$Z$9,0)</f>
        <v>2134.6999999999998</v>
      </c>
    </row>
    <row r="10" spans="1:16" ht="14.4">
      <c r="A10" s="164" t="str">
        <f>TEXT('Daily Tracking'!A10,"dd mmm")</f>
        <v>20 Jul</v>
      </c>
      <c r="B10" s="165">
        <f>'Daily Tracking'!Z10</f>
        <v>62897.851999999948</v>
      </c>
      <c r="C10" s="165">
        <f>IF(COUNT('Daily Tracking'!C10,'Daily Tracking'!F10,'Daily Tracking'!I10,'Daily Tracking'!L10,'Daily Tracking'!O10,'Daily Tracking'!R10,'Daily Tracking'!U10,'Daily Tracking'!X10)=0,"",'Daily Tracking'!AA10)</f>
        <v>12320.980000000001</v>
      </c>
      <c r="D10" s="165">
        <f>SUM($B$2:B10)</f>
        <v>83805.451999999947</v>
      </c>
      <c r="E10" s="165">
        <f>SUM($C$2:C10)</f>
        <v>34708.720000000001</v>
      </c>
      <c r="F10" s="162"/>
      <c r="G10" s="169" t="s">
        <v>2487</v>
      </c>
      <c r="H10" s="166">
        <f>COUNTIF(Tooling_Onhire__4[Days On Hire],"&gt;=4")+COUNTIF(RENTAL_STOCK__3[Days On Hire],"&gt;=4")+COUNTIFS(Radios_Onhire[Days On Hire],"&gt;=4",Radios_Onhire[Asset Type ID],"&lt;&gt;RADIO_BATTERY")+COUNTIF(Gas_Monitors_Onhire[Days On Hire],"&gt;=4")</f>
        <v>41</v>
      </c>
      <c r="I10" s="162"/>
      <c r="J10" s="162" t="s">
        <v>2259</v>
      </c>
      <c r="K10" s="166">
        <v>37</v>
      </c>
      <c r="L10" s="165">
        <v>922.32</v>
      </c>
      <c r="M10" s="165">
        <v>12912.480000000001</v>
      </c>
      <c r="N10" s="166">
        <f>SUMIFS(BulkEquipmentTable[Qty On Site],BulkEquipmentTable[Storage Unit],"Radios",BulkEquipmentTable[Equipment Type],"Two-Way Radio")</f>
        <v>72</v>
      </c>
      <c r="O10" s="167">
        <f t="shared" si="0"/>
        <v>0.51388888888888884</v>
      </c>
      <c r="P10">
        <f>IF('Daily Tracking'!$A$10&lt;=$H$1,'Daily Tracking'!$Z$10,0)</f>
        <v>62897.851999999948</v>
      </c>
    </row>
    <row r="11" spans="1:16" ht="14.4">
      <c r="A11" s="164" t="str">
        <f>TEXT('Daily Tracking'!A11,"dd mmm")</f>
        <v>21 Jul</v>
      </c>
      <c r="B11" s="165">
        <f>'Daily Tracking'!Z11</f>
        <v>18048.851999999948</v>
      </c>
      <c r="C11" s="165">
        <f>IF(COUNT('Daily Tracking'!C11,'Daily Tracking'!F11,'Daily Tracking'!I11,'Daily Tracking'!L11,'Daily Tracking'!O11,'Daily Tracking'!R11,'Daily Tracking'!U11,'Daily Tracking'!X11)=0,"",'Daily Tracking'!AA11)</f>
        <v>13802.550000000001</v>
      </c>
      <c r="D11" s="165">
        <f>SUM($B$2:B11)</f>
        <v>101854.30399999989</v>
      </c>
      <c r="E11" s="165">
        <f>SUM($C$2:C11)</f>
        <v>48511.270000000004</v>
      </c>
      <c r="F11" s="162"/>
      <c r="G11" s="169" t="s">
        <v>2356</v>
      </c>
      <c r="H11" s="165">
        <f>SUM(Tooling_Onhire__4[Replacement Cost])+SUM(RENTAL_STOCK__3[Replacement Cost])+SUM(Radios_Onhire[Replacement Cost])+SUM(Gas_Monitors_Onhire[Replacement Fee])</f>
        <v>146963.78000000003</v>
      </c>
      <c r="I11" s="162"/>
      <c r="J11" s="162" t="s">
        <v>2443</v>
      </c>
      <c r="K11" s="166">
        <v>37</v>
      </c>
      <c r="L11" s="165">
        <v>0</v>
      </c>
      <c r="M11" s="165">
        <v>0</v>
      </c>
      <c r="N11" s="166">
        <v>104</v>
      </c>
      <c r="O11" s="167">
        <f t="shared" si="0"/>
        <v>0.35576923076923078</v>
      </c>
      <c r="P11">
        <f>IF('Daily Tracking'!$A$11&lt;=$H$1,'Daily Tracking'!$Z$11,0)</f>
        <v>18048.851999999948</v>
      </c>
    </row>
    <row r="12" spans="1:16" ht="14.4">
      <c r="A12" s="164" t="str">
        <f>TEXT('Daily Tracking'!A12,"dd mmm")</f>
        <v>22 Jul</v>
      </c>
      <c r="B12" s="165">
        <f>'Daily Tracking'!Z12</f>
        <v>18808.351999999948</v>
      </c>
      <c r="C12" s="165">
        <f>IF(COUNT('Daily Tracking'!C12,'Daily Tracking'!F12,'Daily Tracking'!I12,'Daily Tracking'!L12,'Daily Tracking'!O12,'Daily Tracking'!R12,'Daily Tracking'!U12,'Daily Tracking'!X12)=0,"",'Daily Tracking'!AA12)</f>
        <v>12731.99</v>
      </c>
      <c r="D12" s="165">
        <f>SUM($B$2:B12)</f>
        <v>120662.65599999984</v>
      </c>
      <c r="E12" s="165">
        <f>SUM($C$2:C12)</f>
        <v>61243.26</v>
      </c>
      <c r="F12" s="162"/>
      <c r="G12" s="169" t="s">
        <v>2488</v>
      </c>
      <c r="H12" s="162">
        <f>COUNTIF(Tooling_Onhire__4[Replacement Price Basis],"*estimated*")</f>
        <v>0</v>
      </c>
      <c r="I12" s="162"/>
      <c r="J12" s="162" t="s">
        <v>2264</v>
      </c>
      <c r="K12" s="166">
        <f>SUMIF(RENTAL_STOCK[Storage Unit],J12,RENTAL_STOCK[Qty On Hire])</f>
        <v>8</v>
      </c>
      <c r="L12" s="165">
        <f>SUMIF(RENTAL_STOCK[Storage Unit],J12,RENTAL_STOCK[Daily Hire Value On Hire])</f>
        <v>892.5</v>
      </c>
      <c r="M12" s="165">
        <f>SUMIF(RENTAL_STOCK[Storage Unit],J12,RENTAL_STOCK[Est Period Hire Value])</f>
        <v>12495</v>
      </c>
      <c r="N12" s="166">
        <f>SUMIF(RENTAL_STOCK[Storage Unit],J12,RENTAL_STOCK[Total Qty])</f>
        <v>30</v>
      </c>
      <c r="O12" s="167">
        <f t="shared" si="0"/>
        <v>0.26666666666666666</v>
      </c>
      <c r="P12">
        <f>IF('Daily Tracking'!$A$12&lt;=$H$1,'Daily Tracking'!$Z$12,0)</f>
        <v>18808.351999999948</v>
      </c>
    </row>
    <row r="13" spans="1:16" ht="14.4">
      <c r="A13" s="164" t="str">
        <f>TEXT('Daily Tracking'!A13,"dd mmm")</f>
        <v>23 Jul</v>
      </c>
      <c r="B13" s="165">
        <f>'Daily Tracking'!Z13</f>
        <v>18108.351999999948</v>
      </c>
      <c r="C13" s="165">
        <f>IF(COUNT('Daily Tracking'!C13,'Daily Tracking'!F13,'Daily Tracking'!I13,'Daily Tracking'!L13,'Daily Tracking'!O13,'Daily Tracking'!R13,'Daily Tracking'!U13,'Daily Tracking'!X13)=0,"",'Daily Tracking'!AA13)</f>
        <v>12614.95</v>
      </c>
      <c r="D13" s="165">
        <f>SUM($B$2:B13)</f>
        <v>138771.0079999998</v>
      </c>
      <c r="E13" s="165">
        <f>SUM($C$2:C13)</f>
        <v>73858.210000000006</v>
      </c>
      <c r="F13" s="162"/>
      <c r="G13" s="169" t="s">
        <v>2489</v>
      </c>
      <c r="H13" s="165">
        <f>'Plant Equipment'!C178</f>
        <v>9916.7599999999984</v>
      </c>
      <c r="I13" s="162"/>
      <c r="J13" s="162" t="s">
        <v>2452</v>
      </c>
      <c r="K13" s="166">
        <v>0</v>
      </c>
      <c r="L13" s="165">
        <v>0</v>
      </c>
      <c r="M13" s="165">
        <v>0</v>
      </c>
      <c r="N13" s="166">
        <f>SUMIFS(BulkEquipmentTable[Qty On Site],BulkEquipmentTable[Storage Unit],"Cement Barriers",BulkEquipmentTable[Equipment Type],"Crash-Rated Water-Filled Barrier")</f>
        <v>50</v>
      </c>
      <c r="O13" s="167">
        <f t="shared" si="0"/>
        <v>0</v>
      </c>
      <c r="P13">
        <f>IF('Daily Tracking'!$A$13&lt;=$H$1,'Daily Tracking'!$Z$13,0)</f>
        <v>18108.351999999948</v>
      </c>
    </row>
    <row r="14" spans="1:16" ht="14.4">
      <c r="A14" s="164" t="str">
        <f>TEXT('Daily Tracking'!A14,"dd mmm")</f>
        <v>24 Jul</v>
      </c>
      <c r="B14" s="165">
        <f>'Daily Tracking'!Z14</f>
        <v>19860.351999999948</v>
      </c>
      <c r="C14" s="165">
        <f>IF(COUNT('Daily Tracking'!C14,'Daily Tracking'!F14,'Daily Tracking'!I14,'Daily Tracking'!L14,'Daily Tracking'!O14,'Daily Tracking'!R14,'Daily Tracking'!U14,'Daily Tracking'!X14)=0,"",'Daily Tracking'!AA14)</f>
        <v>14366.95</v>
      </c>
      <c r="D14" s="165">
        <f>SUM($B$2:B14)</f>
        <v>158631.35999999975</v>
      </c>
      <c r="E14" s="165">
        <f>SUM($C$2:C14)</f>
        <v>88225.16</v>
      </c>
      <c r="F14" s="162"/>
      <c r="G14" s="169" t="s">
        <v>2490</v>
      </c>
      <c r="H14" s="165">
        <f>'Plant Equipment'!D178</f>
        <v>228085.47999999998</v>
      </c>
      <c r="I14" s="162"/>
      <c r="J14" s="162" t="s">
        <v>637</v>
      </c>
      <c r="K14" s="166">
        <v>0</v>
      </c>
      <c r="L14" s="165">
        <v>0</v>
      </c>
      <c r="M14" s="165">
        <v>0</v>
      </c>
      <c r="N14" s="166">
        <f>SUMIFS(BulkEquipmentTable[Qty On Site],BulkEquipmentTable[Storage Unit],"Cement Barriers",BulkEquipmentTable[Equipment Type],"Crowd Control Barrier")</f>
        <v>40</v>
      </c>
      <c r="O14" s="162">
        <f t="shared" si="0"/>
        <v>0</v>
      </c>
      <c r="P14">
        <f>IF('Daily Tracking'!$A$14&lt;=$H$1,'Daily Tracking'!$Z$14,0)</f>
        <v>19860.351999999948</v>
      </c>
    </row>
    <row r="15" spans="1:16" ht="14.4">
      <c r="A15" s="164" t="str">
        <f>TEXT('Daily Tracking'!A15,"dd mmm")</f>
        <v>25 Jul</v>
      </c>
      <c r="B15" s="165">
        <f>'Daily Tracking'!Z15</f>
        <v>20630.351999999948</v>
      </c>
      <c r="C15" s="165">
        <f>IF(COUNT('Daily Tracking'!C15,'Daily Tracking'!F15,'Daily Tracking'!I15,'Daily Tracking'!L15,'Daily Tracking'!O15,'Daily Tracking'!R15,'Daily Tracking'!U15,'Daily Tracking'!X15)=0,"",'Daily Tracking'!AA15)</f>
        <v>15486.800000000001</v>
      </c>
      <c r="D15" s="165">
        <f>SUM($B$2:B15)</f>
        <v>179261.71199999971</v>
      </c>
      <c r="E15" s="165">
        <f>SUM($C$2:C15)</f>
        <v>103711.96</v>
      </c>
      <c r="F15" s="162"/>
      <c r="G15" s="169" t="s">
        <v>2491</v>
      </c>
      <c r="H15" s="165">
        <f>ROUND('Daily Tracking'!Z38,2)</f>
        <v>606916.1</v>
      </c>
      <c r="I15" s="162"/>
      <c r="J15" s="162" t="s">
        <v>2453</v>
      </c>
      <c r="K15" s="166">
        <v>0</v>
      </c>
      <c r="L15" s="165">
        <v>0</v>
      </c>
      <c r="M15" s="165">
        <v>0</v>
      </c>
      <c r="N15" s="166">
        <f>SUMIFS(BulkEquipmentTable[Qty On Site],BulkEquipmentTable[Storage Unit],"Cement Rubbish Chutes",BulkEquipmentTable[Equipment Type],"Rubbish Chute 1M Section")</f>
        <v>70</v>
      </c>
      <c r="O15" s="162">
        <f t="shared" si="0"/>
        <v>0</v>
      </c>
      <c r="P15">
        <f>IF('Daily Tracking'!$A$15&lt;=$H$1,'Daily Tracking'!$Z$15,0)</f>
        <v>20630.351999999948</v>
      </c>
    </row>
    <row r="16" spans="1:16" ht="14.4">
      <c r="A16" s="164" t="str">
        <f>TEXT('Daily Tracking'!A16,"dd mmm")</f>
        <v>26 Jul</v>
      </c>
      <c r="B16" s="165">
        <f>'Daily Tracking'!Z16</f>
        <v>21530.351999999948</v>
      </c>
      <c r="C16" s="165">
        <f>IF(COUNT('Daily Tracking'!C16,'Daily Tracking'!F16,'Daily Tracking'!I16,'Daily Tracking'!L16,'Daily Tracking'!O16,'Daily Tracking'!R16,'Daily Tracking'!U16,'Daily Tracking'!X16)=0,"",'Daily Tracking'!AA16)</f>
        <v>16396.7</v>
      </c>
      <c r="D16" s="165">
        <f>SUM($B$2:B16)</f>
        <v>200792.06399999966</v>
      </c>
      <c r="E16" s="165">
        <f>SUM($C$2:C16)</f>
        <v>120108.66</v>
      </c>
      <c r="F16" s="162"/>
      <c r="G16" s="169" t="s">
        <v>2492</v>
      </c>
      <c r="H16" s="162" t="str">
        <f ca="1">IF(K2_ActualCompleteness&lt;1,"NOT LOADED",SUMIFS('Daily Tracking'!$AA$2:$AA$36,'Daily Tracking'!$A$2:$A$36,"&lt;="&amp;TODAY()))</f>
        <v>NOT LOADED</v>
      </c>
      <c r="I16" s="162"/>
      <c r="J16" s="162" t="s">
        <v>2454</v>
      </c>
      <c r="K16" s="166">
        <v>0</v>
      </c>
      <c r="L16" s="165">
        <v>0</v>
      </c>
      <c r="M16" s="165">
        <v>0</v>
      </c>
      <c r="N16" s="166">
        <f>SUMIFS(BulkEquipmentTable[Qty On Site],BulkEquipmentTable[Storage Unit],"Cement Rubbish Chutes",BulkEquipmentTable[Equipment Type],"Rubbish Chute Frame")</f>
        <v>8</v>
      </c>
      <c r="O16" s="162">
        <f t="shared" si="0"/>
        <v>0</v>
      </c>
      <c r="P16">
        <f>IF('Daily Tracking'!$A$16&lt;=$H$1,'Daily Tracking'!$Z$16,0)</f>
        <v>21530.351999999948</v>
      </c>
    </row>
    <row r="17" spans="1:16" ht="14.4">
      <c r="A17" s="164" t="str">
        <f>TEXT('Daily Tracking'!A17,"dd mmm")</f>
        <v>27 Jul</v>
      </c>
      <c r="B17" s="165">
        <f>'Daily Tracking'!Z17</f>
        <v>21530.351999999948</v>
      </c>
      <c r="C17" s="165" t="str">
        <f>IF(COUNT('Daily Tracking'!C17,'Daily Tracking'!F17,'Daily Tracking'!I17,'Daily Tracking'!L17,'Daily Tracking'!O17,'Daily Tracking'!R17,'Daily Tracking'!U17,'Daily Tracking'!X17)=0,"",'Daily Tracking'!AA17)</f>
        <v/>
      </c>
      <c r="D17" s="165">
        <f>SUM($B$2:B17)</f>
        <v>222322.41599999962</v>
      </c>
      <c r="E17" s="165">
        <f>SUM($C$2:C17)</f>
        <v>120108.66</v>
      </c>
      <c r="F17" s="162"/>
      <c r="G17" s="169" t="s">
        <v>2493</v>
      </c>
      <c r="H17" s="165">
        <f>IFERROR(SUM($P$2:$P$36),13672.5)</f>
        <v>200792.06399999966</v>
      </c>
      <c r="I17" s="162"/>
      <c r="J17" s="162" t="s">
        <v>2455</v>
      </c>
      <c r="K17" s="166">
        <v>0</v>
      </c>
      <c r="L17" s="165">
        <v>0</v>
      </c>
      <c r="M17" s="165">
        <v>0</v>
      </c>
      <c r="N17" s="166">
        <f>SUMIFS(BulkEquipmentTable[Qty On Site],BulkEquipmentTable[Storage Unit],"Cement Rubbish Chutes",BulkEquipmentTable[Equipment Type],"Rubbish Chute Top Hopper")</f>
        <v>8</v>
      </c>
      <c r="O17" s="162">
        <f t="shared" si="0"/>
        <v>0</v>
      </c>
      <c r="P17">
        <f>IF('Daily Tracking'!$A$17&lt;=$H$1,'Daily Tracking'!$Z$17,0)</f>
        <v>0</v>
      </c>
    </row>
    <row r="18" spans="1:16" ht="14.4">
      <c r="A18" s="164" t="str">
        <f>TEXT('Daily Tracking'!A18,"dd mmm")</f>
        <v>28 Jul</v>
      </c>
      <c r="B18" s="165">
        <f>'Daily Tracking'!Z18</f>
        <v>21530.351999999948</v>
      </c>
      <c r="C18" s="165" t="str">
        <f>IF(COUNT('Daily Tracking'!C18,'Daily Tracking'!F18,'Daily Tracking'!I18,'Daily Tracking'!L18,'Daily Tracking'!O18,'Daily Tracking'!R18,'Daily Tracking'!U18,'Daily Tracking'!X18)=0,"",'Daily Tracking'!AA18)</f>
        <v/>
      </c>
      <c r="D18" s="165">
        <f>SUM($B$2:B18)</f>
        <v>243852.76799999957</v>
      </c>
      <c r="E18" s="165">
        <f>SUM($C$2:C18)</f>
        <v>120108.66</v>
      </c>
      <c r="F18" s="162"/>
      <c r="G18" s="169" t="s">
        <v>2494</v>
      </c>
      <c r="H18" s="162" t="str">
        <f ca="1">IF(K2_ActualCompleteness&lt;1,"NOT LOADED",SUMIFS('Daily Tracking'!$AA$2:$AA$36,'Daily Tracking'!$A$2:$A$36,"&lt;="&amp;TODAY()))</f>
        <v>NOT LOADED</v>
      </c>
      <c r="I18" s="162"/>
      <c r="J18" s="162"/>
      <c r="K18" s="162"/>
      <c r="L18" s="162"/>
      <c r="M18" s="162"/>
      <c r="N18" s="162"/>
      <c r="O18" s="162"/>
      <c r="P18">
        <f>IF('Daily Tracking'!$A$18&lt;=$H$1,'Daily Tracking'!$Z$18,0)</f>
        <v>0</v>
      </c>
    </row>
    <row r="19" spans="1:16" ht="14.4">
      <c r="A19" s="164" t="str">
        <f>TEXT('Daily Tracking'!A19,"dd mmm")</f>
        <v>29 Jul</v>
      </c>
      <c r="B19" s="165">
        <f>'Daily Tracking'!Z19</f>
        <v>21530.351999999948</v>
      </c>
      <c r="C19" s="165" t="str">
        <f>IF(COUNT('Daily Tracking'!C19,'Daily Tracking'!F19,'Daily Tracking'!I19,'Daily Tracking'!L19,'Daily Tracking'!O19,'Daily Tracking'!R19,'Daily Tracking'!U19,'Daily Tracking'!X19)=0,"",'Daily Tracking'!AA19)</f>
        <v/>
      </c>
      <c r="D19" s="165">
        <f>SUM($B$2:B19)</f>
        <v>265383.11999999953</v>
      </c>
      <c r="E19" s="165">
        <f>SUM($C$2:C19)</f>
        <v>120108.66</v>
      </c>
      <c r="F19" s="162"/>
      <c r="G19" s="169" t="s">
        <v>2495</v>
      </c>
      <c r="H19" s="162" t="str">
        <f ca="1">IF(ISTEXT(H18),"",H18-H17)</f>
        <v/>
      </c>
      <c r="I19" s="162"/>
      <c r="J19" s="162"/>
      <c r="K19" s="162"/>
      <c r="L19" s="162"/>
      <c r="M19" s="162"/>
      <c r="N19" s="162"/>
      <c r="O19" s="162"/>
      <c r="P19">
        <f>IF('Daily Tracking'!$A$19&lt;=$H$1,'Daily Tracking'!$Z$19,0)</f>
        <v>0</v>
      </c>
    </row>
    <row r="20" spans="1:16" ht="14.4">
      <c r="A20" s="164" t="str">
        <f>TEXT('Daily Tracking'!A20,"dd mmm")</f>
        <v>30 Jul</v>
      </c>
      <c r="B20" s="165">
        <f>'Daily Tracking'!Z20</f>
        <v>21530.351999999948</v>
      </c>
      <c r="C20" s="165" t="str">
        <f>IF(COUNT('Daily Tracking'!C20,'Daily Tracking'!F20,'Daily Tracking'!I20,'Daily Tracking'!L20,'Daily Tracking'!O20,'Daily Tracking'!R20,'Daily Tracking'!U20,'Daily Tracking'!X20)=0,"",'Daily Tracking'!AA20)</f>
        <v/>
      </c>
      <c r="D20" s="165">
        <f>SUM($B$2:B20)</f>
        <v>286913.47199999948</v>
      </c>
      <c r="E20" s="165">
        <f>SUM($C$2:C20)</f>
        <v>120108.66</v>
      </c>
      <c r="F20" s="162"/>
      <c r="G20" s="169" t="s">
        <v>2496</v>
      </c>
      <c r="H20" s="162" t="str">
        <f ca="1">K2_ControlHealth</f>
        <v>FAIL — CRITICAL</v>
      </c>
      <c r="I20" s="162"/>
      <c r="J20" s="162"/>
      <c r="K20" s="162"/>
      <c r="L20" s="162"/>
      <c r="M20" s="162"/>
      <c r="N20" s="162"/>
      <c r="O20" s="162"/>
      <c r="P20">
        <f>IF('Daily Tracking'!$A$20&lt;=$H$1,'Daily Tracking'!$Z$20,0)</f>
        <v>0</v>
      </c>
    </row>
    <row r="21" spans="1:16" ht="14.4">
      <c r="A21" s="164" t="str">
        <f>TEXT('Daily Tracking'!A21,"dd mmm")</f>
        <v>31 Jul</v>
      </c>
      <c r="B21" s="165">
        <f>'Daily Tracking'!Z21</f>
        <v>21530.351999999948</v>
      </c>
      <c r="C21" s="165" t="str">
        <f>IF(COUNT('Daily Tracking'!C21,'Daily Tracking'!F21,'Daily Tracking'!I21,'Daily Tracking'!L21,'Daily Tracking'!O21,'Daily Tracking'!R21,'Daily Tracking'!U21,'Daily Tracking'!X21)=0,"",'Daily Tracking'!AA21)</f>
        <v/>
      </c>
      <c r="D21" s="165">
        <f>SUM($B$2:B21)</f>
        <v>308443.82399999944</v>
      </c>
      <c r="E21" s="165">
        <f>SUM($C$2:C21)</f>
        <v>120108.66</v>
      </c>
      <c r="F21" s="162"/>
      <c r="G21" s="169" t="s">
        <v>2497</v>
      </c>
      <c r="H21" s="166">
        <f>COUNTA(CompanyAccountabilityTable[Company])</f>
        <v>11</v>
      </c>
      <c r="I21" s="162"/>
      <c r="J21" s="162"/>
      <c r="K21" s="162"/>
      <c r="L21" s="162"/>
      <c r="M21" s="162"/>
      <c r="N21" s="162"/>
      <c r="O21" s="162"/>
      <c r="P21">
        <f>IF('Daily Tracking'!$A$21&lt;=$H$1,'Daily Tracking'!$Z$21,0)</f>
        <v>0</v>
      </c>
    </row>
    <row r="22" spans="1:16" ht="14.4">
      <c r="A22" s="164" t="str">
        <f>TEXT('Daily Tracking'!A22,"dd mmm")</f>
        <v>01 Aug</v>
      </c>
      <c r="B22" s="165">
        <f>'Daily Tracking'!Z22</f>
        <v>20630.351999999948</v>
      </c>
      <c r="C22" s="165" t="str">
        <f>IF(COUNT('Daily Tracking'!C22,'Daily Tracking'!F22,'Daily Tracking'!I22,'Daily Tracking'!L22,'Daily Tracking'!O22,'Daily Tracking'!R22,'Daily Tracking'!U22,'Daily Tracking'!X22)=0,"",'Daily Tracking'!AA22)</f>
        <v/>
      </c>
      <c r="D22" s="165">
        <f>SUM($B$2:B22)</f>
        <v>329074.1759999994</v>
      </c>
      <c r="E22" s="165">
        <f>SUM($C$2:C22)</f>
        <v>120108.66</v>
      </c>
      <c r="F22" s="162"/>
      <c r="G22" s="169" t="s">
        <v>2498</v>
      </c>
      <c r="H22" s="166">
        <f>COUNTIF(CompanyAccountabilityTable[Action],"ESCALATE")+COUNTIF(CompanyAccountabilityTable[Action],"HIGH")+COUNTIF(CompanyAccountabilityTable[Action],"FOLLOW UP")</f>
        <v>2</v>
      </c>
      <c r="I22" s="162"/>
      <c r="J22" s="162"/>
      <c r="K22" s="162"/>
      <c r="L22" s="162"/>
      <c r="M22" s="162"/>
      <c r="N22" s="162"/>
      <c r="O22" s="162"/>
      <c r="P22">
        <f>IF('Daily Tracking'!$A$22&lt;=$H$1,'Daily Tracking'!$Z$22,0)</f>
        <v>0</v>
      </c>
    </row>
    <row r="23" spans="1:16" ht="14.4">
      <c r="A23" s="164" t="str">
        <f>TEXT('Daily Tracking'!A23,"dd mmm")</f>
        <v>02 Aug</v>
      </c>
      <c r="B23" s="165">
        <f>'Daily Tracking'!Z23</f>
        <v>20630.351999999948</v>
      </c>
      <c r="C23" s="165" t="str">
        <f>IF(COUNT('Daily Tracking'!C23,'Daily Tracking'!F23,'Daily Tracking'!I23,'Daily Tracking'!L23,'Daily Tracking'!O23,'Daily Tracking'!R23,'Daily Tracking'!U23,'Daily Tracking'!X23)=0,"",'Daily Tracking'!AA23)</f>
        <v/>
      </c>
      <c r="D23" s="165">
        <f>SUM($B$2:B23)</f>
        <v>349704.52799999935</v>
      </c>
      <c r="E23" s="165">
        <f>SUM($C$2:C23)</f>
        <v>120108.66</v>
      </c>
      <c r="F23" s="162"/>
      <c r="G23" s="169"/>
      <c r="H23" s="162" t="str">
        <f>""</f>
        <v/>
      </c>
      <c r="I23" s="162"/>
      <c r="J23" s="162"/>
      <c r="K23" s="162"/>
      <c r="L23" s="162"/>
      <c r="M23" s="162"/>
      <c r="N23" s="162"/>
      <c r="O23" s="162"/>
      <c r="P23">
        <f>IF('Daily Tracking'!$A$23&lt;=$H$1,'Daily Tracking'!$Z$23,0)</f>
        <v>0</v>
      </c>
    </row>
    <row r="24" spans="1:16" ht="14.4">
      <c r="A24" s="164" t="str">
        <f>TEXT('Daily Tracking'!A24,"dd mmm")</f>
        <v>03 Aug</v>
      </c>
      <c r="B24" s="165">
        <f>'Daily Tracking'!Z24</f>
        <v>21530.351999999948</v>
      </c>
      <c r="C24" s="165" t="str">
        <f>IF(COUNT('Daily Tracking'!C24,'Daily Tracking'!F24,'Daily Tracking'!I24,'Daily Tracking'!L24,'Daily Tracking'!O24,'Daily Tracking'!R24,'Daily Tracking'!U24,'Daily Tracking'!X24)=0,"",'Daily Tracking'!AA24)</f>
        <v/>
      </c>
      <c r="D24" s="165">
        <f>SUM($B$2:B24)</f>
        <v>371234.87999999931</v>
      </c>
      <c r="E24" s="165">
        <f>SUM($C$2:C24)</f>
        <v>120108.66</v>
      </c>
      <c r="F24" s="162"/>
      <c r="G24" s="169" t="s">
        <v>2499</v>
      </c>
      <c r="H24" s="165">
        <f>SUM('Tooling to Supply'!$H$2:$H$706)</f>
        <v>97690.015999998868</v>
      </c>
      <c r="I24" s="162"/>
      <c r="J24" s="162"/>
      <c r="K24" s="162"/>
      <c r="L24" s="162"/>
      <c r="M24" s="162"/>
      <c r="N24" s="162"/>
      <c r="O24" s="162"/>
      <c r="P24">
        <f>IF('Daily Tracking'!$A$24&lt;=$H$1,'Daily Tracking'!$Z$24,0)</f>
        <v>0</v>
      </c>
    </row>
    <row r="25" spans="1:16" ht="14.4">
      <c r="A25" s="164" t="str">
        <f>TEXT('Daily Tracking'!A25,"dd mmm")</f>
        <v>04 Aug</v>
      </c>
      <c r="B25" s="165">
        <f>'Daily Tracking'!Z25</f>
        <v>21530.351999999948</v>
      </c>
      <c r="C25" s="165" t="str">
        <f>IF(COUNT('Daily Tracking'!C25,'Daily Tracking'!F25,'Daily Tracking'!I25,'Daily Tracking'!L25,'Daily Tracking'!O25,'Daily Tracking'!R25,'Daily Tracking'!U25,'Daily Tracking'!X25)=0,"",'Daily Tracking'!AA25)</f>
        <v/>
      </c>
      <c r="D25" s="165">
        <f>SUM($B$2:B25)</f>
        <v>392765.23199999926</v>
      </c>
      <c r="E25" s="165">
        <f>SUM($C$2:C25)</f>
        <v>120108.66</v>
      </c>
      <c r="F25" s="162"/>
      <c r="G25" s="169" t="s">
        <v>2500</v>
      </c>
      <c r="H25" s="165">
        <f>'Daily Tracking'!H38</f>
        <v>25107.600000000013</v>
      </c>
      <c r="I25" s="162"/>
      <c r="J25" s="162"/>
      <c r="K25" s="162"/>
      <c r="L25" s="162"/>
      <c r="M25" s="162"/>
      <c r="N25" s="162"/>
      <c r="O25" s="162"/>
      <c r="P25">
        <f>IF('Daily Tracking'!$A$25&lt;=$H$1,'Daily Tracking'!$Z$25,0)</f>
        <v>0</v>
      </c>
    </row>
    <row r="26" spans="1:16" ht="14.4">
      <c r="A26" s="164" t="str">
        <f>TEXT('Daily Tracking'!A26,"dd mmm")</f>
        <v>05 Aug</v>
      </c>
      <c r="B26" s="165">
        <f>'Daily Tracking'!Z26</f>
        <v>21530.351999999948</v>
      </c>
      <c r="C26" s="165" t="str">
        <f>IF(COUNT('Daily Tracking'!C26,'Daily Tracking'!F26,'Daily Tracking'!I26,'Daily Tracking'!L26,'Daily Tracking'!O26,'Daily Tracking'!R26,'Daily Tracking'!U26,'Daily Tracking'!X26)=0,"",'Daily Tracking'!AA26)</f>
        <v/>
      </c>
      <c r="D26" s="165">
        <f>SUM($B$2:B26)</f>
        <v>414295.58399999922</v>
      </c>
      <c r="E26" s="165">
        <f>SUM($C$2:C26)</f>
        <v>120108.66</v>
      </c>
      <c r="F26" s="162"/>
      <c r="G26" s="169" t="s">
        <v>2501</v>
      </c>
      <c r="H26" s="165">
        <f>'Daily Tracking'!K38</f>
        <v>18742.5</v>
      </c>
      <c r="I26" s="162"/>
      <c r="J26" s="162"/>
      <c r="K26" s="162"/>
      <c r="L26" s="162"/>
      <c r="M26" s="162"/>
      <c r="N26" s="162"/>
      <c r="O26" s="162"/>
      <c r="P26">
        <f>IF('Daily Tracking'!$A$26&lt;=$H$1,'Daily Tracking'!$Z$26,0)</f>
        <v>0</v>
      </c>
    </row>
    <row r="27" spans="1:16" ht="14.4">
      <c r="A27" s="164" t="str">
        <f>TEXT('Daily Tracking'!A27,"dd mmm")</f>
        <v>06 Aug</v>
      </c>
      <c r="B27" s="165">
        <f>'Daily Tracking'!Z27</f>
        <v>21530.351999999948</v>
      </c>
      <c r="C27" s="165" t="str">
        <f>IF(COUNT('Daily Tracking'!C27,'Daily Tracking'!F27,'Daily Tracking'!I27,'Daily Tracking'!L27,'Daily Tracking'!O27,'Daily Tracking'!R27,'Daily Tracking'!U27,'Daily Tracking'!X27)=0,"",'Daily Tracking'!AA27)</f>
        <v/>
      </c>
      <c r="D27" s="165">
        <f>SUM($B$2:B27)</f>
        <v>435825.93599999917</v>
      </c>
      <c r="E27" s="165">
        <f>SUM($C$2:C27)</f>
        <v>120108.66</v>
      </c>
      <c r="F27" s="162"/>
      <c r="G27" s="169" t="s">
        <v>2502</v>
      </c>
      <c r="H27" s="165">
        <f>'Daily Tracking'!N38</f>
        <v>119680</v>
      </c>
      <c r="I27" s="162"/>
      <c r="J27" s="162"/>
      <c r="K27" s="162"/>
      <c r="L27" s="162"/>
      <c r="M27" s="162"/>
      <c r="N27" s="162"/>
      <c r="O27" s="162"/>
      <c r="P27">
        <f>IF('Daily Tracking'!$A$27&lt;=$H$1,'Daily Tracking'!$Z$27,0)</f>
        <v>0</v>
      </c>
    </row>
    <row r="28" spans="1:16" ht="14.4">
      <c r="A28" s="164" t="str">
        <f>TEXT('Daily Tracking'!A28,"dd mmm")</f>
        <v>07 Aug</v>
      </c>
      <c r="B28" s="165">
        <f>'Daily Tracking'!Z28</f>
        <v>21530.351999999948</v>
      </c>
      <c r="C28" s="165" t="str">
        <f>IF(COUNT('Daily Tracking'!C28,'Daily Tracking'!F28,'Daily Tracking'!I28,'Daily Tracking'!L28,'Daily Tracking'!O28,'Daily Tracking'!R28,'Daily Tracking'!U28,'Daily Tracking'!X28)=0,"",'Daily Tracking'!AA28)</f>
        <v/>
      </c>
      <c r="D28" s="165">
        <f>SUM($B$2:B28)</f>
        <v>457356.28799999913</v>
      </c>
      <c r="E28" s="165">
        <f>SUM($C$2:C28)</f>
        <v>120108.66</v>
      </c>
      <c r="F28" s="162"/>
      <c r="G28" s="169" t="s">
        <v>2503</v>
      </c>
      <c r="H28" s="165">
        <f>'Daily Tracking'!Q38</f>
        <v>27912.5</v>
      </c>
      <c r="I28" s="162"/>
      <c r="J28" s="162"/>
      <c r="K28" s="162"/>
      <c r="L28" s="162"/>
      <c r="M28" s="162"/>
      <c r="N28" s="162"/>
      <c r="O28" s="162"/>
      <c r="P28">
        <f>IF('Daily Tracking'!$A$28&lt;=$H$1,'Daily Tracking'!$Z$28,0)</f>
        <v>0</v>
      </c>
    </row>
    <row r="29" spans="1:16" ht="14.4">
      <c r="A29" s="164" t="str">
        <f>TEXT('Daily Tracking'!A29,"dd mmm")</f>
        <v>08 Aug</v>
      </c>
      <c r="B29" s="165">
        <f>'Daily Tracking'!Z29</f>
        <v>21530.351999999948</v>
      </c>
      <c r="C29" s="165" t="str">
        <f>IF(COUNT('Daily Tracking'!C29,'Daily Tracking'!F29,'Daily Tracking'!I29,'Daily Tracking'!L29,'Daily Tracking'!O29,'Daily Tracking'!R29,'Daily Tracking'!U29,'Daily Tracking'!X29)=0,"",'Daily Tracking'!AA29)</f>
        <v/>
      </c>
      <c r="D29" s="165">
        <f>SUM($B$2:B29)</f>
        <v>478886.63999999908</v>
      </c>
      <c r="E29" s="165">
        <f>SUM($C$2:C29)</f>
        <v>120108.66</v>
      </c>
      <c r="F29" s="162"/>
      <c r="G29" s="169" t="s">
        <v>2504</v>
      </c>
      <c r="H29" s="165">
        <f>'Daily Tracking'!T38</f>
        <v>89698</v>
      </c>
      <c r="I29" s="162"/>
      <c r="J29" s="162"/>
      <c r="K29" s="162"/>
      <c r="L29" s="162"/>
      <c r="M29" s="162"/>
      <c r="N29" s="162"/>
      <c r="O29" s="162"/>
      <c r="P29">
        <f>IF('Daily Tracking'!$A$29&lt;=$H$1,'Daily Tracking'!$Z$29,0)</f>
        <v>0</v>
      </c>
    </row>
    <row r="30" spans="1:16" ht="14.4">
      <c r="A30" s="164" t="str">
        <f>TEXT('Daily Tracking'!A30,"dd mmm")</f>
        <v>09 Aug</v>
      </c>
      <c r="B30" s="165">
        <f>'Daily Tracking'!Z30</f>
        <v>21530.351999999948</v>
      </c>
      <c r="C30" s="165" t="str">
        <f>IF(COUNT('Daily Tracking'!C30,'Daily Tracking'!F30,'Daily Tracking'!I30,'Daily Tracking'!L30,'Daily Tracking'!O30,'Daily Tracking'!R30,'Daily Tracking'!U30,'Daily Tracking'!X30)=0,"",'Daily Tracking'!AA30)</f>
        <v/>
      </c>
      <c r="D30" s="165">
        <f>SUM($B$2:B30)</f>
        <v>500416.99199999904</v>
      </c>
      <c r="E30" s="165">
        <f>SUM($C$2:C30)</f>
        <v>120108.66</v>
      </c>
      <c r="F30" s="162"/>
      <c r="G30" s="169" t="s">
        <v>2505</v>
      </c>
      <c r="H30" s="165">
        <f>'Daily Tracking'!W38</f>
        <v>0</v>
      </c>
      <c r="I30" s="162"/>
      <c r="J30" s="162"/>
      <c r="K30" s="162"/>
      <c r="L30" s="162"/>
      <c r="M30" s="162"/>
      <c r="N30" s="162"/>
      <c r="O30" s="162"/>
      <c r="P30">
        <f>IF('Daily Tracking'!$A$30&lt;=$H$1,'Daily Tracking'!$Z$30,0)</f>
        <v>0</v>
      </c>
    </row>
    <row r="31" spans="1:16" ht="14.4">
      <c r="A31" s="164" t="str">
        <f>TEXT('Daily Tracking'!A31,"dd mmm")</f>
        <v>10 Aug</v>
      </c>
      <c r="B31" s="165">
        <f>'Daily Tracking'!Z31</f>
        <v>21530.351999999948</v>
      </c>
      <c r="C31" s="165" t="str">
        <f>IF(COUNT('Daily Tracking'!C31,'Daily Tracking'!F31,'Daily Tracking'!I31,'Daily Tracking'!L31,'Daily Tracking'!O31,'Daily Tracking'!R31,'Daily Tracking'!U31,'Daily Tracking'!X31)=0,"",'Daily Tracking'!AA31)</f>
        <v/>
      </c>
      <c r="D31" s="165">
        <f>SUM($B$2:B31)</f>
        <v>521947.34399999899</v>
      </c>
      <c r="E31" s="165">
        <f>SUM($C$2:C31)</f>
        <v>120108.66</v>
      </c>
      <c r="F31" s="162"/>
      <c r="G31" s="169" t="s">
        <v>2506</v>
      </c>
      <c r="H31" s="165">
        <f>ROUND(SUM(H14,H24:H30),2)</f>
        <v>606916.1</v>
      </c>
      <c r="I31" s="162"/>
      <c r="J31" s="162"/>
      <c r="K31" s="162"/>
      <c r="L31" s="162"/>
      <c r="M31" s="162"/>
      <c r="N31" s="162"/>
      <c r="O31" s="162"/>
      <c r="P31">
        <f>IF('Daily Tracking'!$A$31&lt;=$H$1,'Daily Tracking'!$Z$31,0)</f>
        <v>0</v>
      </c>
    </row>
    <row r="32" spans="1:16" ht="14.4">
      <c r="A32" s="164" t="str">
        <f>TEXT('Daily Tracking'!A32,"dd mmm")</f>
        <v>11 Aug</v>
      </c>
      <c r="B32" s="165">
        <f>'Daily Tracking'!Z32</f>
        <v>21530.351999999948</v>
      </c>
      <c r="C32" s="165" t="str">
        <f>IF(COUNT('Daily Tracking'!C32,'Daily Tracking'!F32,'Daily Tracking'!I32,'Daily Tracking'!L32,'Daily Tracking'!O32,'Daily Tracking'!R32,'Daily Tracking'!U32,'Daily Tracking'!X32)=0,"",'Daily Tracking'!AA32)</f>
        <v/>
      </c>
      <c r="D32" s="165">
        <f>SUM($B$2:B32)</f>
        <v>543477.69599999895</v>
      </c>
      <c r="E32" s="165">
        <f>SUM($C$2:C32)</f>
        <v>120108.66</v>
      </c>
      <c r="F32" s="162"/>
      <c r="G32" s="169" t="s">
        <v>2507</v>
      </c>
      <c r="H32" s="165">
        <f>H31-H15</f>
        <v>0</v>
      </c>
      <c r="I32" s="162"/>
      <c r="J32" s="162"/>
      <c r="K32" s="162"/>
      <c r="L32" s="162"/>
      <c r="M32" s="162"/>
      <c r="N32" s="162"/>
      <c r="O32" s="162"/>
      <c r="P32">
        <f>IF('Daily Tracking'!$A$32&lt;=$H$1,'Daily Tracking'!$Z$32,0)</f>
        <v>0</v>
      </c>
    </row>
    <row r="33" spans="1:16" ht="14.4">
      <c r="A33" s="164" t="str">
        <f>TEXT('Daily Tracking'!A33,"dd mmm")</f>
        <v>12 Aug</v>
      </c>
      <c r="B33" s="165">
        <f>'Daily Tracking'!Z33</f>
        <v>6766.2</v>
      </c>
      <c r="C33" s="165" t="str">
        <f>IF(COUNT('Daily Tracking'!C33,'Daily Tracking'!F33,'Daily Tracking'!I33,'Daily Tracking'!L33,'Daily Tracking'!O33,'Daily Tracking'!R33,'Daily Tracking'!U33,'Daily Tracking'!X33)=0,"",'Daily Tracking'!AA33)</f>
        <v/>
      </c>
      <c r="D33" s="165">
        <f>SUM($B$2:B33)</f>
        <v>550243.8959999989</v>
      </c>
      <c r="E33" s="165">
        <f>SUM($C$2:C33)</f>
        <v>120108.66</v>
      </c>
      <c r="F33" s="162"/>
      <c r="G33" s="169" t="s">
        <v>2508</v>
      </c>
      <c r="H33" s="165">
        <f>IF(ABS(H14-'Daily Tracking'!B38)&lt;0.005,0,H14-'Daily Tracking'!B38)</f>
        <v>0</v>
      </c>
      <c r="I33" s="162"/>
      <c r="J33" s="162"/>
      <c r="K33" s="162"/>
      <c r="L33" s="162"/>
      <c r="M33" s="162"/>
      <c r="N33" s="162"/>
      <c r="O33" s="162"/>
      <c r="P33">
        <f>IF('Daily Tracking'!$A$33&lt;=$H$1,'Daily Tracking'!$Z$33,0)</f>
        <v>0</v>
      </c>
    </row>
    <row r="34" spans="1:16" ht="14.4">
      <c r="A34" s="164" t="str">
        <f>TEXT('Daily Tracking'!A34,"dd mmm")</f>
        <v>13 Aug</v>
      </c>
      <c r="B34" s="165">
        <f>'Daily Tracking'!Z34</f>
        <v>5247.2</v>
      </c>
      <c r="C34" s="165" t="str">
        <f>IF(COUNT('Daily Tracking'!C34,'Daily Tracking'!F34,'Daily Tracking'!I34,'Daily Tracking'!L34,'Daily Tracking'!O34,'Daily Tracking'!R34,'Daily Tracking'!U34,'Daily Tracking'!X34)=0,"",'Daily Tracking'!AA34)</f>
        <v/>
      </c>
      <c r="D34" s="165">
        <f>SUM($B$2:B34)</f>
        <v>555491.09599999886</v>
      </c>
      <c r="E34" s="165">
        <f>SUM($C$2:C34)</f>
        <v>120108.66</v>
      </c>
      <c r="F34" s="162"/>
      <c r="G34" s="169" t="s">
        <v>2509</v>
      </c>
      <c r="H34" s="165">
        <f>IF(ABS(H24-'Daily Tracking'!E38)&lt;0.005,0,H24-'Daily Tracking'!E38)</f>
        <v>0</v>
      </c>
      <c r="I34" s="162"/>
      <c r="J34" s="162"/>
      <c r="K34" s="162"/>
      <c r="L34" s="162"/>
      <c r="M34" s="162"/>
      <c r="N34" s="162"/>
      <c r="O34" s="162"/>
      <c r="P34">
        <f>IF('Daily Tracking'!$A$34&lt;=$H$1,'Daily Tracking'!$Z$34,0)</f>
        <v>0</v>
      </c>
    </row>
    <row r="35" spans="1:16" ht="14.4">
      <c r="A35" s="164" t="str">
        <f>TEXT('Daily Tracking'!A35,"dd mmm")</f>
        <v>14 Aug</v>
      </c>
      <c r="B35" s="165">
        <f>'Daily Tracking'!Z35</f>
        <v>3458</v>
      </c>
      <c r="C35" s="165" t="str">
        <f>IF(COUNT('Daily Tracking'!C35,'Daily Tracking'!F35,'Daily Tracking'!I35,'Daily Tracking'!L35,'Daily Tracking'!O35,'Daily Tracking'!R35,'Daily Tracking'!U35,'Daily Tracking'!X35)=0,"",'Daily Tracking'!AA35)</f>
        <v/>
      </c>
      <c r="D35" s="165">
        <f>SUM($B$2:B35)</f>
        <v>558949.09599999886</v>
      </c>
      <c r="E35" s="165">
        <f>SUM($C$2:C35)</f>
        <v>120108.66</v>
      </c>
      <c r="F35" s="162"/>
      <c r="G35" s="169" t="s">
        <v>2510</v>
      </c>
      <c r="H35" s="163"/>
      <c r="I35" s="162"/>
      <c r="J35" s="162"/>
      <c r="K35" s="162"/>
      <c r="L35" s="162"/>
      <c r="M35" s="162"/>
      <c r="N35" s="162"/>
      <c r="O35" s="162"/>
      <c r="P35">
        <f>IF('Daily Tracking'!$A$35&lt;=$H$1,'Daily Tracking'!$Z$35,0)</f>
        <v>0</v>
      </c>
    </row>
    <row r="36" spans="1:16" ht="14.4">
      <c r="A36" s="164" t="str">
        <f>TEXT('Daily Tracking'!A36,"dd mmm")</f>
        <v>15 Aug</v>
      </c>
      <c r="B36" s="165">
        <f>'Daily Tracking'!Z36</f>
        <v>47967</v>
      </c>
      <c r="C36" s="165" t="str">
        <f>IF(COUNT('Daily Tracking'!C36,'Daily Tracking'!F36,'Daily Tracking'!I36,'Daily Tracking'!L36,'Daily Tracking'!O36,'Daily Tracking'!R36,'Daily Tracking'!U36,'Daily Tracking'!X36)=0,"",'Daily Tracking'!AA36)</f>
        <v/>
      </c>
      <c r="D36" s="165">
        <f>SUM($B$2:B36)</f>
        <v>606916.09599999886</v>
      </c>
      <c r="E36" s="165">
        <f>SUM($C$2:C36)</f>
        <v>120108.66</v>
      </c>
      <c r="F36" s="162"/>
      <c r="G36" s="169" t="s">
        <v>2511</v>
      </c>
      <c r="H36" s="162"/>
      <c r="I36" s="162"/>
      <c r="J36" s="162"/>
      <c r="K36" s="162"/>
      <c r="L36" s="162"/>
      <c r="M36" s="162"/>
      <c r="N36" s="162"/>
      <c r="O36" s="162"/>
      <c r="P36">
        <f>IF('Daily Tracking'!$A$36&lt;=$H$1,'Daily Tracking'!$Z$36,0)</f>
        <v>0</v>
      </c>
    </row>
    <row r="37" spans="1:16" ht="14.4">
      <c r="A37" s="162"/>
      <c r="B37" s="162"/>
      <c r="C37" s="162"/>
      <c r="D37" s="162"/>
      <c r="E37" s="162"/>
      <c r="F37" s="162"/>
      <c r="G37" s="169" t="s">
        <v>2512</v>
      </c>
      <c r="H37" s="162"/>
      <c r="I37" s="162"/>
      <c r="J37" s="162"/>
      <c r="K37" s="162"/>
      <c r="L37" s="162"/>
      <c r="M37" s="162"/>
      <c r="N37" s="162"/>
      <c r="O37" s="162"/>
    </row>
    <row r="38" spans="1:16" ht="14.4">
      <c r="A38" s="162"/>
      <c r="B38" s="162"/>
      <c r="C38" s="162"/>
      <c r="D38" s="162"/>
      <c r="E38" s="162"/>
      <c r="F38" s="162"/>
      <c r="G38" s="169" t="s">
        <v>2513</v>
      </c>
      <c r="H38" s="162"/>
      <c r="I38" s="162"/>
      <c r="J38" s="162"/>
      <c r="K38" s="162"/>
      <c r="L38" s="162"/>
      <c r="M38" s="162"/>
      <c r="N38" s="162"/>
      <c r="O38" s="162"/>
    </row>
    <row r="39" spans="1:16" ht="14.4">
      <c r="A39" s="162"/>
      <c r="B39" s="162"/>
      <c r="C39" s="162"/>
      <c r="D39" s="162"/>
      <c r="E39" s="162"/>
      <c r="F39" s="162"/>
      <c r="G39" s="169" t="s">
        <v>2514</v>
      </c>
      <c r="H39" s="162"/>
      <c r="I39" s="162"/>
      <c r="J39" s="162"/>
      <c r="K39" s="162"/>
      <c r="L39" s="162"/>
      <c r="M39" s="162"/>
      <c r="N39" s="162"/>
      <c r="O39" s="162"/>
    </row>
    <row r="40" spans="1:16" ht="14.4">
      <c r="A40" s="162"/>
      <c r="B40" s="162"/>
      <c r="C40" s="162"/>
      <c r="D40" s="162"/>
      <c r="E40" s="162"/>
      <c r="F40" s="162"/>
      <c r="G40" s="169" t="s">
        <v>2515</v>
      </c>
      <c r="H40" s="162" t="s">
        <v>2516</v>
      </c>
      <c r="I40" s="162"/>
      <c r="J40" s="162"/>
      <c r="K40" s="162"/>
      <c r="L40" s="162"/>
      <c r="M40" s="162"/>
      <c r="N40" s="162"/>
      <c r="O40" s="162"/>
    </row>
    <row r="41" spans="1:16" ht="14.4">
      <c r="A41" s="162"/>
      <c r="B41" s="162"/>
      <c r="C41" s="162"/>
      <c r="D41" s="162"/>
      <c r="E41" s="162"/>
      <c r="F41" s="162"/>
      <c r="G41" s="169" t="s">
        <v>2517</v>
      </c>
      <c r="H41" s="163"/>
      <c r="I41" s="162"/>
      <c r="J41" s="162"/>
      <c r="K41" s="162"/>
      <c r="L41" s="162"/>
      <c r="M41" s="162"/>
      <c r="N41" s="162"/>
      <c r="O41" s="162"/>
    </row>
    <row r="42" spans="1:16" ht="14.4">
      <c r="G42" s="169" t="s">
        <v>2518</v>
      </c>
      <c r="H42" s="162" t="str">
        <f ca="1">IF(COUNTIFS(K2HealthVector[Effective Status],"FAIL",K2HealthVector[Severity],"Critical")+COUNTIFS(K2HealthVector[Effective Status],"PENDING",K2HealthVector[Severity],"Critical")&gt;0,"FAIL — CRITICAL",IF(COUNTIFS(K2HealthVector[Effective Status],"FAIL",K2HealthVector[Severity],"High")+COUNTIFS(K2HealthVector[Effective Status],"PENDING",K2HealthVector[Severity],"High")&gt;0,"CHECK — HIGH",IF(COUNTIFS(K2HealthVector[Effective Status],"&lt;&gt;PASS",K2HealthVector[Effective Status],"&lt;&gt;OVERRIDDEN")&gt;0,"CHECK","PASS")))</f>
        <v>FAIL — CRITICAL</v>
      </c>
    </row>
    <row r="43" spans="1:16" ht="14.4">
      <c r="G43" s="169" t="s">
        <v>2519</v>
      </c>
      <c r="H43" s="162">
        <f ca="1">COUNTIFS(K2HealthVector[Effective Status],"&lt;&gt;PASS",K2HealthVector[Effective Status],"&lt;&gt;OVERRIDDEN")</f>
        <v>11</v>
      </c>
    </row>
    <row r="44" spans="1:16" ht="14.4">
      <c r="G44" s="169" t="s">
        <v>2520</v>
      </c>
      <c r="H44" s="162">
        <f ca="1">COUNTIFS(K2HealthVector[Effective Status],"FAIL",K2HealthVector[Severity],"Critical")+COUNTIFS(K2HealthVector[Effective Status],"PENDING",K2HealthVector[Severity],"Critical")</f>
        <v>7</v>
      </c>
    </row>
    <row r="45" spans="1:16" ht="14.4">
      <c r="G45" s="169" t="s">
        <v>2521</v>
      </c>
      <c r="H45" s="162">
        <f ca="1">COUNTIFS(K2HealthVector[Effective Status],"FAIL",K2HealthVector[Severity],"High")+COUNTIFS(K2HealthVector[Effective Status],"PENDING",K2HealthVector[Severity],"High")</f>
        <v>3</v>
      </c>
    </row>
    <row r="46" spans="1:16" ht="14.4">
      <c r="G46" s="169" t="s">
        <v>2522</v>
      </c>
      <c r="H46" s="162">
        <f>COUNTIF(K2ActualCompleteness[Status],"MISSING")</f>
        <v>40</v>
      </c>
    </row>
    <row r="47" spans="1:16" ht="14.4">
      <c r="G47" s="169" t="s">
        <v>2523</v>
      </c>
      <c r="H47" s="162">
        <f>COUNTIFS(AssetRegisterTable2219[Date Received On Site],"")</f>
        <v>162</v>
      </c>
    </row>
    <row r="48" spans="1:16" ht="14.4">
      <c r="G48" s="169" t="s">
        <v>2524</v>
      </c>
      <c r="H48" s="162">
        <f>COUNTIF(RENTAL_STOCK[Recommendation],"High Priority*")</f>
        <v>49</v>
      </c>
    </row>
    <row r="49" spans="7:8" ht="14.4">
      <c r="G49" s="169" t="s">
        <v>2525</v>
      </c>
      <c r="H49" s="162">
        <f ca="1">COUNTIF(K2HealthVector[Effective Status],"OVERRIDDEN")</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A4600"/>
  </sheetPr>
  <dimension ref="A1:D58"/>
  <sheetViews>
    <sheetView showGridLines="0" workbookViewId="0">
      <pane ySplit="3" topLeftCell="A4" activePane="bottomLeft" state="frozen"/>
      <selection pane="bottomLeft" sqref="A1:D1"/>
    </sheetView>
  </sheetViews>
  <sheetFormatPr defaultColWidth="9" defaultRowHeight="13.2"/>
  <cols>
    <col min="1" max="1" width="20.296875" style="330" bestFit="1" customWidth="1"/>
    <col min="2" max="2" width="18.09765625" style="320" bestFit="1" customWidth="1"/>
    <col min="3" max="3" width="15.59765625" style="331" bestFit="1" customWidth="1"/>
    <col min="4" max="4" width="45.296875" style="320" bestFit="1" customWidth="1"/>
    <col min="5" max="5" width="12" style="320" customWidth="1"/>
    <col min="6" max="6" width="18" style="320" customWidth="1"/>
    <col min="7" max="7" width="46" style="320" customWidth="1"/>
    <col min="8" max="8" width="18" style="320" customWidth="1"/>
    <col min="9" max="9" width="12" style="320" customWidth="1"/>
    <col min="10" max="10" width="16" style="320" customWidth="1"/>
    <col min="11" max="11" width="22" style="320" customWidth="1"/>
    <col min="12" max="16384" width="9" style="320"/>
  </cols>
  <sheetData>
    <row r="1" spans="1:4" ht="27.9" customHeight="1">
      <c r="A1" s="544" t="s">
        <v>2526</v>
      </c>
      <c r="B1" s="544"/>
      <c r="C1" s="544"/>
      <c r="D1" s="544"/>
    </row>
    <row r="2" spans="1:4" ht="21.9" customHeight="1">
      <c r="A2" s="545" t="s">
        <v>3082</v>
      </c>
      <c r="B2" s="545"/>
      <c r="C2" s="545"/>
      <c r="D2" s="545"/>
    </row>
    <row r="3" spans="1:4" ht="19.5" customHeight="1">
      <c r="A3" s="545"/>
      <c r="B3" s="545"/>
      <c r="C3" s="545"/>
      <c r="D3" s="545"/>
    </row>
    <row r="4" spans="1:4">
      <c r="A4" s="321" t="s">
        <v>572</v>
      </c>
      <c r="B4" s="322" t="s">
        <v>128</v>
      </c>
      <c r="C4" s="333" t="s">
        <v>3083</v>
      </c>
      <c r="D4" s="323" t="s">
        <v>2528</v>
      </c>
    </row>
    <row r="5" spans="1:4">
      <c r="A5" s="324">
        <v>46229</v>
      </c>
      <c r="B5" s="325" t="s">
        <v>712</v>
      </c>
      <c r="C5" s="334">
        <v>11</v>
      </c>
      <c r="D5" s="326" t="s">
        <v>3820</v>
      </c>
    </row>
    <row r="6" spans="1:4">
      <c r="A6" s="327">
        <v>46229</v>
      </c>
      <c r="B6" s="263" t="s">
        <v>2941</v>
      </c>
      <c r="C6" s="244">
        <v>14</v>
      </c>
      <c r="D6" s="328" t="s">
        <v>3807</v>
      </c>
    </row>
    <row r="7" spans="1:4">
      <c r="A7" s="327">
        <v>46229</v>
      </c>
      <c r="B7" s="263" t="s">
        <v>651</v>
      </c>
      <c r="C7" s="244">
        <v>28</v>
      </c>
      <c r="D7" s="328" t="s">
        <v>3925</v>
      </c>
    </row>
    <row r="8" spans="1:4">
      <c r="A8" s="327">
        <v>46229</v>
      </c>
      <c r="B8" s="263" t="s">
        <v>2264</v>
      </c>
      <c r="C8" s="244">
        <v>11</v>
      </c>
      <c r="D8" s="328" t="s">
        <v>4016</v>
      </c>
    </row>
    <row r="9" spans="1:4">
      <c r="A9" s="327">
        <v>46229</v>
      </c>
      <c r="B9" s="263" t="s">
        <v>842</v>
      </c>
      <c r="C9" s="244">
        <v>3</v>
      </c>
      <c r="D9" s="328" t="s">
        <v>585</v>
      </c>
    </row>
    <row r="10" spans="1:4">
      <c r="A10" s="327">
        <v>46229</v>
      </c>
      <c r="B10" s="263" t="s">
        <v>2259</v>
      </c>
      <c r="C10" s="244">
        <v>62</v>
      </c>
      <c r="D10" s="328" t="s">
        <v>4017</v>
      </c>
    </row>
    <row r="11" spans="1:4">
      <c r="A11" s="327">
        <v>46229</v>
      </c>
      <c r="B11" s="263" t="s">
        <v>644</v>
      </c>
      <c r="C11" s="244">
        <v>39</v>
      </c>
      <c r="D11" s="328" t="s">
        <v>4017</v>
      </c>
    </row>
    <row r="12" spans="1:4">
      <c r="A12" s="327">
        <v>46229</v>
      </c>
      <c r="B12" s="263" t="s">
        <v>3697</v>
      </c>
      <c r="C12" s="244">
        <v>400</v>
      </c>
      <c r="D12" s="328" t="s">
        <v>4018</v>
      </c>
    </row>
    <row r="13" spans="1:4">
      <c r="A13" s="327">
        <v>46229</v>
      </c>
      <c r="B13" s="263" t="s">
        <v>638</v>
      </c>
      <c r="C13" s="244">
        <v>4</v>
      </c>
      <c r="D13" s="328" t="s">
        <v>590</v>
      </c>
    </row>
    <row r="14" spans="1:4">
      <c r="A14" s="327">
        <v>46228</v>
      </c>
      <c r="B14" s="263" t="s">
        <v>712</v>
      </c>
      <c r="C14" s="244">
        <v>184</v>
      </c>
      <c r="D14" s="328" t="s">
        <v>3807</v>
      </c>
    </row>
    <row r="15" spans="1:4">
      <c r="A15" s="327">
        <v>46228</v>
      </c>
      <c r="B15" s="263" t="s">
        <v>2941</v>
      </c>
      <c r="C15" s="244">
        <v>29</v>
      </c>
      <c r="D15" s="328" t="s">
        <v>3831</v>
      </c>
    </row>
    <row r="16" spans="1:4">
      <c r="A16" s="327">
        <v>46228</v>
      </c>
      <c r="B16" s="263" t="s">
        <v>651</v>
      </c>
      <c r="C16" s="244">
        <v>143</v>
      </c>
      <c r="D16" s="328" t="s">
        <v>3696</v>
      </c>
    </row>
    <row r="17" spans="1:4">
      <c r="A17" s="327">
        <v>46228</v>
      </c>
      <c r="B17" s="263" t="s">
        <v>2264</v>
      </c>
      <c r="C17" s="244">
        <v>5</v>
      </c>
      <c r="D17" s="328" t="s">
        <v>3831</v>
      </c>
    </row>
    <row r="18" spans="1:4">
      <c r="A18" s="327">
        <v>46228</v>
      </c>
      <c r="B18" s="263" t="s">
        <v>842</v>
      </c>
      <c r="C18" s="244">
        <v>1</v>
      </c>
      <c r="D18" s="328" t="s">
        <v>584</v>
      </c>
    </row>
    <row r="19" spans="1:4">
      <c r="A19" s="327">
        <v>46228</v>
      </c>
      <c r="B19" s="263" t="s">
        <v>2259</v>
      </c>
      <c r="C19" s="244">
        <v>36</v>
      </c>
      <c r="D19" s="328" t="s">
        <v>4019</v>
      </c>
    </row>
    <row r="20" spans="1:4">
      <c r="A20" s="327">
        <v>46228</v>
      </c>
      <c r="B20" s="263" t="s">
        <v>644</v>
      </c>
      <c r="C20" s="244">
        <v>8</v>
      </c>
      <c r="D20" s="328" t="s">
        <v>3696</v>
      </c>
    </row>
    <row r="21" spans="1:4">
      <c r="A21" s="327">
        <v>46228</v>
      </c>
      <c r="B21" s="263" t="s">
        <v>3697</v>
      </c>
      <c r="C21" s="244">
        <v>44</v>
      </c>
      <c r="D21" s="328" t="s">
        <v>3696</v>
      </c>
    </row>
    <row r="22" spans="1:4">
      <c r="A22" s="327">
        <v>46228</v>
      </c>
      <c r="B22" s="263" t="s">
        <v>638</v>
      </c>
      <c r="C22" s="244">
        <v>129</v>
      </c>
      <c r="D22" s="328" t="s">
        <v>3696</v>
      </c>
    </row>
    <row r="23" spans="1:4">
      <c r="A23" s="327">
        <v>46227</v>
      </c>
      <c r="B23" s="263" t="s">
        <v>712</v>
      </c>
      <c r="C23" s="244">
        <v>75</v>
      </c>
      <c r="D23" s="328" t="s">
        <v>590</v>
      </c>
    </row>
    <row r="24" spans="1:4">
      <c r="A24" s="327">
        <v>46227</v>
      </c>
      <c r="B24" s="263" t="s">
        <v>2941</v>
      </c>
      <c r="C24" s="244">
        <v>10</v>
      </c>
      <c r="D24" s="328" t="s">
        <v>585</v>
      </c>
    </row>
    <row r="25" spans="1:4">
      <c r="A25" s="327">
        <v>46227</v>
      </c>
      <c r="B25" s="263" t="s">
        <v>651</v>
      </c>
      <c r="C25" s="244">
        <v>221</v>
      </c>
      <c r="D25" s="328" t="s">
        <v>3926</v>
      </c>
    </row>
    <row r="26" spans="1:4">
      <c r="A26" s="327">
        <v>46227</v>
      </c>
      <c r="B26" s="263" t="s">
        <v>2264</v>
      </c>
      <c r="C26" s="244">
        <v>1</v>
      </c>
      <c r="D26" s="328" t="s">
        <v>585</v>
      </c>
    </row>
    <row r="27" spans="1:4">
      <c r="A27" s="327">
        <v>46227</v>
      </c>
      <c r="B27" s="263" t="s">
        <v>842</v>
      </c>
      <c r="C27" s="244">
        <v>40</v>
      </c>
      <c r="D27" s="328" t="s">
        <v>3820</v>
      </c>
    </row>
    <row r="28" spans="1:4">
      <c r="A28" s="327">
        <v>46227</v>
      </c>
      <c r="B28" s="263" t="s">
        <v>2259</v>
      </c>
      <c r="C28" s="244">
        <v>69</v>
      </c>
      <c r="D28" s="328" t="s">
        <v>3806</v>
      </c>
    </row>
    <row r="29" spans="1:4">
      <c r="A29" s="327">
        <v>46227</v>
      </c>
      <c r="B29" s="263" t="s">
        <v>644</v>
      </c>
      <c r="C29" s="244">
        <v>488</v>
      </c>
      <c r="D29" s="328" t="s">
        <v>3820</v>
      </c>
    </row>
    <row r="30" spans="1:4">
      <c r="A30" s="327">
        <v>46227</v>
      </c>
      <c r="B30" s="263" t="s">
        <v>3697</v>
      </c>
      <c r="C30" s="244">
        <v>348</v>
      </c>
      <c r="D30" s="328" t="s">
        <v>3820</v>
      </c>
    </row>
    <row r="31" spans="1:4">
      <c r="A31" s="327">
        <v>46226</v>
      </c>
      <c r="B31" s="263" t="s">
        <v>651</v>
      </c>
      <c r="C31" s="244">
        <v>23</v>
      </c>
      <c r="D31" s="328" t="s">
        <v>3805</v>
      </c>
    </row>
    <row r="32" spans="1:4">
      <c r="A32" s="327">
        <v>46226</v>
      </c>
      <c r="B32" s="263" t="s">
        <v>2264</v>
      </c>
      <c r="C32" s="244">
        <v>1</v>
      </c>
      <c r="D32" s="328" t="s">
        <v>585</v>
      </c>
    </row>
    <row r="33" spans="1:4">
      <c r="A33" s="327">
        <v>46226</v>
      </c>
      <c r="B33" s="263" t="s">
        <v>2259</v>
      </c>
      <c r="C33" s="244">
        <v>5</v>
      </c>
      <c r="D33" s="328" t="s">
        <v>3867</v>
      </c>
    </row>
    <row r="34" spans="1:4">
      <c r="A34" s="327">
        <v>46226</v>
      </c>
      <c r="B34" s="263" t="s">
        <v>644</v>
      </c>
      <c r="C34" s="244">
        <v>6</v>
      </c>
      <c r="D34" s="328" t="s">
        <v>3806</v>
      </c>
    </row>
    <row r="35" spans="1:4">
      <c r="A35" s="327">
        <v>46226</v>
      </c>
      <c r="B35" s="263" t="s">
        <v>3697</v>
      </c>
      <c r="C35" s="244">
        <v>764</v>
      </c>
      <c r="D35" s="328" t="s">
        <v>3807</v>
      </c>
    </row>
    <row r="36" spans="1:4">
      <c r="A36" s="327">
        <v>46226</v>
      </c>
      <c r="B36" s="263" t="s">
        <v>638</v>
      </c>
      <c r="C36" s="244">
        <v>37</v>
      </c>
      <c r="D36" s="328" t="s">
        <v>3806</v>
      </c>
    </row>
    <row r="37" spans="1:4">
      <c r="A37" s="327">
        <v>46225</v>
      </c>
      <c r="B37" s="263" t="s">
        <v>712</v>
      </c>
      <c r="C37" s="244">
        <v>6</v>
      </c>
      <c r="D37" s="328" t="s">
        <v>585</v>
      </c>
    </row>
    <row r="38" spans="1:4">
      <c r="A38" s="327">
        <v>46225</v>
      </c>
      <c r="B38" s="263" t="s">
        <v>2941</v>
      </c>
      <c r="C38" s="244">
        <v>1</v>
      </c>
      <c r="D38" s="328" t="s">
        <v>585</v>
      </c>
    </row>
    <row r="39" spans="1:4">
      <c r="A39" s="327">
        <v>46225</v>
      </c>
      <c r="B39" s="263" t="s">
        <v>651</v>
      </c>
      <c r="C39" s="244">
        <v>60</v>
      </c>
      <c r="D39" s="328" t="s">
        <v>3453</v>
      </c>
    </row>
    <row r="40" spans="1:4">
      <c r="A40" s="327">
        <v>46225</v>
      </c>
      <c r="B40" s="263" t="s">
        <v>842</v>
      </c>
      <c r="C40" s="244">
        <v>3</v>
      </c>
      <c r="D40" s="328" t="s">
        <v>585</v>
      </c>
    </row>
    <row r="41" spans="1:4">
      <c r="A41" s="327">
        <v>46225</v>
      </c>
      <c r="B41" s="263" t="s">
        <v>2259</v>
      </c>
      <c r="C41" s="244">
        <v>1</v>
      </c>
      <c r="D41" s="328" t="s">
        <v>585</v>
      </c>
    </row>
    <row r="42" spans="1:4">
      <c r="A42" s="327">
        <v>46225</v>
      </c>
      <c r="B42" s="263" t="s">
        <v>644</v>
      </c>
      <c r="C42" s="244">
        <v>39</v>
      </c>
      <c r="D42" s="328" t="s">
        <v>3453</v>
      </c>
    </row>
    <row r="43" spans="1:4">
      <c r="A43" s="327">
        <v>46225</v>
      </c>
      <c r="B43" s="263" t="s">
        <v>3697</v>
      </c>
      <c r="C43" s="244">
        <v>43</v>
      </c>
      <c r="D43" s="328" t="s">
        <v>3453</v>
      </c>
    </row>
    <row r="44" spans="1:4">
      <c r="A44" s="327">
        <v>46225</v>
      </c>
      <c r="B44" s="263" t="s">
        <v>638</v>
      </c>
      <c r="C44" s="244">
        <v>9</v>
      </c>
      <c r="D44" s="328" t="s">
        <v>3453</v>
      </c>
    </row>
    <row r="45" spans="1:4">
      <c r="A45" s="327">
        <v>46224</v>
      </c>
      <c r="B45" s="263" t="s">
        <v>712</v>
      </c>
      <c r="C45" s="244">
        <v>17</v>
      </c>
      <c r="D45" s="328" t="s">
        <v>3696</v>
      </c>
    </row>
    <row r="46" spans="1:4">
      <c r="A46" s="327">
        <v>46224</v>
      </c>
      <c r="B46" s="263" t="s">
        <v>2259</v>
      </c>
      <c r="C46" s="244">
        <v>3</v>
      </c>
      <c r="D46" s="328" t="s">
        <v>3453</v>
      </c>
    </row>
    <row r="47" spans="1:4">
      <c r="A47" s="327">
        <v>46224</v>
      </c>
      <c r="B47" s="263" t="s">
        <v>644</v>
      </c>
      <c r="C47" s="244">
        <v>6</v>
      </c>
      <c r="D47" s="328" t="s">
        <v>3696</v>
      </c>
    </row>
    <row r="48" spans="1:4">
      <c r="A48" s="327">
        <v>46224</v>
      </c>
      <c r="B48" s="263" t="s">
        <v>3697</v>
      </c>
      <c r="C48" s="244">
        <v>1</v>
      </c>
      <c r="D48" s="328" t="s">
        <v>584</v>
      </c>
    </row>
    <row r="49" spans="1:4">
      <c r="A49" s="327">
        <v>46224</v>
      </c>
      <c r="B49" s="263" t="s">
        <v>638</v>
      </c>
      <c r="C49" s="244">
        <v>12</v>
      </c>
      <c r="D49" s="328" t="s">
        <v>585</v>
      </c>
    </row>
    <row r="50" spans="1:4">
      <c r="A50" s="327">
        <v>46223</v>
      </c>
      <c r="B50" s="263" t="s">
        <v>2941</v>
      </c>
      <c r="C50" s="244">
        <v>1</v>
      </c>
      <c r="D50" s="328" t="s">
        <v>584</v>
      </c>
    </row>
    <row r="51" spans="1:4">
      <c r="A51" s="327">
        <v>46223</v>
      </c>
      <c r="B51" s="263" t="s">
        <v>638</v>
      </c>
      <c r="C51" s="244">
        <v>1</v>
      </c>
      <c r="D51" s="328" t="s">
        <v>585</v>
      </c>
    </row>
    <row r="52" spans="1:4">
      <c r="A52" s="327">
        <v>46221</v>
      </c>
      <c r="B52" s="263" t="s">
        <v>651</v>
      </c>
      <c r="C52" s="244">
        <v>2</v>
      </c>
      <c r="D52" s="328" t="s">
        <v>585</v>
      </c>
    </row>
    <row r="53" spans="1:4">
      <c r="A53" s="327">
        <v>46221</v>
      </c>
      <c r="B53" s="263" t="s">
        <v>638</v>
      </c>
      <c r="C53" s="244">
        <v>1</v>
      </c>
      <c r="D53" s="328" t="s">
        <v>585</v>
      </c>
    </row>
    <row r="54" spans="1:4">
      <c r="A54" s="327">
        <v>46220</v>
      </c>
      <c r="B54" s="263" t="s">
        <v>2941</v>
      </c>
      <c r="C54" s="244">
        <v>9</v>
      </c>
      <c r="D54" s="328" t="s">
        <v>584</v>
      </c>
    </row>
    <row r="55" spans="1:4">
      <c r="A55" s="327">
        <v>46220</v>
      </c>
      <c r="B55" s="263" t="s">
        <v>651</v>
      </c>
      <c r="C55" s="244">
        <v>2</v>
      </c>
      <c r="D55" s="328" t="s">
        <v>3696</v>
      </c>
    </row>
    <row r="56" spans="1:4">
      <c r="A56" s="327">
        <v>46219</v>
      </c>
      <c r="B56" s="263" t="s">
        <v>651</v>
      </c>
      <c r="C56" s="244">
        <v>1</v>
      </c>
      <c r="D56" s="328" t="s">
        <v>585</v>
      </c>
    </row>
    <row r="57" spans="1:4">
      <c r="A57" s="327">
        <v>46219</v>
      </c>
      <c r="B57" s="263" t="s">
        <v>644</v>
      </c>
      <c r="C57" s="244">
        <v>2</v>
      </c>
      <c r="D57" s="328" t="s">
        <v>585</v>
      </c>
    </row>
    <row r="58" spans="1:4">
      <c r="A58" s="396">
        <v>46219</v>
      </c>
      <c r="B58" s="329" t="s">
        <v>638</v>
      </c>
      <c r="C58" s="335">
        <v>10</v>
      </c>
      <c r="D58" s="397" t="s">
        <v>585</v>
      </c>
    </row>
  </sheetData>
  <mergeCells count="2">
    <mergeCell ref="A1:D1"/>
    <mergeCell ref="A2:D3"/>
  </mergeCells>
  <phoneticPr fontId="3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530"/>
  <sheetViews>
    <sheetView showGridLines="0" workbookViewId="0">
      <pane ySplit="9" topLeftCell="A10" activePane="bottomLeft" state="frozen"/>
      <selection pane="bottomLeft" activeCell="S27" sqref="S27"/>
    </sheetView>
  </sheetViews>
  <sheetFormatPr defaultColWidth="9" defaultRowHeight="13.8"/>
  <cols>
    <col min="1" max="1" width="22" style="350" customWidth="1"/>
    <col min="2" max="2" width="16.59765625" style="350" customWidth="1"/>
    <col min="3" max="3" width="14.59765625" style="350" customWidth="1"/>
    <col min="4" max="4" width="16.59765625" style="350" customWidth="1"/>
    <col min="5" max="6" width="12.59765625" style="350" customWidth="1"/>
    <col min="7" max="7" width="32.59765625" style="350" customWidth="1"/>
    <col min="8" max="10" width="15" style="350" customWidth="1"/>
    <col min="11" max="11" width="16" style="350" customWidth="1"/>
    <col min="12" max="12" width="20" style="350" customWidth="1"/>
    <col min="13" max="13" width="3" style="350" hidden="1" customWidth="1"/>
    <col min="14" max="16384" width="9" style="350"/>
  </cols>
  <sheetData>
    <row r="1" spans="1:12" ht="27.9" customHeight="1">
      <c r="A1" s="546" t="s">
        <v>2363</v>
      </c>
      <c r="B1" s="547"/>
      <c r="C1" s="547"/>
      <c r="D1" s="547"/>
      <c r="E1" s="547"/>
      <c r="F1" s="547"/>
      <c r="G1" s="547"/>
      <c r="H1" s="547"/>
      <c r="I1" s="547"/>
      <c r="J1" s="548" t="s">
        <v>2364</v>
      </c>
      <c r="K1" s="549"/>
      <c r="L1" s="549"/>
    </row>
    <row r="2" spans="1:12" ht="27.9" customHeight="1">
      <c r="A2" s="547"/>
      <c r="B2" s="547"/>
      <c r="C2" s="547"/>
      <c r="D2" s="547"/>
      <c r="E2" s="547"/>
      <c r="F2" s="547"/>
      <c r="G2" s="547"/>
      <c r="H2" s="547"/>
      <c r="I2" s="547"/>
      <c r="J2" s="549"/>
      <c r="K2" s="549"/>
      <c r="L2" s="549"/>
    </row>
    <row r="3" spans="1:12">
      <c r="A3" s="550" t="str">
        <f ca="1">"EXECUTION - DAY "&amp;TEXT(TODAY()-DATE(2026,7,12)+1,"0")&amp;" OF "&amp;TEXT(DATE(2026,8,11)-DATE(2026,7,12)+1,"0")</f>
        <v>EXECUTION - DAY 15 OF 31</v>
      </c>
      <c r="B3" s="551"/>
      <c r="C3" s="551"/>
      <c r="D3" s="552" t="str">
        <f>"REFRESH  •  "&amp;K2_RefreshStatus</f>
        <v>REFRESH  •  READY</v>
      </c>
      <c r="E3" s="551"/>
      <c r="F3" s="551"/>
      <c r="G3" s="553" t="str">
        <f ca="1">IF(D6=0,"RELEASE - READY","RELEASE - HOLD: "&amp;D6&amp;" CRITICAL")</f>
        <v>RELEASE - HOLD: 1 CRITICAL</v>
      </c>
      <c r="H3" s="551"/>
      <c r="I3" s="551"/>
      <c r="J3" s="552" t="str">
        <f ca="1">"AS OF - "&amp;TEXT(TODAY(),"dd mmm yyyy")</f>
        <v>AS OF - 26 Jul 2026</v>
      </c>
      <c r="K3" s="551"/>
      <c r="L3" s="551"/>
    </row>
    <row r="5" spans="1:12">
      <c r="A5" s="554" t="s">
        <v>2365</v>
      </c>
      <c r="B5" s="551"/>
      <c r="C5" s="551"/>
      <c r="D5" s="554" t="s">
        <v>2366</v>
      </c>
      <c r="E5" s="551"/>
      <c r="F5" s="551"/>
      <c r="G5" s="554" t="s">
        <v>2367</v>
      </c>
      <c r="H5" s="551"/>
      <c r="I5" s="551"/>
      <c r="J5" s="554" t="s">
        <v>2368</v>
      </c>
      <c r="K5" s="551"/>
      <c r="L5" s="551"/>
    </row>
    <row r="6" spans="1:12">
      <c r="A6" s="557" t="str">
        <f ca="1">IF(D6=0,IF(G6=0,"PASS - IN CONTROL","WATCH - HIGH ITEMS OPEN"),"ATTENTION - CRITICAL ITEMS OPEN")</f>
        <v>ATTENTION - CRITICAL ITEMS OPEN</v>
      </c>
      <c r="B6" s="551"/>
      <c r="C6" s="551"/>
      <c r="D6" s="558">
        <f ca="1">COUNTIFS($A$12:$A$21,"Critical",$F$12:$F$21,"FAIL")</f>
        <v>1</v>
      </c>
      <c r="E6" s="551"/>
      <c r="F6" s="551"/>
      <c r="G6" s="558">
        <f>COUNTIFS($A$12:$A$21,"High",$F$12:$F$21,"FAIL")</f>
        <v>0</v>
      </c>
      <c r="H6" s="551"/>
      <c r="I6" s="551"/>
      <c r="J6" s="555">
        <f ca="1">IFERROR(AVERAGE($J$24:$J$30),0)</f>
        <v>0.75</v>
      </c>
      <c r="K6" s="551"/>
      <c r="L6" s="551"/>
    </row>
    <row r="7" spans="1:12">
      <c r="A7" s="551"/>
      <c r="B7" s="551"/>
      <c r="C7" s="551"/>
      <c r="D7" s="551"/>
      <c r="E7" s="551"/>
      <c r="F7" s="551"/>
      <c r="G7" s="551"/>
      <c r="H7" s="551"/>
      <c r="I7" s="551"/>
      <c r="J7" s="551"/>
      <c r="K7" s="551"/>
      <c r="L7" s="551"/>
    </row>
    <row r="8" spans="1:12">
      <c r="A8" s="551"/>
      <c r="B8" s="551"/>
      <c r="C8" s="551"/>
      <c r="D8" s="551"/>
      <c r="E8" s="551"/>
      <c r="F8" s="551"/>
      <c r="G8" s="551"/>
      <c r="H8" s="551"/>
      <c r="I8" s="551"/>
      <c r="J8" s="551"/>
      <c r="K8" s="551"/>
      <c r="L8" s="551"/>
    </row>
    <row r="10" spans="1:12">
      <c r="A10" s="556" t="s">
        <v>2369</v>
      </c>
      <c r="B10" s="549"/>
      <c r="C10" s="549"/>
      <c r="D10" s="549"/>
      <c r="E10" s="549"/>
      <c r="F10" s="549"/>
      <c r="G10" s="549"/>
      <c r="H10" s="549"/>
      <c r="I10" s="549"/>
      <c r="J10" s="549"/>
      <c r="K10" s="549"/>
      <c r="L10" s="549"/>
    </row>
    <row r="11" spans="1:12">
      <c r="A11" s="351" t="s">
        <v>2370</v>
      </c>
      <c r="B11" s="351" t="s">
        <v>2371</v>
      </c>
      <c r="C11" s="351" t="s">
        <v>2372</v>
      </c>
      <c r="D11" s="351" t="s">
        <v>2373</v>
      </c>
      <c r="E11" s="351" t="s">
        <v>2374</v>
      </c>
      <c r="F11" s="351" t="s">
        <v>2375</v>
      </c>
    </row>
    <row r="12" spans="1:12">
      <c r="A12" s="352" t="str">
        <f>'Control Data'!U6</f>
        <v>Critical</v>
      </c>
      <c r="B12" s="353" t="str">
        <f>'Control Data'!S6</f>
        <v>Data</v>
      </c>
      <c r="C12" s="353" t="str">
        <f>'Control Data'!T6</f>
        <v>Governed source path</v>
      </c>
      <c r="D12" s="353" t="str">
        <f>'Control Data'!W6</f>
        <v>CONFIGURED</v>
      </c>
      <c r="E12" s="353" t="str">
        <f>'Control Data'!AA6</f>
        <v>Data Owner</v>
      </c>
      <c r="F12" s="353" t="str">
        <f>'Control Data'!AH6</f>
        <v>PASS</v>
      </c>
    </row>
    <row r="13" spans="1:12">
      <c r="A13" s="352" t="str">
        <f>'Control Data'!U7</f>
        <v>Critical</v>
      </c>
      <c r="B13" s="353" t="str">
        <f>'Control Data'!S7</f>
        <v>Data</v>
      </c>
      <c r="C13" s="353" t="str">
        <f>'Control Data'!T7</f>
        <v>Power Query errors</v>
      </c>
      <c r="D13" s="353">
        <f>SUMPRODUCT(--ISERROR('Live Utilisation'!A1:R977))+SUMPRODUCT(--ISERROR('Consumables Stock'!A4:G202))+SUMPRODUCT(--ISERROR('Consumables Utilisation'!A4:G201))+SUMPRODUCT(--ISERROR('Company Spend'!A4:H111))+SUMPRODUCT(--ISERROR('Stocktake Coverage'!A4:F103))+SUMPRODUCT(--ISERROR('Stocktake Log'!A4:D221))+SUMPRODUCT(--ISERROR('Plant Variance'!A4:H101))</f>
        <v>0</v>
      </c>
      <c r="E13" s="353" t="str">
        <f>'Control Data'!AA7</f>
        <v>Data Owner</v>
      </c>
      <c r="F13" s="353" t="str">
        <f>IF(D13=0,"PASS","FAIL")</f>
        <v>PASS</v>
      </c>
    </row>
    <row r="14" spans="1:12">
      <c r="A14" s="352" t="str">
        <f>'Control Data'!U9</f>
        <v>Critical</v>
      </c>
      <c r="B14" s="353" t="str">
        <f>'Control Data'!S9</f>
        <v>Actuals</v>
      </c>
      <c r="C14" s="353" t="s">
        <v>3088</v>
      </c>
      <c r="D14" s="353">
        <f ca="1">SUMPRODUCT((DailyTrackingTable[Date]&lt;TODAY())*(DailyTrackingTable[Plant Equipment Hire Actual]=""))+SUMPRODUCT((DailyTrackingTable[Date]&lt;TODAY())*(DailyTrackingTable[Tooling Hire Actual]=""))+SUMPRODUCT((DailyTrackingTable[Date]&lt;TODAY())*(DailyTrackingTable[Radio Hire Actual]=""))+SUMPRODUCT((DailyTrackingTable[Date]&lt;TODAY())*(DailyTrackingTable[Gas Monitor Hire Actual]=""))+SUMPRODUCT((DailyTrackingTable[Date]&lt;TODAY())*(DailyTrackingTable[Personnel / Labour Actual]=""))+SUMPRODUCT((DailyTrackingTable[Date]&lt;TODAY())*(DailyTrackingTable[Accommodation Actual]=""))</f>
        <v>14</v>
      </c>
      <c r="E14" s="353" t="str">
        <f>'Control Data'!AA9</f>
        <v>Finance</v>
      </c>
      <c r="F14" s="353" t="str">
        <f ca="1">IF(D14=0,"PASS","RUN PREFILL FOR PAST DAYS")</f>
        <v>RUN PREFILL FOR PAST DAYS</v>
      </c>
    </row>
    <row r="15" spans="1:12">
      <c r="A15" s="352" t="str">
        <f>'Control Data'!U12</f>
        <v>Critical</v>
      </c>
      <c r="B15" s="353" t="str">
        <f>'Control Data'!S12</f>
        <v>Mapping</v>
      </c>
      <c r="C15" s="353" t="str">
        <f>'Control Data'!T12</f>
        <v>Radio battery quantity</v>
      </c>
      <c r="D15" s="353">
        <f>'Control Data'!W12</f>
        <v>104</v>
      </c>
      <c r="E15" s="353" t="str">
        <f>'Control Data'!AA12</f>
        <v>Data Owner</v>
      </c>
      <c r="F15" s="353" t="str">
        <f>'Control Data'!AH12</f>
        <v>FAIL</v>
      </c>
    </row>
    <row r="16" spans="1:12">
      <c r="A16" s="352" t="str">
        <f>'Control Data'!U14</f>
        <v>Critical</v>
      </c>
      <c r="B16" s="353" t="str">
        <f>'Control Data'!S14</f>
        <v>Operations</v>
      </c>
      <c r="C16" s="353" t="s">
        <v>3089</v>
      </c>
      <c r="D16" s="353">
        <f>SUMPRODUCT(--(AssetRegisterTable2219[Date Received On Site]=""))</f>
        <v>162</v>
      </c>
      <c r="E16" s="353" t="str">
        <f>'Control Data'!AA14</f>
        <v>Plant Coordinator</v>
      </c>
      <c r="F16" s="353" t="str">
        <f>IF(D16=0,"PASS","BACK-FILL AS RECEIVED")</f>
        <v>BACK-FILL AS RECEIVED</v>
      </c>
    </row>
    <row r="17" spans="1:12">
      <c r="A17" s="352" t="str">
        <f>'Control Data'!U16</f>
        <v>Critical</v>
      </c>
      <c r="B17" s="353" t="str">
        <f>'Control Data'!S16</f>
        <v>Stock</v>
      </c>
      <c r="C17" s="353" t="s">
        <v>3099</v>
      </c>
      <c r="D17" s="353">
        <f>COUNTIFS(K2_ConsumablesStock[Available Qty],0)</f>
        <v>4</v>
      </c>
      <c r="E17" s="353" t="str">
        <f>'Control Data'!AA16</f>
        <v>Toolstore Supervisor</v>
      </c>
      <c r="F17" s="353" t="str">
        <f>IF(D17=0,"PASS",IF(D17&lt;=3,"CHECK - reorder","FAIL - reorder now"))</f>
        <v>FAIL - reorder now</v>
      </c>
    </row>
    <row r="18" spans="1:12">
      <c r="A18" s="352" t="str">
        <f>'Control Data'!U23</f>
        <v>Critical</v>
      </c>
      <c r="B18" s="353" t="str">
        <f>'Control Data'!S23</f>
        <v>Safety</v>
      </c>
      <c r="C18" s="353" t="str">
        <f>'Control Data'!T23</f>
        <v>Fatigue and assurance approval</v>
      </c>
      <c r="D18" s="353">
        <f>'Control Data'!W23</f>
        <v>0</v>
      </c>
      <c r="E18" s="353" t="str">
        <f>'Control Data'!AA23</f>
        <v>HSE Lead</v>
      </c>
      <c r="F18" s="353" t="str">
        <f>'Control Data'!AH23</f>
        <v>PENDING</v>
      </c>
    </row>
    <row r="19" spans="1:12">
      <c r="A19" s="352" t="str">
        <f>'Control Data'!U24</f>
        <v>Critical</v>
      </c>
      <c r="B19" s="353" t="str">
        <f>'Control Data'!S24</f>
        <v>Automation</v>
      </c>
      <c r="C19" s="353" t="s">
        <v>3090</v>
      </c>
      <c r="D19" s="353">
        <f>ROWS(K2_StocktakeLog[Date])</f>
        <v>54</v>
      </c>
      <c r="E19" s="353" t="str">
        <f>'Control Data'!AA24</f>
        <v>Data Owner</v>
      </c>
      <c r="F19" s="353" t="str">
        <f>IF(D19&gt;0,"PASS","FAIL")</f>
        <v>PASS</v>
      </c>
    </row>
    <row r="20" spans="1:12">
      <c r="A20" s="352" t="str">
        <f>'Control Data'!U11</f>
        <v>High</v>
      </c>
      <c r="B20" s="353" t="str">
        <f>'Control Data'!S11</f>
        <v>Mapping</v>
      </c>
      <c r="C20" s="353" t="str">
        <f>'Control Data'!T11</f>
        <v>Radio handset quantity</v>
      </c>
      <c r="D20" s="353">
        <f>'Control Data'!W11</f>
        <v>0</v>
      </c>
      <c r="E20" s="353" t="str">
        <f>'Control Data'!AA11</f>
        <v>Data Owner</v>
      </c>
      <c r="F20" s="353" t="str">
        <f>'Control Data'!AH11</f>
        <v>PASS</v>
      </c>
    </row>
    <row r="21" spans="1:12">
      <c r="A21" s="352" t="str">
        <f>'Control Data'!U21</f>
        <v>High</v>
      </c>
      <c r="B21" s="353" t="str">
        <f>'Control Data'!S21</f>
        <v>Commercial</v>
      </c>
      <c r="C21" s="353" t="str">
        <f>'Control Data'!T21</f>
        <v>Unapproved charge bases</v>
      </c>
      <c r="D21" s="353">
        <f>'Control Data'!W21</f>
        <v>0</v>
      </c>
      <c r="E21" s="353" t="str">
        <f>'Control Data'!AA21</f>
        <v>Commercial Manager</v>
      </c>
      <c r="F21" s="353" t="str">
        <f>'Control Data'!AH21</f>
        <v>PASS</v>
      </c>
    </row>
    <row r="22" spans="1:12">
      <c r="A22" s="556" t="s">
        <v>3091</v>
      </c>
      <c r="B22" s="551"/>
      <c r="C22" s="551"/>
      <c r="D22" s="551"/>
      <c r="E22" s="551"/>
      <c r="F22" s="551"/>
      <c r="G22" s="551"/>
      <c r="H22" s="551"/>
      <c r="I22" s="551"/>
      <c r="J22" s="551"/>
      <c r="K22" s="551"/>
      <c r="L22" s="551"/>
    </row>
    <row r="23" spans="1:12">
      <c r="A23" s="354" t="s">
        <v>2376</v>
      </c>
      <c r="B23" s="354" t="s">
        <v>2377</v>
      </c>
      <c r="C23" s="354" t="s">
        <v>2378</v>
      </c>
      <c r="D23" s="354" t="s">
        <v>2379</v>
      </c>
      <c r="E23" s="354" t="s">
        <v>2380</v>
      </c>
      <c r="F23" s="354" t="s">
        <v>2381</v>
      </c>
      <c r="G23" s="354" t="s">
        <v>2382</v>
      </c>
      <c r="H23" s="354" t="s">
        <v>2383</v>
      </c>
      <c r="I23" s="354" t="s">
        <v>2384</v>
      </c>
      <c r="J23" s="354" t="s">
        <v>2385</v>
      </c>
    </row>
    <row r="24" spans="1:12">
      <c r="A24" s="349">
        <f ca="1">TODAY()-5</f>
        <v>46224</v>
      </c>
      <c r="B24" s="355" t="str">
        <f ca="1">IF($A24&gt;TODAY(),"O",IF(COUNTIFS(DailyTrackingTable[Date],$A24)=0,"-",IF(COUNTIFS(DailyTrackingTable[Date],$A24,DailyTrackingTable[Plant Equipment Hire Actual],"&lt;&gt;")=1,"OK","M")))</f>
        <v>OK</v>
      </c>
      <c r="C24" s="355" t="str">
        <f ca="1">IF($A24&gt;TODAY(),"O",IF(COUNTIFS(DailyTrackingTable[Date],$A24)=0,"-",IF(COUNTIFS(DailyTrackingTable[Date],$A24,DailyTrackingTable[Tooling Hire Actual],"&lt;&gt;")=1,"OK","M")))</f>
        <v>OK</v>
      </c>
      <c r="D24" s="355" t="str">
        <f ca="1">IF($A24&gt;TODAY(),"O",IF(COUNTIFS(DailyTrackingTable[Date],$A24)=0,"-",IF(COUNTIFS(DailyTrackingTable[Date],$A24,DailyTrackingTable[Radio Hire Actual],"&lt;&gt;")=1,"OK","M")))</f>
        <v>OK</v>
      </c>
      <c r="E24" s="355" t="str">
        <f ca="1">IF($A24&gt;TODAY(),"O",IF(COUNTIFS(DailyTrackingTable[Date],$A24)=0,"-",IF(COUNTIFS(DailyTrackingTable[Date],$A24,DailyTrackingTable[Gas Monitor Hire Actual],"&lt;&gt;")=1,"OK","M")))</f>
        <v>OK</v>
      </c>
      <c r="F24" s="355" t="str">
        <f ca="1">IF($A24&gt;TODAY(),"O",IF(COUNTIFS(DailyTrackingTable[Date],$A24)=0,"-",IF(COUNTIFS(DailyTrackingTable[Date],$A24,DailyTrackingTable[Personnel / Labour Actual],"&lt;&gt;")=1,"OK","M")))</f>
        <v>OK</v>
      </c>
      <c r="G24" s="355" t="str">
        <f ca="1">IF($A24&gt;TODAY(),"O",IF(COUNTIFS(DailyTrackingTable[Date],$A24)=0,"-",IF(COUNTIFS(DailyTrackingTable[Date],$A24,DailyTrackingTable[Accommodation Actual],"&lt;&gt;")=1,"OK","M")))</f>
        <v>OK</v>
      </c>
      <c r="H24" s="355" t="str">
        <f ca="1">IF($A24&gt;TODAY(),"O",IF(COUNTIFS(DailyTrackingTable[Date],$A24)=0,"-",IF(COUNTIFS(DailyTrackingTable[Date],$A24,DailyTrackingTable[Transport Actual],"&lt;&gt;")=1,"OK","M")))</f>
        <v>M</v>
      </c>
      <c r="I24" s="355" t="str">
        <f ca="1">IF($A24&gt;TODAY(),"O",IF(COUNTIFS(DailyTrackingTable[Date],$A24)=0,"-",IF(COUNTIFS(DailyTrackingTable[Date],$A24,DailyTrackingTable[Damage Recovery Actual],"&lt;&gt;")=1,"OK","M")))</f>
        <v>M</v>
      </c>
      <c r="J24" s="356">
        <f ca="1">IF($A24&gt;TODAY(),"",IF(COUNTIFS(DailyTrackingTable[Date],$A24)=0,"",(COUNTIF(B24:I24,"OK"))/8))</f>
        <v>0.75</v>
      </c>
    </row>
    <row r="25" spans="1:12">
      <c r="A25" s="349">
        <f ca="1">TODAY()-4</f>
        <v>46225</v>
      </c>
      <c r="B25" s="355" t="str">
        <f ca="1">IF($A25&gt;TODAY(),"O",IF(COUNTIFS(DailyTrackingTable[Date],$A25)=0,"-",IF(COUNTIFS(DailyTrackingTable[Date],$A25,DailyTrackingTable[Plant Equipment Hire Actual],"&lt;&gt;")=1,"OK","M")))</f>
        <v>OK</v>
      </c>
      <c r="C25" s="355" t="str">
        <f ca="1">IF($A25&gt;TODAY(),"O",IF(COUNTIFS(DailyTrackingTable[Date],$A25)=0,"-",IF(COUNTIFS(DailyTrackingTable[Date],$A25,DailyTrackingTable[Tooling Hire Actual],"&lt;&gt;")=1,"OK","M")))</f>
        <v>OK</v>
      </c>
      <c r="D25" s="355" t="str">
        <f ca="1">IF($A25&gt;TODAY(),"O",IF(COUNTIFS(DailyTrackingTable[Date],$A25)=0,"-",IF(COUNTIFS(DailyTrackingTable[Date],$A25,DailyTrackingTable[Radio Hire Actual],"&lt;&gt;")=1,"OK","M")))</f>
        <v>OK</v>
      </c>
      <c r="E25" s="355" t="str">
        <f ca="1">IF($A25&gt;TODAY(),"O",IF(COUNTIFS(DailyTrackingTable[Date],$A25)=0,"-",IF(COUNTIFS(DailyTrackingTable[Date],$A25,DailyTrackingTable[Gas Monitor Hire Actual],"&lt;&gt;")=1,"OK","M")))</f>
        <v>OK</v>
      </c>
      <c r="F25" s="355" t="str">
        <f ca="1">IF($A25&gt;TODAY(),"O",IF(COUNTIFS(DailyTrackingTable[Date],$A25)=0,"-",IF(COUNTIFS(DailyTrackingTable[Date],$A25,DailyTrackingTable[Personnel / Labour Actual],"&lt;&gt;")=1,"OK","M")))</f>
        <v>OK</v>
      </c>
      <c r="G25" s="355" t="str">
        <f ca="1">IF($A25&gt;TODAY(),"O",IF(COUNTIFS(DailyTrackingTable[Date],$A25)=0,"-",IF(COUNTIFS(DailyTrackingTable[Date],$A25,DailyTrackingTable[Accommodation Actual],"&lt;&gt;")=1,"OK","M")))</f>
        <v>OK</v>
      </c>
      <c r="H25" s="355" t="str">
        <f ca="1">IF($A25&gt;TODAY(),"O",IF(COUNTIFS(DailyTrackingTable[Date],$A25)=0,"-",IF(COUNTIFS(DailyTrackingTable[Date],$A25,DailyTrackingTable[Transport Actual],"&lt;&gt;")=1,"OK","M")))</f>
        <v>M</v>
      </c>
      <c r="I25" s="355" t="str">
        <f ca="1">IF($A25&gt;TODAY(),"O",IF(COUNTIFS(DailyTrackingTable[Date],$A25)=0,"-",IF(COUNTIFS(DailyTrackingTable[Date],$A25,DailyTrackingTable[Damage Recovery Actual],"&lt;&gt;")=1,"OK","M")))</f>
        <v>M</v>
      </c>
      <c r="J25" s="356">
        <f ca="1">IF($A25&gt;TODAY(),"",IF(COUNTIFS(DailyTrackingTable[Date],$A25)=0,"",(COUNTIF(B25:I25,"OK"))/8))</f>
        <v>0.75</v>
      </c>
    </row>
    <row r="26" spans="1:12">
      <c r="A26" s="349">
        <f ca="1">TODAY()-3</f>
        <v>46226</v>
      </c>
      <c r="B26" s="355" t="str">
        <f ca="1">IF($A26&gt;TODAY(),"O",IF(COUNTIFS(DailyTrackingTable[Date],$A26)=0,"-",IF(COUNTIFS(DailyTrackingTable[Date],$A26,DailyTrackingTable[Plant Equipment Hire Actual],"&lt;&gt;")=1,"OK","M")))</f>
        <v>OK</v>
      </c>
      <c r="C26" s="355" t="str">
        <f ca="1">IF($A26&gt;TODAY(),"O",IF(COUNTIFS(DailyTrackingTable[Date],$A26)=0,"-",IF(COUNTIFS(DailyTrackingTable[Date],$A26,DailyTrackingTable[Tooling Hire Actual],"&lt;&gt;")=1,"OK","M")))</f>
        <v>OK</v>
      </c>
      <c r="D26" s="355" t="str">
        <f ca="1">IF($A26&gt;TODAY(),"O",IF(COUNTIFS(DailyTrackingTable[Date],$A26)=0,"-",IF(COUNTIFS(DailyTrackingTable[Date],$A26,DailyTrackingTable[Radio Hire Actual],"&lt;&gt;")=1,"OK","M")))</f>
        <v>OK</v>
      </c>
      <c r="E26" s="355" t="str">
        <f ca="1">IF($A26&gt;TODAY(),"O",IF(COUNTIFS(DailyTrackingTable[Date],$A26)=0,"-",IF(COUNTIFS(DailyTrackingTable[Date],$A26,DailyTrackingTable[Gas Monitor Hire Actual],"&lt;&gt;")=1,"OK","M")))</f>
        <v>OK</v>
      </c>
      <c r="F26" s="355" t="str">
        <f ca="1">IF($A26&gt;TODAY(),"O",IF(COUNTIFS(DailyTrackingTable[Date],$A26)=0,"-",IF(COUNTIFS(DailyTrackingTable[Date],$A26,DailyTrackingTable[Personnel / Labour Actual],"&lt;&gt;")=1,"OK","M")))</f>
        <v>OK</v>
      </c>
      <c r="G26" s="355" t="str">
        <f ca="1">IF($A26&gt;TODAY(),"O",IF(COUNTIFS(DailyTrackingTable[Date],$A26)=0,"-",IF(COUNTIFS(DailyTrackingTable[Date],$A26,DailyTrackingTable[Accommodation Actual],"&lt;&gt;")=1,"OK","M")))</f>
        <v>OK</v>
      </c>
      <c r="H26" s="355" t="str">
        <f ca="1">IF($A26&gt;TODAY(),"O",IF(COUNTIFS(DailyTrackingTable[Date],$A26)=0,"-",IF(COUNTIFS(DailyTrackingTable[Date],$A26,DailyTrackingTable[Transport Actual],"&lt;&gt;")=1,"OK","M")))</f>
        <v>M</v>
      </c>
      <c r="I26" s="355" t="str">
        <f ca="1">IF($A26&gt;TODAY(),"O",IF(COUNTIFS(DailyTrackingTable[Date],$A26)=0,"-",IF(COUNTIFS(DailyTrackingTable[Date],$A26,DailyTrackingTable[Damage Recovery Actual],"&lt;&gt;")=1,"OK","M")))</f>
        <v>M</v>
      </c>
      <c r="J26" s="356">
        <f ca="1">IF($A26&gt;TODAY(),"",IF(COUNTIFS(DailyTrackingTable[Date],$A26)=0,"",(COUNTIF(B26:I26,"OK"))/8))</f>
        <v>0.75</v>
      </c>
    </row>
    <row r="27" spans="1:12">
      <c r="A27" s="349">
        <f ca="1">TODAY()-2</f>
        <v>46227</v>
      </c>
      <c r="B27" s="355" t="str">
        <f ca="1">IF($A27&gt;TODAY(),"O",IF(COUNTIFS(DailyTrackingTable[Date],$A27)=0,"-",IF(COUNTIFS(DailyTrackingTable[Date],$A27,DailyTrackingTable[Plant Equipment Hire Actual],"&lt;&gt;")=1,"OK","M")))</f>
        <v>OK</v>
      </c>
      <c r="C27" s="355" t="str">
        <f ca="1">IF($A27&gt;TODAY(),"O",IF(COUNTIFS(DailyTrackingTable[Date],$A27)=0,"-",IF(COUNTIFS(DailyTrackingTable[Date],$A27,DailyTrackingTable[Tooling Hire Actual],"&lt;&gt;")=1,"OK","M")))</f>
        <v>OK</v>
      </c>
      <c r="D27" s="355" t="str">
        <f ca="1">IF($A27&gt;TODAY(),"O",IF(COUNTIFS(DailyTrackingTable[Date],$A27)=0,"-",IF(COUNTIFS(DailyTrackingTable[Date],$A27,DailyTrackingTable[Radio Hire Actual],"&lt;&gt;")=1,"OK","M")))</f>
        <v>OK</v>
      </c>
      <c r="E27" s="355" t="str">
        <f ca="1">IF($A27&gt;TODAY(),"O",IF(COUNTIFS(DailyTrackingTable[Date],$A27)=0,"-",IF(COUNTIFS(DailyTrackingTable[Date],$A27,DailyTrackingTable[Gas Monitor Hire Actual],"&lt;&gt;")=1,"OK","M")))</f>
        <v>OK</v>
      </c>
      <c r="F27" s="355" t="str">
        <f ca="1">IF($A27&gt;TODAY(),"O",IF(COUNTIFS(DailyTrackingTable[Date],$A27)=0,"-",IF(COUNTIFS(DailyTrackingTable[Date],$A27,DailyTrackingTable[Personnel / Labour Actual],"&lt;&gt;")=1,"OK","M")))</f>
        <v>OK</v>
      </c>
      <c r="G27" s="355" t="str">
        <f ca="1">IF($A27&gt;TODAY(),"O",IF(COUNTIFS(DailyTrackingTable[Date],$A27)=0,"-",IF(COUNTIFS(DailyTrackingTable[Date],$A27,DailyTrackingTable[Accommodation Actual],"&lt;&gt;")=1,"OK","M")))</f>
        <v>OK</v>
      </c>
      <c r="H27" s="355" t="str">
        <f ca="1">IF($A27&gt;TODAY(),"O",IF(COUNTIFS(DailyTrackingTable[Date],$A27)=0,"-",IF(COUNTIFS(DailyTrackingTable[Date],$A27,DailyTrackingTable[Transport Actual],"&lt;&gt;")=1,"OK","M")))</f>
        <v>M</v>
      </c>
      <c r="I27" s="355" t="str">
        <f ca="1">IF($A27&gt;TODAY(),"O",IF(COUNTIFS(DailyTrackingTable[Date],$A27)=0,"-",IF(COUNTIFS(DailyTrackingTable[Date],$A27,DailyTrackingTable[Damage Recovery Actual],"&lt;&gt;")=1,"OK","M")))</f>
        <v>M</v>
      </c>
      <c r="J27" s="356">
        <f ca="1">IF($A27&gt;TODAY(),"",IF(COUNTIFS(DailyTrackingTable[Date],$A27)=0,"",(COUNTIF(B27:I27,"OK"))/8))</f>
        <v>0.75</v>
      </c>
    </row>
    <row r="28" spans="1:12">
      <c r="A28" s="349">
        <f ca="1">TODAY()-1</f>
        <v>46228</v>
      </c>
      <c r="B28" s="355" t="str">
        <f ca="1">IF($A28&gt;TODAY(),"O",IF(COUNTIFS(DailyTrackingTable[Date],$A28)=0,"-",IF(COUNTIFS(DailyTrackingTable[Date],$A28,DailyTrackingTable[Plant Equipment Hire Actual],"&lt;&gt;")=1,"OK","M")))</f>
        <v>OK</v>
      </c>
      <c r="C28" s="355" t="str">
        <f ca="1">IF($A28&gt;TODAY(),"O",IF(COUNTIFS(DailyTrackingTable[Date],$A28)=0,"-",IF(COUNTIFS(DailyTrackingTable[Date],$A28,DailyTrackingTable[Tooling Hire Actual],"&lt;&gt;")=1,"OK","M")))</f>
        <v>OK</v>
      </c>
      <c r="D28" s="355" t="str">
        <f ca="1">IF($A28&gt;TODAY(),"O",IF(COUNTIFS(DailyTrackingTable[Date],$A28)=0,"-",IF(COUNTIFS(DailyTrackingTable[Date],$A28,DailyTrackingTable[Radio Hire Actual],"&lt;&gt;")=1,"OK","M")))</f>
        <v>OK</v>
      </c>
      <c r="E28" s="355" t="str">
        <f ca="1">IF($A28&gt;TODAY(),"O",IF(COUNTIFS(DailyTrackingTable[Date],$A28)=0,"-",IF(COUNTIFS(DailyTrackingTable[Date],$A28,DailyTrackingTable[Gas Monitor Hire Actual],"&lt;&gt;")=1,"OK","M")))</f>
        <v>OK</v>
      </c>
      <c r="F28" s="355" t="str">
        <f ca="1">IF($A28&gt;TODAY(),"O",IF(COUNTIFS(DailyTrackingTable[Date],$A28)=0,"-",IF(COUNTIFS(DailyTrackingTable[Date],$A28,DailyTrackingTable[Personnel / Labour Actual],"&lt;&gt;")=1,"OK","M")))</f>
        <v>OK</v>
      </c>
      <c r="G28" s="355" t="str">
        <f ca="1">IF($A28&gt;TODAY(),"O",IF(COUNTIFS(DailyTrackingTable[Date],$A28)=0,"-",IF(COUNTIFS(DailyTrackingTable[Date],$A28,DailyTrackingTable[Accommodation Actual],"&lt;&gt;")=1,"OK","M")))</f>
        <v>OK</v>
      </c>
      <c r="H28" s="355" t="str">
        <f ca="1">IF($A28&gt;TODAY(),"O",IF(COUNTIFS(DailyTrackingTable[Date],$A28)=0,"-",IF(COUNTIFS(DailyTrackingTable[Date],$A28,DailyTrackingTable[Transport Actual],"&lt;&gt;")=1,"OK","M")))</f>
        <v>M</v>
      </c>
      <c r="I28" s="355" t="str">
        <f ca="1">IF($A28&gt;TODAY(),"O",IF(COUNTIFS(DailyTrackingTable[Date],$A28)=0,"-",IF(COUNTIFS(DailyTrackingTable[Date],$A28,DailyTrackingTable[Damage Recovery Actual],"&lt;&gt;")=1,"OK","M")))</f>
        <v>M</v>
      </c>
      <c r="J28" s="356">
        <f ca="1">IF($A28&gt;TODAY(),"",IF(COUNTIFS(DailyTrackingTable[Date],$A28)=0,"",(COUNTIF(B28:I28,"OK"))/8))</f>
        <v>0.75</v>
      </c>
    </row>
    <row r="29" spans="1:12">
      <c r="A29" s="349">
        <f ca="1">TODAY()-0</f>
        <v>46229</v>
      </c>
      <c r="B29" s="355" t="str">
        <f ca="1">IF($A29&gt;TODAY(),"O",IF(COUNTIFS(DailyTrackingTable[Date],$A29)=0,"-",IF(COUNTIFS(DailyTrackingTable[Date],$A29,DailyTrackingTable[Plant Equipment Hire Actual],"&lt;&gt;")=1,"OK","M")))</f>
        <v>OK</v>
      </c>
      <c r="C29" s="355" t="str">
        <f ca="1">IF($A29&gt;TODAY(),"O",IF(COUNTIFS(DailyTrackingTable[Date],$A29)=0,"-",IF(COUNTIFS(DailyTrackingTable[Date],$A29,DailyTrackingTable[Tooling Hire Actual],"&lt;&gt;")=1,"OK","M")))</f>
        <v>OK</v>
      </c>
      <c r="D29" s="355" t="str">
        <f ca="1">IF($A29&gt;TODAY(),"O",IF(COUNTIFS(DailyTrackingTable[Date],$A29)=0,"-",IF(COUNTIFS(DailyTrackingTable[Date],$A29,DailyTrackingTable[Radio Hire Actual],"&lt;&gt;")=1,"OK","M")))</f>
        <v>OK</v>
      </c>
      <c r="E29" s="355" t="str">
        <f ca="1">IF($A29&gt;TODAY(),"O",IF(COUNTIFS(DailyTrackingTable[Date],$A29)=0,"-",IF(COUNTIFS(DailyTrackingTable[Date],$A29,DailyTrackingTable[Gas Monitor Hire Actual],"&lt;&gt;")=1,"OK","M")))</f>
        <v>OK</v>
      </c>
      <c r="F29" s="355" t="str">
        <f ca="1">IF($A29&gt;TODAY(),"O",IF(COUNTIFS(DailyTrackingTable[Date],$A29)=0,"-",IF(COUNTIFS(DailyTrackingTable[Date],$A29,DailyTrackingTable[Personnel / Labour Actual],"&lt;&gt;")=1,"OK","M")))</f>
        <v>OK</v>
      </c>
      <c r="G29" s="355" t="str">
        <f ca="1">IF($A29&gt;TODAY(),"O",IF(COUNTIFS(DailyTrackingTable[Date],$A29)=0,"-",IF(COUNTIFS(DailyTrackingTable[Date],$A29,DailyTrackingTable[Accommodation Actual],"&lt;&gt;")=1,"OK","M")))</f>
        <v>OK</v>
      </c>
      <c r="H29" s="355" t="str">
        <f ca="1">IF($A29&gt;TODAY(),"O",IF(COUNTIFS(DailyTrackingTable[Date],$A29)=0,"-",IF(COUNTIFS(DailyTrackingTable[Date],$A29,DailyTrackingTable[Transport Actual],"&lt;&gt;")=1,"OK","M")))</f>
        <v>M</v>
      </c>
      <c r="I29" s="355" t="str">
        <f ca="1">IF($A29&gt;TODAY(),"O",IF(COUNTIFS(DailyTrackingTable[Date],$A29)=0,"-",IF(COUNTIFS(DailyTrackingTable[Date],$A29,DailyTrackingTable[Damage Recovery Actual],"&lt;&gt;")=1,"OK","M")))</f>
        <v>M</v>
      </c>
      <c r="J29" s="356">
        <f ca="1">IF($A29&gt;TODAY(),"",IF(COUNTIFS(DailyTrackingTable[Date],$A29)=0,"",(COUNTIF(B29:I29,"OK"))/8))</f>
        <v>0.75</v>
      </c>
    </row>
    <row r="30" spans="1:12">
      <c r="A30" s="349">
        <f ca="1">TODAY()--1</f>
        <v>46230</v>
      </c>
      <c r="B30" s="355" t="str">
        <f ca="1">IF($A30&gt;TODAY(),"O",IF(COUNTIFS(DailyTrackingTable[Date],$A30)=0,"-",IF(COUNTIFS(DailyTrackingTable[Date],$A30,DailyTrackingTable[Plant Equipment Hire Actual],"&lt;&gt;")=1,"OK","M")))</f>
        <v>O</v>
      </c>
      <c r="C30" s="355" t="str">
        <f ca="1">IF($A30&gt;TODAY(),"O",IF(COUNTIFS(DailyTrackingTable[Date],$A30)=0,"-",IF(COUNTIFS(DailyTrackingTable[Date],$A30,DailyTrackingTable[Tooling Hire Actual],"&lt;&gt;")=1,"OK","M")))</f>
        <v>O</v>
      </c>
      <c r="D30" s="355" t="str">
        <f ca="1">IF($A30&gt;TODAY(),"O",IF(COUNTIFS(DailyTrackingTable[Date],$A30)=0,"-",IF(COUNTIFS(DailyTrackingTable[Date],$A30,DailyTrackingTable[Radio Hire Actual],"&lt;&gt;")=1,"OK","M")))</f>
        <v>O</v>
      </c>
      <c r="E30" s="355" t="str">
        <f ca="1">IF($A30&gt;TODAY(),"O",IF(COUNTIFS(DailyTrackingTable[Date],$A30)=0,"-",IF(COUNTIFS(DailyTrackingTable[Date],$A30,DailyTrackingTable[Gas Monitor Hire Actual],"&lt;&gt;")=1,"OK","M")))</f>
        <v>O</v>
      </c>
      <c r="F30" s="355" t="str">
        <f ca="1">IF($A30&gt;TODAY(),"O",IF(COUNTIFS(DailyTrackingTable[Date],$A30)=0,"-",IF(COUNTIFS(DailyTrackingTable[Date],$A30,DailyTrackingTable[Personnel / Labour Actual],"&lt;&gt;")=1,"OK","M")))</f>
        <v>O</v>
      </c>
      <c r="G30" s="355" t="str">
        <f ca="1">IF($A30&gt;TODAY(),"O",IF(COUNTIFS(DailyTrackingTable[Date],$A30)=0,"-",IF(COUNTIFS(DailyTrackingTable[Date],$A30,DailyTrackingTable[Accommodation Actual],"&lt;&gt;")=1,"OK","M")))</f>
        <v>O</v>
      </c>
      <c r="H30" s="355" t="str">
        <f ca="1">IF($A30&gt;TODAY(),"O",IF(COUNTIFS(DailyTrackingTable[Date],$A30)=0,"-",IF(COUNTIFS(DailyTrackingTable[Date],$A30,DailyTrackingTable[Transport Actual],"&lt;&gt;")=1,"OK","M")))</f>
        <v>O</v>
      </c>
      <c r="I30" s="355" t="str">
        <f ca="1">IF($A30&gt;TODAY(),"O",IF(COUNTIFS(DailyTrackingTable[Date],$A30)=0,"-",IF(COUNTIFS(DailyTrackingTable[Date],$A30,DailyTrackingTable[Damage Recovery Actual],"&lt;&gt;")=1,"OK","M")))</f>
        <v>O</v>
      </c>
      <c r="J30" s="356" t="str">
        <f ca="1">IF($A30&gt;TODAY(),"",IF(COUNTIFS(DailyTrackingTable[Date],$A30)=0,"",(COUNTIF(B30:I30,"OK"))/8))</f>
        <v/>
      </c>
    </row>
    <row r="32" spans="1:12">
      <c r="A32" s="556" t="s">
        <v>2386</v>
      </c>
      <c r="B32" s="551"/>
      <c r="C32" s="551"/>
      <c r="D32" s="551"/>
      <c r="E32" s="551"/>
      <c r="F32" s="551"/>
      <c r="G32" s="556" t="s">
        <v>2387</v>
      </c>
      <c r="H32" s="551"/>
      <c r="I32" s="551"/>
      <c r="J32" s="551"/>
      <c r="K32" s="551"/>
      <c r="L32" s="551"/>
    </row>
    <row r="33" spans="1:12">
      <c r="A33" s="351" t="s">
        <v>2388</v>
      </c>
      <c r="B33" s="351" t="s">
        <v>2389</v>
      </c>
      <c r="C33" s="351" t="s">
        <v>2390</v>
      </c>
      <c r="D33" s="357" t="s">
        <v>2391</v>
      </c>
      <c r="E33" s="357" t="s">
        <v>2375</v>
      </c>
      <c r="F33" s="357" t="s">
        <v>2392</v>
      </c>
      <c r="G33" s="563" t="s">
        <v>2393</v>
      </c>
      <c r="H33" s="564"/>
      <c r="I33" s="564"/>
      <c r="J33" s="564"/>
      <c r="K33" s="354" t="s">
        <v>2394</v>
      </c>
      <c r="L33" s="354" t="s">
        <v>2395</v>
      </c>
    </row>
    <row r="34" spans="1:12">
      <c r="A34" s="352" t="str">
        <f>'Control Data'!Q28</f>
        <v>PLANT_CORE</v>
      </c>
      <c r="B34" s="353">
        <f>'Control Data'!S28</f>
        <v>168</v>
      </c>
      <c r="C34" s="358">
        <f>'Control Data'!T28</f>
        <v>159</v>
      </c>
      <c r="D34" s="355">
        <f>'Control Data'!U28</f>
        <v>-9</v>
      </c>
      <c r="E34" s="355" t="str">
        <f>'Control Data'!W28</f>
        <v>CHECK</v>
      </c>
      <c r="F34" s="355" t="str">
        <f>'Control Data'!AA28</f>
        <v>Priced</v>
      </c>
      <c r="G34" s="559" t="s">
        <v>2396</v>
      </c>
      <c r="H34" s="560"/>
      <c r="I34" s="560"/>
      <c r="J34" s="561"/>
      <c r="K34" s="361">
        <v>-24422.5</v>
      </c>
      <c r="L34" s="361">
        <v>24422.5</v>
      </c>
    </row>
    <row r="35" spans="1:12">
      <c r="A35" s="352" t="str">
        <f>'Control Data'!Q29</f>
        <v>BARRIER_ARMORZONE</v>
      </c>
      <c r="B35" s="353">
        <f>'Control Data'!S29</f>
        <v>50</v>
      </c>
      <c r="C35" s="358">
        <f>'Control Data'!T29</f>
        <v>50</v>
      </c>
      <c r="D35" s="355">
        <f>'Control Data'!U29</f>
        <v>0</v>
      </c>
      <c r="E35" s="355" t="str">
        <f>'Control Data'!W29</f>
        <v>PASS</v>
      </c>
      <c r="F35" s="355" t="str">
        <f>'Control Data'!AA29</f>
        <v>VERIFY</v>
      </c>
      <c r="G35" s="559" t="s">
        <v>2397</v>
      </c>
      <c r="H35" s="560"/>
      <c r="I35" s="560"/>
      <c r="J35" s="561"/>
      <c r="K35" s="361">
        <v>-62897.85</v>
      </c>
      <c r="L35" s="361">
        <v>62897.85</v>
      </c>
    </row>
    <row r="36" spans="1:12">
      <c r="A36" s="352" t="str">
        <f>'Control Data'!Q30</f>
        <v>BARRIER_CROWD_CONTROL</v>
      </c>
      <c r="B36" s="353">
        <f>'Control Data'!S30</f>
        <v>40</v>
      </c>
      <c r="C36" s="358">
        <f>'Control Data'!T30</f>
        <v>40</v>
      </c>
      <c r="D36" s="355">
        <f>'Control Data'!U30</f>
        <v>0</v>
      </c>
      <c r="E36" s="355" t="str">
        <f>'Control Data'!W30</f>
        <v>PASS</v>
      </c>
      <c r="F36" s="355" t="str">
        <f>'Control Data'!AA30</f>
        <v>VERIFY</v>
      </c>
      <c r="G36" s="559" t="s">
        <v>2398</v>
      </c>
      <c r="H36" s="560"/>
      <c r="I36" s="560"/>
      <c r="J36" s="561"/>
      <c r="K36" s="361">
        <v>-8969.7999999999993</v>
      </c>
      <c r="L36" s="361">
        <v>8969.7999999999993</v>
      </c>
    </row>
    <row r="37" spans="1:12">
      <c r="A37" s="352" t="str">
        <f>'Control Data'!Q31</f>
        <v>CHUTE_SECTION_1M</v>
      </c>
      <c r="B37" s="353">
        <f>'Control Data'!S31</f>
        <v>70</v>
      </c>
      <c r="C37" s="358">
        <f>'Control Data'!T31</f>
        <v>70</v>
      </c>
      <c r="D37" s="355">
        <f>'Control Data'!U31</f>
        <v>0</v>
      </c>
      <c r="E37" s="355" t="str">
        <f>'Control Data'!W31</f>
        <v>PASS</v>
      </c>
      <c r="F37" s="355" t="str">
        <f>'Control Data'!AA31</f>
        <v>VERIFY</v>
      </c>
      <c r="G37" s="559" t="s">
        <v>2399</v>
      </c>
      <c r="H37" s="560"/>
      <c r="I37" s="560"/>
      <c r="J37" s="561"/>
      <c r="K37" s="361">
        <v>-14759.25</v>
      </c>
      <c r="L37" s="361">
        <v>14759.25</v>
      </c>
    </row>
    <row r="38" spans="1:12">
      <c r="A38" s="352" t="str">
        <f>'Control Data'!Q32</f>
        <v>CHUTE_FRAME</v>
      </c>
      <c r="B38" s="353">
        <f>'Control Data'!S32</f>
        <v>8</v>
      </c>
      <c r="C38" s="358">
        <f>'Control Data'!T32</f>
        <v>8</v>
      </c>
      <c r="D38" s="355">
        <f>'Control Data'!U32</f>
        <v>0</v>
      </c>
      <c r="E38" s="355" t="str">
        <f>'Control Data'!W32</f>
        <v>PASS</v>
      </c>
      <c r="F38" s="355" t="str">
        <f>'Control Data'!AA32</f>
        <v>VERIFY</v>
      </c>
      <c r="G38" s="559" t="s">
        <v>2400</v>
      </c>
      <c r="H38" s="560"/>
      <c r="I38" s="560"/>
      <c r="J38" s="561"/>
      <c r="K38" s="361">
        <v>-29392.76</v>
      </c>
      <c r="L38" s="361">
        <v>29392.76</v>
      </c>
    </row>
    <row r="39" spans="1:12">
      <c r="A39" s="352" t="str">
        <f>'Control Data'!Q33</f>
        <v>CHUTE_TOP_HOPPER</v>
      </c>
      <c r="B39" s="353">
        <f>'Control Data'!S33</f>
        <v>8</v>
      </c>
      <c r="C39" s="358">
        <f>'Control Data'!T33</f>
        <v>8</v>
      </c>
      <c r="D39" s="355">
        <f>'Control Data'!U33</f>
        <v>0</v>
      </c>
      <c r="E39" s="355" t="str">
        <f>'Control Data'!W33</f>
        <v>PASS</v>
      </c>
      <c r="F39" s="355" t="str">
        <f>'Control Data'!AA33</f>
        <v>VERIFY</v>
      </c>
      <c r="G39" s="559" t="s">
        <v>2401</v>
      </c>
      <c r="H39" s="560"/>
      <c r="I39" s="560"/>
      <c r="J39" s="561"/>
      <c r="K39" s="361">
        <v>0</v>
      </c>
      <c r="L39" s="361">
        <v>5173.62</v>
      </c>
    </row>
    <row r="40" spans="1:12">
      <c r="A40" s="352" t="str">
        <f>'Control Data'!Q34</f>
        <v>RADIO_HANDSET</v>
      </c>
      <c r="B40" s="353">
        <f>'Control Data'!S34</f>
        <v>72</v>
      </c>
      <c r="C40" s="358">
        <f>'Control Data'!T34</f>
        <v>72</v>
      </c>
      <c r="D40" s="355">
        <f>'Control Data'!U34</f>
        <v>0</v>
      </c>
      <c r="E40" s="355" t="str">
        <f>'Control Data'!W34</f>
        <v>PASS</v>
      </c>
      <c r="F40" s="355" t="str">
        <f>'Control Data'!AA34</f>
        <v>PRICED</v>
      </c>
      <c r="G40" s="559" t="s">
        <v>2402</v>
      </c>
      <c r="H40" s="560"/>
      <c r="I40" s="560"/>
      <c r="J40" s="561"/>
      <c r="K40" s="361">
        <v>0</v>
      </c>
      <c r="L40" s="361">
        <v>3629.64</v>
      </c>
    </row>
    <row r="41" spans="1:12">
      <c r="A41" s="352" t="str">
        <f>'Control Data'!Q35</f>
        <v>RADIO_BATTERY</v>
      </c>
      <c r="B41" s="353">
        <f>'Control Data'!S35</f>
        <v>0</v>
      </c>
      <c r="C41" s="358">
        <f>'Control Data'!T35</f>
        <v>104</v>
      </c>
      <c r="D41" s="355">
        <f>'Control Data'!U35</f>
        <v>104</v>
      </c>
      <c r="E41" s="355" t="s">
        <v>3093</v>
      </c>
      <c r="F41" s="355" t="s">
        <v>3092</v>
      </c>
      <c r="G41" s="359"/>
      <c r="H41" s="359"/>
      <c r="I41" s="359"/>
      <c r="J41" s="360"/>
      <c r="K41" s="362"/>
      <c r="L41" s="362"/>
    </row>
    <row r="42" spans="1:12">
      <c r="A42" s="352" t="str">
        <f>'Control Data'!Q36</f>
        <v>GAS_MONITOR</v>
      </c>
      <c r="B42" s="353">
        <f>'Control Data'!S36</f>
        <v>30</v>
      </c>
      <c r="C42" s="358">
        <f>'Control Data'!T36</f>
        <v>30</v>
      </c>
      <c r="D42" s="355">
        <f>'Control Data'!U36</f>
        <v>0</v>
      </c>
      <c r="E42" s="355" t="str">
        <f>'Control Data'!W36</f>
        <v>PASS</v>
      </c>
      <c r="F42" s="355" t="str">
        <f>'Control Data'!AA36</f>
        <v>PRICED</v>
      </c>
      <c r="G42" s="359"/>
      <c r="H42" s="359"/>
      <c r="I42" s="359"/>
      <c r="J42" s="360"/>
      <c r="K42" s="362"/>
      <c r="L42" s="362"/>
    </row>
    <row r="43" spans="1:12">
      <c r="A43" s="562" t="str">
        <f ca="1">"CONTROLLED FROM V11  •  "&amp;TEXT(NOW(),"dd mmm yyyy hh:mm")&amp;"  |  OVERRIDES • "&amp;K2_ApprovedOverrideCount&amp;"  |  OUTPUT BLOCKED UNTIL CRITICAL GATES CLOSE"</f>
        <v>CONTROLLED FROM V11  •  26 Jul 2026 20:51  |  OVERRIDES • 0  |  OUTPUT BLOCKED UNTIL CRITICAL GATES CLOSE</v>
      </c>
      <c r="B43" s="551"/>
      <c r="C43" s="551"/>
      <c r="D43" s="551"/>
      <c r="E43" s="551"/>
      <c r="F43" s="551"/>
      <c r="G43" s="551"/>
      <c r="H43" s="551"/>
      <c r="I43" s="551"/>
      <c r="J43" s="551"/>
      <c r="K43" s="551"/>
      <c r="L43" s="551"/>
    </row>
    <row r="46" spans="1:12" ht="15.6">
      <c r="A46" s="371" t="s">
        <v>3642</v>
      </c>
    </row>
    <row r="47" spans="1:12">
      <c r="A47" s="567" t="s">
        <v>3704</v>
      </c>
      <c r="B47" s="568"/>
      <c r="C47" s="568"/>
      <c r="D47" s="568"/>
      <c r="E47" s="568"/>
      <c r="F47" s="568"/>
      <c r="G47" s="568"/>
      <c r="H47" s="568"/>
      <c r="I47" s="568"/>
      <c r="J47" s="568"/>
      <c r="K47" s="568"/>
      <c r="L47" s="568"/>
    </row>
    <row r="48" spans="1:12">
      <c r="A48" s="568"/>
      <c r="B48" s="568"/>
      <c r="C48" s="568"/>
      <c r="D48" s="568"/>
      <c r="E48" s="568"/>
      <c r="F48" s="568"/>
      <c r="G48" s="568"/>
      <c r="H48" s="568"/>
      <c r="I48" s="568"/>
      <c r="J48" s="568"/>
      <c r="K48" s="568"/>
      <c r="L48" s="568"/>
    </row>
    <row r="49" spans="1:8">
      <c r="A49" s="363" t="s">
        <v>3643</v>
      </c>
    </row>
    <row r="50" spans="1:8">
      <c r="A50" s="364" t="s">
        <v>572</v>
      </c>
      <c r="B50" s="365" t="s">
        <v>3644</v>
      </c>
      <c r="C50" s="365" t="s">
        <v>3645</v>
      </c>
      <c r="D50" s="365" t="s">
        <v>3646</v>
      </c>
      <c r="E50" s="365" t="s">
        <v>3647</v>
      </c>
      <c r="F50" s="565" t="s">
        <v>3648</v>
      </c>
      <c r="G50" s="565"/>
      <c r="H50" s="565"/>
    </row>
    <row r="51" spans="1:8">
      <c r="A51" s="366">
        <v>46219</v>
      </c>
      <c r="B51" s="362">
        <v>297.69</v>
      </c>
      <c r="C51" s="362">
        <v>297.69</v>
      </c>
      <c r="D51" s="362">
        <v>0</v>
      </c>
      <c r="E51" s="362">
        <v>0</v>
      </c>
      <c r="F51" s="569" t="s">
        <v>3651</v>
      </c>
      <c r="G51" s="570"/>
      <c r="H51" s="571"/>
    </row>
    <row r="52" spans="1:8">
      <c r="A52" s="366">
        <v>46220</v>
      </c>
      <c r="B52" s="362">
        <v>394.15</v>
      </c>
      <c r="C52" s="362">
        <v>394.15</v>
      </c>
      <c r="D52" s="362">
        <v>0</v>
      </c>
      <c r="E52" s="362">
        <v>0</v>
      </c>
      <c r="F52" s="569" t="s">
        <v>3651</v>
      </c>
      <c r="G52" s="570"/>
      <c r="H52" s="571"/>
    </row>
    <row r="53" spans="1:8">
      <c r="A53" s="366">
        <v>46221</v>
      </c>
      <c r="B53" s="362">
        <v>394.15</v>
      </c>
      <c r="C53" s="362">
        <v>394.15</v>
      </c>
      <c r="D53" s="362">
        <v>0</v>
      </c>
      <c r="E53" s="362">
        <v>0</v>
      </c>
      <c r="F53" s="566" t="s">
        <v>3651</v>
      </c>
      <c r="G53" s="566"/>
      <c r="H53" s="566"/>
    </row>
    <row r="54" spans="1:8">
      <c r="A54" s="366">
        <v>46222</v>
      </c>
      <c r="B54" s="362">
        <v>394.15</v>
      </c>
      <c r="C54" s="362">
        <v>394.15</v>
      </c>
      <c r="D54" s="362">
        <v>0</v>
      </c>
      <c r="E54" s="362">
        <v>0</v>
      </c>
      <c r="F54" s="566" t="s">
        <v>3651</v>
      </c>
      <c r="G54" s="566"/>
      <c r="H54" s="566"/>
    </row>
    <row r="55" spans="1:8">
      <c r="A55" s="367">
        <v>46223</v>
      </c>
      <c r="B55" s="350">
        <v>8436.2800000000007</v>
      </c>
      <c r="C55" s="350">
        <v>8436.2800000000007</v>
      </c>
      <c r="D55" s="350">
        <v>0</v>
      </c>
      <c r="E55" s="350">
        <v>0</v>
      </c>
      <c r="F55" s="350" t="s">
        <v>3651</v>
      </c>
    </row>
    <row r="56" spans="1:8">
      <c r="A56" s="368">
        <v>46224</v>
      </c>
      <c r="B56" s="350">
        <v>9917.85</v>
      </c>
      <c r="C56" s="350">
        <v>8644</v>
      </c>
      <c r="D56" s="350">
        <v>1273.8499999999999</v>
      </c>
      <c r="E56" s="350">
        <v>14.7</v>
      </c>
      <c r="F56" s="350" t="s">
        <v>3703</v>
      </c>
    </row>
    <row r="57" spans="1:8">
      <c r="A57" s="378">
        <v>46225</v>
      </c>
      <c r="B57" s="365">
        <v>8087.79</v>
      </c>
      <c r="C57" s="365">
        <v>8857.85</v>
      </c>
      <c r="D57" s="365">
        <v>-770.06</v>
      </c>
      <c r="E57" s="365">
        <v>-8.6999999999999993</v>
      </c>
      <c r="F57" s="565" t="s">
        <v>3703</v>
      </c>
      <c r="G57" s="565"/>
      <c r="H57" s="565"/>
    </row>
    <row r="58" spans="1:8">
      <c r="A58" s="378" t="s">
        <v>2381</v>
      </c>
      <c r="B58" s="377" t="s">
        <v>3644</v>
      </c>
      <c r="C58" s="377" t="s">
        <v>3645</v>
      </c>
      <c r="D58" s="377" t="s">
        <v>3646</v>
      </c>
      <c r="E58" s="377" t="s">
        <v>3647</v>
      </c>
      <c r="F58" s="565" t="s">
        <v>3648</v>
      </c>
      <c r="G58" s="566"/>
      <c r="H58" s="566"/>
    </row>
    <row r="59" spans="1:8">
      <c r="A59" s="378" t="s">
        <v>2381</v>
      </c>
      <c r="B59" s="377" t="s">
        <v>3644</v>
      </c>
      <c r="C59" s="377" t="s">
        <v>3645</v>
      </c>
      <c r="D59" s="377" t="s">
        <v>3646</v>
      </c>
      <c r="E59" s="377" t="s">
        <v>3647</v>
      </c>
      <c r="F59" s="565" t="s">
        <v>3648</v>
      </c>
      <c r="G59" s="566"/>
      <c r="H59" s="566"/>
    </row>
    <row r="60" spans="1:8">
      <c r="A60" s="364" t="s">
        <v>572</v>
      </c>
      <c r="B60" s="377" t="s">
        <v>3644</v>
      </c>
      <c r="C60" s="377" t="s">
        <v>3645</v>
      </c>
      <c r="D60" s="377" t="s">
        <v>3646</v>
      </c>
      <c r="E60" s="377" t="s">
        <v>3647</v>
      </c>
      <c r="F60" s="565" t="s">
        <v>3648</v>
      </c>
      <c r="G60" s="566"/>
      <c r="H60" s="566"/>
    </row>
    <row r="61" spans="1:8">
      <c r="A61" s="366">
        <v>46219</v>
      </c>
      <c r="B61" s="362">
        <v>2350</v>
      </c>
      <c r="C61" s="362">
        <v>0</v>
      </c>
      <c r="D61" s="362">
        <v>2350</v>
      </c>
      <c r="E61" s="362" t="s">
        <v>3649</v>
      </c>
      <c r="F61" s="566" t="s">
        <v>3650</v>
      </c>
      <c r="G61" s="566"/>
      <c r="H61" s="566"/>
    </row>
    <row r="62" spans="1:8">
      <c r="A62" s="366">
        <v>46220</v>
      </c>
      <c r="B62" s="362">
        <v>2350</v>
      </c>
      <c r="C62" s="362">
        <v>0</v>
      </c>
      <c r="D62" s="362">
        <v>2350</v>
      </c>
      <c r="E62" s="362" t="s">
        <v>3649</v>
      </c>
      <c r="F62" s="566" t="s">
        <v>3650</v>
      </c>
      <c r="G62" s="566"/>
      <c r="H62" s="566"/>
    </row>
    <row r="63" spans="1:8">
      <c r="A63" s="369">
        <v>46221</v>
      </c>
      <c r="B63" s="350">
        <v>0</v>
      </c>
      <c r="C63" s="350">
        <v>0</v>
      </c>
      <c r="D63" s="350">
        <v>0</v>
      </c>
      <c r="E63" s="350" t="s">
        <v>3649</v>
      </c>
      <c r="F63" s="350" t="s">
        <v>3651</v>
      </c>
    </row>
    <row r="64" spans="1:8">
      <c r="A64" s="369">
        <v>46222</v>
      </c>
      <c r="B64" s="350">
        <v>600</v>
      </c>
      <c r="C64" s="350">
        <v>0</v>
      </c>
      <c r="D64" s="350">
        <v>600</v>
      </c>
      <c r="E64" s="350" t="s">
        <v>3649</v>
      </c>
      <c r="F64" s="350" t="s">
        <v>3650</v>
      </c>
    </row>
    <row r="65" spans="1:6">
      <c r="A65" s="369">
        <v>46223</v>
      </c>
      <c r="B65" s="350">
        <v>2350</v>
      </c>
      <c r="C65" s="350">
        <v>0</v>
      </c>
      <c r="D65" s="350">
        <v>2350</v>
      </c>
      <c r="E65" s="350" t="s">
        <v>3649</v>
      </c>
      <c r="F65" s="350" t="s">
        <v>3650</v>
      </c>
    </row>
    <row r="66" spans="1:6">
      <c r="A66" s="369">
        <v>46224</v>
      </c>
      <c r="B66" s="350">
        <v>2350</v>
      </c>
      <c r="C66" s="350">
        <v>0</v>
      </c>
      <c r="D66" s="350">
        <v>2350</v>
      </c>
      <c r="E66" s="350" t="s">
        <v>3649</v>
      </c>
      <c r="F66" s="350" t="s">
        <v>3650</v>
      </c>
    </row>
    <row r="67" spans="1:6">
      <c r="A67" s="369">
        <v>46225</v>
      </c>
      <c r="B67" s="350">
        <v>2950</v>
      </c>
      <c r="C67" s="350">
        <v>0</v>
      </c>
      <c r="D67" s="350">
        <v>2950</v>
      </c>
      <c r="E67" s="350" t="s">
        <v>3649</v>
      </c>
      <c r="F67" s="350" t="s">
        <v>3650</v>
      </c>
    </row>
    <row r="68" spans="1:6">
      <c r="A68" s="369"/>
    </row>
    <row r="69" spans="1:6">
      <c r="A69" s="369"/>
    </row>
    <row r="70" spans="1:6">
      <c r="A70" s="369"/>
    </row>
    <row r="71" spans="1:6">
      <c r="A71" s="369"/>
    </row>
    <row r="72" spans="1:6">
      <c r="A72" s="369"/>
    </row>
    <row r="73" spans="1:6">
      <c r="A73" s="369"/>
    </row>
    <row r="74" spans="1:6">
      <c r="A74" s="369"/>
    </row>
    <row r="75" spans="1:6">
      <c r="A75" s="369"/>
    </row>
    <row r="76" spans="1:6">
      <c r="A76" s="369"/>
    </row>
    <row r="77" spans="1:6">
      <c r="A77" s="369"/>
    </row>
    <row r="78" spans="1:6">
      <c r="A78" s="369"/>
    </row>
    <row r="79" spans="1:6">
      <c r="A79" s="369"/>
    </row>
    <row r="80" spans="1:6">
      <c r="A80" s="369"/>
    </row>
    <row r="81" spans="1:1">
      <c r="A81" s="369"/>
    </row>
    <row r="82" spans="1:1">
      <c r="A82" s="369"/>
    </row>
    <row r="83" spans="1:1">
      <c r="A83" s="369"/>
    </row>
    <row r="84" spans="1:1">
      <c r="A84" s="369"/>
    </row>
    <row r="85" spans="1:1">
      <c r="A85" s="369"/>
    </row>
    <row r="86" spans="1:1">
      <c r="A86" s="369"/>
    </row>
    <row r="87" spans="1:1">
      <c r="A87" s="369"/>
    </row>
    <row r="88" spans="1:1">
      <c r="A88" s="369"/>
    </row>
    <row r="89" spans="1:1">
      <c r="A89" s="369"/>
    </row>
    <row r="90" spans="1:1">
      <c r="A90" s="369"/>
    </row>
    <row r="91" spans="1:1">
      <c r="A91" s="369"/>
    </row>
    <row r="92" spans="1:1">
      <c r="A92" s="369"/>
    </row>
    <row r="93" spans="1:1">
      <c r="A93" s="369"/>
    </row>
    <row r="94" spans="1:1">
      <c r="A94" s="369"/>
    </row>
    <row r="95" spans="1:1">
      <c r="A95" s="369"/>
    </row>
    <row r="96" spans="1:1">
      <c r="A96" s="369"/>
    </row>
    <row r="97" spans="1:1">
      <c r="A97" s="369"/>
    </row>
    <row r="98" spans="1:1">
      <c r="A98" s="369"/>
    </row>
    <row r="99" spans="1:1">
      <c r="A99" s="369"/>
    </row>
    <row r="100" spans="1:1">
      <c r="A100" s="369"/>
    </row>
    <row r="101" spans="1:1">
      <c r="A101" s="369"/>
    </row>
    <row r="102" spans="1:1">
      <c r="A102" s="369"/>
    </row>
    <row r="103" spans="1:1">
      <c r="A103" s="369"/>
    </row>
    <row r="104" spans="1:1">
      <c r="A104" s="369"/>
    </row>
    <row r="105" spans="1:1">
      <c r="A105" s="369"/>
    </row>
    <row r="106" spans="1:1">
      <c r="A106" s="369"/>
    </row>
    <row r="107" spans="1:1">
      <c r="A107" s="369"/>
    </row>
    <row r="108" spans="1:1">
      <c r="A108" s="369"/>
    </row>
    <row r="109" spans="1:1">
      <c r="A109" s="369"/>
    </row>
    <row r="110" spans="1:1">
      <c r="A110" s="369"/>
    </row>
    <row r="111" spans="1:1">
      <c r="A111" s="369"/>
    </row>
    <row r="112" spans="1:1">
      <c r="A112" s="369"/>
    </row>
    <row r="113" spans="1:1">
      <c r="A113" s="369"/>
    </row>
    <row r="114" spans="1:1">
      <c r="A114" s="369"/>
    </row>
    <row r="115" spans="1:1">
      <c r="A115" s="369"/>
    </row>
    <row r="116" spans="1:1">
      <c r="A116" s="369"/>
    </row>
    <row r="117" spans="1:1">
      <c r="A117" s="369"/>
    </row>
    <row r="118" spans="1:1">
      <c r="A118" s="369"/>
    </row>
    <row r="119" spans="1:1">
      <c r="A119" s="369"/>
    </row>
    <row r="120" spans="1:1">
      <c r="A120" s="369"/>
    </row>
    <row r="121" spans="1:1">
      <c r="A121" s="369"/>
    </row>
    <row r="122" spans="1:1">
      <c r="A122" s="369"/>
    </row>
    <row r="123" spans="1:1">
      <c r="A123" s="369"/>
    </row>
    <row r="124" spans="1:1">
      <c r="A124" s="369"/>
    </row>
    <row r="125" spans="1:1">
      <c r="A125" s="369"/>
    </row>
    <row r="126" spans="1:1">
      <c r="A126" s="369"/>
    </row>
    <row r="127" spans="1:1">
      <c r="A127" s="369"/>
    </row>
    <row r="128" spans="1:1">
      <c r="A128" s="369"/>
    </row>
    <row r="129" spans="1:1">
      <c r="A129" s="369"/>
    </row>
    <row r="130" spans="1:1">
      <c r="A130" s="369"/>
    </row>
    <row r="131" spans="1:1">
      <c r="A131" s="369"/>
    </row>
    <row r="132" spans="1:1">
      <c r="A132" s="369"/>
    </row>
    <row r="133" spans="1:1">
      <c r="A133" s="369"/>
    </row>
    <row r="134" spans="1:1">
      <c r="A134" s="369"/>
    </row>
    <row r="135" spans="1:1">
      <c r="A135" s="369"/>
    </row>
    <row r="136" spans="1:1">
      <c r="A136" s="369"/>
    </row>
    <row r="137" spans="1:1">
      <c r="A137" s="369"/>
    </row>
    <row r="138" spans="1:1">
      <c r="A138" s="369"/>
    </row>
    <row r="139" spans="1:1">
      <c r="A139" s="369"/>
    </row>
    <row r="140" spans="1:1">
      <c r="A140" s="369"/>
    </row>
    <row r="141" spans="1:1">
      <c r="A141" s="369"/>
    </row>
    <row r="142" spans="1:1">
      <c r="A142" s="369"/>
    </row>
    <row r="143" spans="1:1">
      <c r="A143" s="369"/>
    </row>
    <row r="144" spans="1:1">
      <c r="A144" s="369"/>
    </row>
    <row r="145" spans="1:1">
      <c r="A145" s="369"/>
    </row>
    <row r="146" spans="1:1">
      <c r="A146" s="369"/>
    </row>
    <row r="147" spans="1:1">
      <c r="A147" s="369"/>
    </row>
    <row r="148" spans="1:1">
      <c r="A148" s="369"/>
    </row>
    <row r="149" spans="1:1">
      <c r="A149" s="369"/>
    </row>
    <row r="150" spans="1:1">
      <c r="A150" s="369"/>
    </row>
    <row r="151" spans="1:1">
      <c r="A151" s="369"/>
    </row>
    <row r="152" spans="1:1">
      <c r="A152" s="369"/>
    </row>
    <row r="153" spans="1:1">
      <c r="A153" s="369"/>
    </row>
    <row r="154" spans="1:1">
      <c r="A154" s="369"/>
    </row>
    <row r="155" spans="1:1">
      <c r="A155" s="369"/>
    </row>
    <row r="156" spans="1:1">
      <c r="A156" s="369"/>
    </row>
    <row r="157" spans="1:1">
      <c r="A157" s="369"/>
    </row>
    <row r="158" spans="1:1">
      <c r="A158" s="369"/>
    </row>
    <row r="159" spans="1:1">
      <c r="A159" s="369"/>
    </row>
    <row r="160" spans="1:1">
      <c r="A160" s="369"/>
    </row>
    <row r="161" spans="1:1">
      <c r="A161" s="369"/>
    </row>
    <row r="162" spans="1:1">
      <c r="A162" s="369"/>
    </row>
    <row r="163" spans="1:1">
      <c r="A163" s="369"/>
    </row>
    <row r="164" spans="1:1">
      <c r="A164" s="369"/>
    </row>
    <row r="165" spans="1:1">
      <c r="A165" s="369"/>
    </row>
    <row r="166" spans="1:1">
      <c r="A166" s="369"/>
    </row>
    <row r="167" spans="1:1">
      <c r="A167" s="369"/>
    </row>
    <row r="168" spans="1:1">
      <c r="A168" s="369"/>
    </row>
    <row r="169" spans="1:1">
      <c r="A169" s="369"/>
    </row>
    <row r="170" spans="1:1">
      <c r="A170" s="369"/>
    </row>
    <row r="171" spans="1:1">
      <c r="A171" s="369"/>
    </row>
    <row r="172" spans="1:1">
      <c r="A172" s="369"/>
    </row>
    <row r="173" spans="1:1">
      <c r="A173" s="369"/>
    </row>
    <row r="174" spans="1:1">
      <c r="A174" s="369"/>
    </row>
    <row r="175" spans="1:1">
      <c r="A175" s="369"/>
    </row>
    <row r="176" spans="1:1">
      <c r="A176" s="369"/>
    </row>
    <row r="177" spans="1:1">
      <c r="A177" s="369"/>
    </row>
    <row r="178" spans="1:1">
      <c r="A178" s="369"/>
    </row>
    <row r="179" spans="1:1">
      <c r="A179" s="369"/>
    </row>
    <row r="180" spans="1:1">
      <c r="A180" s="369"/>
    </row>
    <row r="181" spans="1:1">
      <c r="A181" s="369"/>
    </row>
    <row r="182" spans="1:1">
      <c r="A182" s="369"/>
    </row>
    <row r="183" spans="1:1">
      <c r="A183" s="369"/>
    </row>
    <row r="184" spans="1:1">
      <c r="A184" s="369"/>
    </row>
    <row r="185" spans="1:1">
      <c r="A185" s="369"/>
    </row>
    <row r="186" spans="1:1">
      <c r="A186" s="369"/>
    </row>
    <row r="187" spans="1:1">
      <c r="A187" s="369"/>
    </row>
    <row r="188" spans="1:1">
      <c r="A188" s="369"/>
    </row>
    <row r="189" spans="1:1">
      <c r="A189" s="369"/>
    </row>
    <row r="190" spans="1:1">
      <c r="A190" s="369"/>
    </row>
    <row r="191" spans="1:1">
      <c r="A191" s="369"/>
    </row>
    <row r="192" spans="1:1">
      <c r="A192" s="369"/>
    </row>
    <row r="193" spans="1:1">
      <c r="A193" s="369"/>
    </row>
    <row r="194" spans="1:1">
      <c r="A194" s="369"/>
    </row>
    <row r="195" spans="1:1">
      <c r="A195" s="369"/>
    </row>
    <row r="196" spans="1:1">
      <c r="A196" s="369"/>
    </row>
    <row r="197" spans="1:1">
      <c r="A197" s="369"/>
    </row>
    <row r="198" spans="1:1">
      <c r="A198" s="369"/>
    </row>
    <row r="199" spans="1:1">
      <c r="A199" s="369"/>
    </row>
    <row r="200" spans="1:1">
      <c r="A200" s="369"/>
    </row>
    <row r="201" spans="1:1">
      <c r="A201" s="369"/>
    </row>
    <row r="202" spans="1:1">
      <c r="A202" s="369"/>
    </row>
    <row r="203" spans="1:1">
      <c r="A203" s="369"/>
    </row>
    <row r="204" spans="1:1">
      <c r="A204" s="369"/>
    </row>
    <row r="205" spans="1:1">
      <c r="A205" s="369"/>
    </row>
    <row r="206" spans="1:1">
      <c r="A206" s="369"/>
    </row>
    <row r="207" spans="1:1">
      <c r="A207" s="369"/>
    </row>
    <row r="208" spans="1:1">
      <c r="A208" s="369"/>
    </row>
    <row r="209" spans="1:1">
      <c r="A209" s="369"/>
    </row>
    <row r="210" spans="1:1">
      <c r="A210" s="369"/>
    </row>
    <row r="211" spans="1:1">
      <c r="A211" s="369"/>
    </row>
    <row r="212" spans="1:1">
      <c r="A212" s="369"/>
    </row>
    <row r="213" spans="1:1">
      <c r="A213" s="369"/>
    </row>
    <row r="214" spans="1:1">
      <c r="A214" s="369"/>
    </row>
    <row r="215" spans="1:1">
      <c r="A215" s="369"/>
    </row>
    <row r="216" spans="1:1">
      <c r="A216" s="369"/>
    </row>
    <row r="217" spans="1:1">
      <c r="A217" s="369"/>
    </row>
    <row r="218" spans="1:1">
      <c r="A218" s="369"/>
    </row>
    <row r="219" spans="1:1">
      <c r="A219" s="369"/>
    </row>
    <row r="220" spans="1:1">
      <c r="A220" s="369"/>
    </row>
    <row r="221" spans="1:1">
      <c r="A221" s="369"/>
    </row>
    <row r="222" spans="1:1">
      <c r="A222" s="369"/>
    </row>
    <row r="223" spans="1:1">
      <c r="A223" s="369"/>
    </row>
    <row r="224" spans="1:1">
      <c r="A224" s="369"/>
    </row>
    <row r="225" spans="1:1">
      <c r="A225" s="369"/>
    </row>
    <row r="226" spans="1:1">
      <c r="A226" s="369"/>
    </row>
    <row r="227" spans="1:1">
      <c r="A227" s="369"/>
    </row>
    <row r="228" spans="1:1">
      <c r="A228" s="369"/>
    </row>
    <row r="229" spans="1:1">
      <c r="A229" s="369"/>
    </row>
    <row r="230" spans="1:1">
      <c r="A230" s="369"/>
    </row>
    <row r="231" spans="1:1">
      <c r="A231" s="369"/>
    </row>
    <row r="232" spans="1:1">
      <c r="A232" s="369"/>
    </row>
    <row r="233" spans="1:1">
      <c r="A233" s="369"/>
    </row>
    <row r="234" spans="1:1">
      <c r="A234" s="369"/>
    </row>
    <row r="235" spans="1:1">
      <c r="A235" s="369"/>
    </row>
    <row r="236" spans="1:1">
      <c r="A236" s="369"/>
    </row>
    <row r="237" spans="1:1">
      <c r="A237" s="369"/>
    </row>
    <row r="238" spans="1:1">
      <c r="A238" s="369"/>
    </row>
    <row r="239" spans="1:1">
      <c r="A239" s="369"/>
    </row>
    <row r="240" spans="1:1">
      <c r="A240" s="369"/>
    </row>
    <row r="241" spans="1:1">
      <c r="A241" s="369"/>
    </row>
    <row r="242" spans="1:1">
      <c r="A242" s="369"/>
    </row>
    <row r="243" spans="1:1">
      <c r="A243" s="369"/>
    </row>
    <row r="244" spans="1:1">
      <c r="A244" s="369"/>
    </row>
    <row r="245" spans="1:1">
      <c r="A245" s="369"/>
    </row>
    <row r="246" spans="1:1">
      <c r="A246" s="369"/>
    </row>
    <row r="247" spans="1:1">
      <c r="A247" s="369"/>
    </row>
    <row r="248" spans="1:1">
      <c r="A248" s="369"/>
    </row>
    <row r="249" spans="1:1">
      <c r="A249" s="369"/>
    </row>
    <row r="250" spans="1:1">
      <c r="A250" s="369"/>
    </row>
    <row r="251" spans="1:1">
      <c r="A251" s="369"/>
    </row>
    <row r="252" spans="1:1">
      <c r="A252" s="369"/>
    </row>
    <row r="253" spans="1:1">
      <c r="A253" s="369"/>
    </row>
    <row r="254" spans="1:1">
      <c r="A254" s="369"/>
    </row>
    <row r="255" spans="1:1">
      <c r="A255" s="369"/>
    </row>
    <row r="256" spans="1:1">
      <c r="A256" s="369"/>
    </row>
    <row r="257" spans="1:1">
      <c r="A257" s="369"/>
    </row>
    <row r="258" spans="1:1">
      <c r="A258" s="369"/>
    </row>
    <row r="259" spans="1:1">
      <c r="A259" s="369"/>
    </row>
    <row r="260" spans="1:1">
      <c r="A260" s="369"/>
    </row>
    <row r="261" spans="1:1">
      <c r="A261" s="369"/>
    </row>
    <row r="262" spans="1:1">
      <c r="A262" s="369"/>
    </row>
    <row r="263" spans="1:1">
      <c r="A263" s="369"/>
    </row>
    <row r="264" spans="1:1">
      <c r="A264" s="369"/>
    </row>
    <row r="265" spans="1:1">
      <c r="A265" s="369"/>
    </row>
    <row r="266" spans="1:1">
      <c r="A266" s="369"/>
    </row>
    <row r="267" spans="1:1">
      <c r="A267" s="369"/>
    </row>
    <row r="268" spans="1:1">
      <c r="A268" s="369"/>
    </row>
    <row r="269" spans="1:1">
      <c r="A269" s="369"/>
    </row>
    <row r="270" spans="1:1">
      <c r="A270" s="369"/>
    </row>
    <row r="271" spans="1:1">
      <c r="A271" s="369"/>
    </row>
    <row r="272" spans="1:1">
      <c r="A272" s="369"/>
    </row>
    <row r="273" spans="1:1">
      <c r="A273" s="369"/>
    </row>
    <row r="274" spans="1:1">
      <c r="A274" s="369"/>
    </row>
    <row r="275" spans="1:1">
      <c r="A275" s="369"/>
    </row>
    <row r="276" spans="1:1">
      <c r="A276" s="369"/>
    </row>
    <row r="277" spans="1:1">
      <c r="A277" s="369"/>
    </row>
    <row r="278" spans="1:1">
      <c r="A278" s="369"/>
    </row>
    <row r="279" spans="1:1">
      <c r="A279" s="369"/>
    </row>
    <row r="280" spans="1:1">
      <c r="A280" s="369"/>
    </row>
    <row r="281" spans="1:1">
      <c r="A281" s="369"/>
    </row>
    <row r="282" spans="1:1">
      <c r="A282" s="369"/>
    </row>
    <row r="283" spans="1:1">
      <c r="A283" s="369"/>
    </row>
    <row r="284" spans="1:1">
      <c r="A284" s="369"/>
    </row>
    <row r="285" spans="1:1">
      <c r="A285" s="369"/>
    </row>
    <row r="286" spans="1:1">
      <c r="A286" s="369"/>
    </row>
    <row r="287" spans="1:1">
      <c r="A287" s="369"/>
    </row>
    <row r="288" spans="1:1">
      <c r="A288" s="369"/>
    </row>
    <row r="289" spans="1:1">
      <c r="A289" s="369"/>
    </row>
    <row r="290" spans="1:1">
      <c r="A290" s="369"/>
    </row>
    <row r="291" spans="1:1">
      <c r="A291" s="369"/>
    </row>
    <row r="292" spans="1:1">
      <c r="A292" s="369"/>
    </row>
    <row r="293" spans="1:1">
      <c r="A293" s="369"/>
    </row>
    <row r="294" spans="1:1">
      <c r="A294" s="369"/>
    </row>
    <row r="295" spans="1:1">
      <c r="A295" s="369"/>
    </row>
    <row r="296" spans="1:1">
      <c r="A296" s="369"/>
    </row>
    <row r="297" spans="1:1">
      <c r="A297" s="369"/>
    </row>
    <row r="298" spans="1:1">
      <c r="A298" s="369"/>
    </row>
    <row r="299" spans="1:1">
      <c r="A299" s="369"/>
    </row>
    <row r="300" spans="1:1">
      <c r="A300" s="369"/>
    </row>
    <row r="301" spans="1:1">
      <c r="A301" s="369"/>
    </row>
    <row r="302" spans="1:1">
      <c r="A302" s="369"/>
    </row>
    <row r="303" spans="1:1">
      <c r="A303" s="369"/>
    </row>
    <row r="304" spans="1:1">
      <c r="A304" s="369"/>
    </row>
    <row r="305" spans="1:1">
      <c r="A305" s="369"/>
    </row>
    <row r="306" spans="1:1">
      <c r="A306" s="369"/>
    </row>
    <row r="307" spans="1:1">
      <c r="A307" s="369"/>
    </row>
    <row r="308" spans="1:1">
      <c r="A308" s="369"/>
    </row>
    <row r="309" spans="1:1">
      <c r="A309" s="369"/>
    </row>
    <row r="310" spans="1:1">
      <c r="A310" s="369"/>
    </row>
    <row r="311" spans="1:1">
      <c r="A311" s="369"/>
    </row>
    <row r="312" spans="1:1">
      <c r="A312" s="369"/>
    </row>
    <row r="313" spans="1:1">
      <c r="A313" s="369"/>
    </row>
    <row r="314" spans="1:1">
      <c r="A314" s="369"/>
    </row>
    <row r="315" spans="1:1">
      <c r="A315" s="369"/>
    </row>
    <row r="316" spans="1:1">
      <c r="A316" s="369"/>
    </row>
    <row r="317" spans="1:1">
      <c r="A317" s="369"/>
    </row>
    <row r="318" spans="1:1">
      <c r="A318" s="369"/>
    </row>
    <row r="319" spans="1:1">
      <c r="A319" s="369"/>
    </row>
    <row r="320" spans="1:1">
      <c r="A320" s="369"/>
    </row>
    <row r="321" spans="1:1">
      <c r="A321" s="369"/>
    </row>
    <row r="322" spans="1:1">
      <c r="A322" s="369"/>
    </row>
    <row r="323" spans="1:1">
      <c r="A323" s="369"/>
    </row>
    <row r="324" spans="1:1">
      <c r="A324" s="369"/>
    </row>
    <row r="325" spans="1:1">
      <c r="A325" s="369"/>
    </row>
    <row r="326" spans="1:1">
      <c r="A326" s="369"/>
    </row>
    <row r="327" spans="1:1">
      <c r="A327" s="369"/>
    </row>
    <row r="328" spans="1:1">
      <c r="A328" s="369"/>
    </row>
    <row r="329" spans="1:1">
      <c r="A329" s="369"/>
    </row>
    <row r="330" spans="1:1">
      <c r="A330" s="369"/>
    </row>
    <row r="331" spans="1:1">
      <c r="A331" s="369"/>
    </row>
    <row r="332" spans="1:1">
      <c r="A332" s="369"/>
    </row>
    <row r="333" spans="1:1">
      <c r="A333" s="369"/>
    </row>
    <row r="334" spans="1:1">
      <c r="A334" s="369"/>
    </row>
    <row r="335" spans="1:1">
      <c r="A335" s="369"/>
    </row>
    <row r="336" spans="1:1">
      <c r="A336" s="369"/>
    </row>
    <row r="337" spans="1:1">
      <c r="A337" s="369"/>
    </row>
    <row r="338" spans="1:1">
      <c r="A338" s="369"/>
    </row>
    <row r="339" spans="1:1">
      <c r="A339" s="369"/>
    </row>
    <row r="340" spans="1:1">
      <c r="A340" s="369"/>
    </row>
    <row r="341" spans="1:1">
      <c r="A341" s="369"/>
    </row>
    <row r="342" spans="1:1">
      <c r="A342" s="369"/>
    </row>
    <row r="343" spans="1:1">
      <c r="A343" s="369"/>
    </row>
    <row r="344" spans="1:1">
      <c r="A344" s="369"/>
    </row>
    <row r="345" spans="1:1">
      <c r="A345" s="369"/>
    </row>
    <row r="346" spans="1:1">
      <c r="A346" s="369"/>
    </row>
    <row r="347" spans="1:1">
      <c r="A347" s="369"/>
    </row>
    <row r="348" spans="1:1">
      <c r="A348" s="369"/>
    </row>
    <row r="349" spans="1:1">
      <c r="A349" s="369"/>
    </row>
    <row r="350" spans="1:1">
      <c r="A350" s="369"/>
    </row>
    <row r="351" spans="1:1">
      <c r="A351" s="369"/>
    </row>
    <row r="352" spans="1:1">
      <c r="A352" s="369"/>
    </row>
    <row r="353" spans="1:1">
      <c r="A353" s="369"/>
    </row>
    <row r="354" spans="1:1">
      <c r="A354" s="369"/>
    </row>
    <row r="355" spans="1:1">
      <c r="A355" s="369"/>
    </row>
    <row r="356" spans="1:1">
      <c r="A356" s="369"/>
    </row>
    <row r="357" spans="1:1">
      <c r="A357" s="369"/>
    </row>
    <row r="358" spans="1:1">
      <c r="A358" s="369"/>
    </row>
    <row r="359" spans="1:1">
      <c r="A359" s="369"/>
    </row>
    <row r="360" spans="1:1">
      <c r="A360" s="369"/>
    </row>
    <row r="361" spans="1:1">
      <c r="A361" s="369"/>
    </row>
    <row r="362" spans="1:1">
      <c r="A362" s="369"/>
    </row>
    <row r="363" spans="1:1">
      <c r="A363" s="369"/>
    </row>
    <row r="364" spans="1:1">
      <c r="A364" s="369"/>
    </row>
    <row r="365" spans="1:1">
      <c r="A365" s="369"/>
    </row>
    <row r="366" spans="1:1">
      <c r="A366" s="369"/>
    </row>
    <row r="367" spans="1:1">
      <c r="A367" s="369"/>
    </row>
    <row r="368" spans="1:1">
      <c r="A368" s="369"/>
    </row>
    <row r="369" spans="1:1">
      <c r="A369" s="369"/>
    </row>
    <row r="370" spans="1:1">
      <c r="A370" s="369"/>
    </row>
    <row r="371" spans="1:1">
      <c r="A371" s="369"/>
    </row>
    <row r="372" spans="1:1">
      <c r="A372" s="369"/>
    </row>
    <row r="373" spans="1:1">
      <c r="A373" s="369"/>
    </row>
    <row r="374" spans="1:1">
      <c r="A374" s="369"/>
    </row>
    <row r="375" spans="1:1">
      <c r="A375" s="369"/>
    </row>
    <row r="376" spans="1:1">
      <c r="A376" s="369"/>
    </row>
    <row r="377" spans="1:1">
      <c r="A377" s="369"/>
    </row>
    <row r="378" spans="1:1">
      <c r="A378" s="369"/>
    </row>
    <row r="379" spans="1:1">
      <c r="A379" s="369"/>
    </row>
    <row r="380" spans="1:1">
      <c r="A380" s="369"/>
    </row>
    <row r="381" spans="1:1">
      <c r="A381" s="369"/>
    </row>
    <row r="382" spans="1:1">
      <c r="A382" s="369"/>
    </row>
    <row r="383" spans="1:1">
      <c r="A383" s="369"/>
    </row>
    <row r="384" spans="1:1">
      <c r="A384" s="369"/>
    </row>
    <row r="385" spans="1:1">
      <c r="A385" s="369"/>
    </row>
    <row r="386" spans="1:1">
      <c r="A386" s="369"/>
    </row>
    <row r="387" spans="1:1">
      <c r="A387" s="369"/>
    </row>
    <row r="388" spans="1:1">
      <c r="A388" s="369"/>
    </row>
    <row r="389" spans="1:1">
      <c r="A389" s="369"/>
    </row>
    <row r="390" spans="1:1">
      <c r="A390" s="369"/>
    </row>
    <row r="391" spans="1:1">
      <c r="A391" s="369"/>
    </row>
    <row r="392" spans="1:1">
      <c r="A392" s="369"/>
    </row>
    <row r="393" spans="1:1">
      <c r="A393" s="369"/>
    </row>
    <row r="394" spans="1:1">
      <c r="A394" s="369"/>
    </row>
    <row r="395" spans="1:1">
      <c r="A395" s="369"/>
    </row>
    <row r="396" spans="1:1">
      <c r="A396" s="369"/>
    </row>
    <row r="397" spans="1:1">
      <c r="A397" s="369"/>
    </row>
    <row r="398" spans="1:1">
      <c r="A398" s="369"/>
    </row>
    <row r="399" spans="1:1">
      <c r="A399" s="369"/>
    </row>
    <row r="400" spans="1:1">
      <c r="A400" s="369"/>
    </row>
    <row r="401" spans="1:1">
      <c r="A401" s="369"/>
    </row>
    <row r="402" spans="1:1">
      <c r="A402" s="369"/>
    </row>
    <row r="403" spans="1:1">
      <c r="A403" s="369"/>
    </row>
    <row r="404" spans="1:1">
      <c r="A404" s="369"/>
    </row>
    <row r="405" spans="1:1">
      <c r="A405" s="369"/>
    </row>
    <row r="406" spans="1:1">
      <c r="A406" s="369"/>
    </row>
    <row r="407" spans="1:1">
      <c r="A407" s="369"/>
    </row>
    <row r="408" spans="1:1">
      <c r="A408" s="369"/>
    </row>
    <row r="409" spans="1:1">
      <c r="A409" s="369"/>
    </row>
    <row r="410" spans="1:1">
      <c r="A410" s="369"/>
    </row>
    <row r="411" spans="1:1">
      <c r="A411" s="369"/>
    </row>
    <row r="412" spans="1:1">
      <c r="A412" s="369"/>
    </row>
    <row r="413" spans="1:1">
      <c r="A413" s="369"/>
    </row>
    <row r="414" spans="1:1">
      <c r="A414" s="369"/>
    </row>
    <row r="415" spans="1:1">
      <c r="A415" s="369"/>
    </row>
    <row r="416" spans="1:1">
      <c r="A416" s="369"/>
    </row>
    <row r="417" spans="1:1">
      <c r="A417" s="369"/>
    </row>
    <row r="418" spans="1:1">
      <c r="A418" s="369"/>
    </row>
    <row r="419" spans="1:1">
      <c r="A419" s="369"/>
    </row>
    <row r="420" spans="1:1">
      <c r="A420" s="369"/>
    </row>
    <row r="421" spans="1:1">
      <c r="A421" s="369"/>
    </row>
    <row r="422" spans="1:1">
      <c r="A422" s="369"/>
    </row>
    <row r="423" spans="1:1">
      <c r="A423" s="369"/>
    </row>
    <row r="424" spans="1:1">
      <c r="A424" s="369"/>
    </row>
    <row r="425" spans="1:1">
      <c r="A425" s="369"/>
    </row>
    <row r="426" spans="1:1">
      <c r="A426" s="369"/>
    </row>
    <row r="427" spans="1:1">
      <c r="A427" s="369"/>
    </row>
    <row r="428" spans="1:1">
      <c r="A428" s="369"/>
    </row>
    <row r="429" spans="1:1">
      <c r="A429" s="369"/>
    </row>
    <row r="430" spans="1:1">
      <c r="A430" s="369"/>
    </row>
    <row r="431" spans="1:1">
      <c r="A431" s="369"/>
    </row>
    <row r="432" spans="1:1">
      <c r="A432" s="369"/>
    </row>
    <row r="433" spans="1:1">
      <c r="A433" s="369"/>
    </row>
    <row r="434" spans="1:1">
      <c r="A434" s="369"/>
    </row>
    <row r="435" spans="1:1">
      <c r="A435" s="369"/>
    </row>
    <row r="436" spans="1:1">
      <c r="A436" s="369"/>
    </row>
    <row r="437" spans="1:1">
      <c r="A437" s="369"/>
    </row>
    <row r="438" spans="1:1">
      <c r="A438" s="369"/>
    </row>
    <row r="439" spans="1:1">
      <c r="A439" s="369"/>
    </row>
    <row r="440" spans="1:1">
      <c r="A440" s="369"/>
    </row>
    <row r="441" spans="1:1">
      <c r="A441" s="369"/>
    </row>
    <row r="442" spans="1:1">
      <c r="A442" s="369"/>
    </row>
    <row r="443" spans="1:1">
      <c r="A443" s="369"/>
    </row>
    <row r="444" spans="1:1">
      <c r="A444" s="369"/>
    </row>
    <row r="445" spans="1:1">
      <c r="A445" s="369"/>
    </row>
    <row r="446" spans="1:1">
      <c r="A446" s="369"/>
    </row>
    <row r="447" spans="1:1">
      <c r="A447" s="369"/>
    </row>
    <row r="448" spans="1:1">
      <c r="A448" s="369"/>
    </row>
    <row r="449" spans="1:1">
      <c r="A449" s="369"/>
    </row>
    <row r="450" spans="1:1">
      <c r="A450" s="369"/>
    </row>
    <row r="451" spans="1:1">
      <c r="A451" s="369"/>
    </row>
    <row r="452" spans="1:1">
      <c r="A452" s="369"/>
    </row>
    <row r="453" spans="1:1">
      <c r="A453" s="369"/>
    </row>
    <row r="454" spans="1:1">
      <c r="A454" s="369"/>
    </row>
    <row r="455" spans="1:1">
      <c r="A455" s="369"/>
    </row>
    <row r="456" spans="1:1">
      <c r="A456" s="369"/>
    </row>
    <row r="457" spans="1:1">
      <c r="A457" s="369"/>
    </row>
    <row r="458" spans="1:1">
      <c r="A458" s="369"/>
    </row>
    <row r="459" spans="1:1">
      <c r="A459" s="369"/>
    </row>
    <row r="460" spans="1:1">
      <c r="A460" s="369"/>
    </row>
    <row r="461" spans="1:1">
      <c r="A461" s="369"/>
    </row>
    <row r="462" spans="1:1">
      <c r="A462" s="369"/>
    </row>
    <row r="463" spans="1:1">
      <c r="A463" s="369"/>
    </row>
    <row r="464" spans="1:1">
      <c r="A464" s="369"/>
    </row>
    <row r="465" spans="1:1">
      <c r="A465" s="369"/>
    </row>
    <row r="466" spans="1:1">
      <c r="A466" s="369"/>
    </row>
    <row r="467" spans="1:1">
      <c r="A467" s="369"/>
    </row>
    <row r="468" spans="1:1">
      <c r="A468" s="369"/>
    </row>
    <row r="469" spans="1:1">
      <c r="A469" s="369"/>
    </row>
    <row r="470" spans="1:1">
      <c r="A470" s="369"/>
    </row>
    <row r="471" spans="1:1">
      <c r="A471" s="369"/>
    </row>
    <row r="472" spans="1:1">
      <c r="A472" s="369"/>
    </row>
    <row r="473" spans="1:1">
      <c r="A473" s="369"/>
    </row>
    <row r="474" spans="1:1">
      <c r="A474" s="369"/>
    </row>
    <row r="475" spans="1:1">
      <c r="A475" s="369"/>
    </row>
    <row r="476" spans="1:1">
      <c r="A476" s="369"/>
    </row>
    <row r="477" spans="1:1">
      <c r="A477" s="369"/>
    </row>
    <row r="478" spans="1:1">
      <c r="A478" s="369"/>
    </row>
    <row r="479" spans="1:1">
      <c r="A479" s="369"/>
    </row>
    <row r="480" spans="1:1">
      <c r="A480" s="369"/>
    </row>
    <row r="481" spans="1:1">
      <c r="A481" s="369"/>
    </row>
    <row r="482" spans="1:1">
      <c r="A482" s="369"/>
    </row>
    <row r="483" spans="1:1">
      <c r="A483" s="369"/>
    </row>
    <row r="484" spans="1:1">
      <c r="A484" s="369"/>
    </row>
    <row r="485" spans="1:1">
      <c r="A485" s="369"/>
    </row>
    <row r="486" spans="1:1">
      <c r="A486" s="369"/>
    </row>
    <row r="487" spans="1:1">
      <c r="A487" s="369"/>
    </row>
    <row r="488" spans="1:1">
      <c r="A488" s="369"/>
    </row>
    <row r="489" spans="1:1">
      <c r="A489" s="369"/>
    </row>
    <row r="490" spans="1:1">
      <c r="A490" s="369"/>
    </row>
    <row r="491" spans="1:1">
      <c r="A491" s="369"/>
    </row>
    <row r="492" spans="1:1">
      <c r="A492" s="369"/>
    </row>
    <row r="493" spans="1:1">
      <c r="A493" s="369"/>
    </row>
    <row r="494" spans="1:1">
      <c r="A494" s="369"/>
    </row>
    <row r="495" spans="1:1">
      <c r="A495" s="369"/>
    </row>
    <row r="496" spans="1:1">
      <c r="A496" s="369"/>
    </row>
    <row r="497" spans="1:1">
      <c r="A497" s="369"/>
    </row>
    <row r="498" spans="1:1">
      <c r="A498" s="369"/>
    </row>
    <row r="499" spans="1:1">
      <c r="A499" s="369"/>
    </row>
    <row r="500" spans="1:1">
      <c r="A500" s="369"/>
    </row>
    <row r="501" spans="1:1">
      <c r="A501" s="369"/>
    </row>
    <row r="502" spans="1:1">
      <c r="A502" s="369"/>
    </row>
    <row r="503" spans="1:1">
      <c r="A503" s="369"/>
    </row>
    <row r="504" spans="1:1">
      <c r="A504" s="369"/>
    </row>
    <row r="505" spans="1:1">
      <c r="A505" s="369"/>
    </row>
    <row r="506" spans="1:1">
      <c r="A506" s="369"/>
    </row>
    <row r="507" spans="1:1">
      <c r="A507" s="369"/>
    </row>
    <row r="508" spans="1:1">
      <c r="A508" s="369"/>
    </row>
    <row r="509" spans="1:1">
      <c r="A509" s="369"/>
    </row>
    <row r="510" spans="1:1">
      <c r="A510" s="369"/>
    </row>
    <row r="511" spans="1:1">
      <c r="A511" s="369"/>
    </row>
    <row r="512" spans="1:1">
      <c r="A512" s="369"/>
    </row>
    <row r="513" spans="1:1">
      <c r="A513" s="369"/>
    </row>
    <row r="514" spans="1:1">
      <c r="A514" s="369"/>
    </row>
    <row r="515" spans="1:1">
      <c r="A515" s="369"/>
    </row>
    <row r="516" spans="1:1">
      <c r="A516" s="369"/>
    </row>
    <row r="517" spans="1:1">
      <c r="A517" s="369"/>
    </row>
    <row r="518" spans="1:1">
      <c r="A518" s="369"/>
    </row>
    <row r="519" spans="1:1">
      <c r="A519" s="369"/>
    </row>
    <row r="520" spans="1:1">
      <c r="A520" s="369"/>
    </row>
    <row r="521" spans="1:1">
      <c r="A521" s="369"/>
    </row>
    <row r="522" spans="1:1">
      <c r="A522" s="369"/>
    </row>
    <row r="523" spans="1:1">
      <c r="A523" s="369"/>
    </row>
    <row r="524" spans="1:1">
      <c r="A524" s="369"/>
    </row>
    <row r="525" spans="1:1">
      <c r="A525" s="369"/>
    </row>
    <row r="526" spans="1:1">
      <c r="A526" s="369"/>
    </row>
    <row r="527" spans="1:1">
      <c r="A527" s="369"/>
    </row>
    <row r="528" spans="1:1">
      <c r="A528" s="369"/>
    </row>
    <row r="529" spans="1:1">
      <c r="A529" s="369"/>
    </row>
    <row r="530" spans="1:1">
      <c r="A530" s="369"/>
    </row>
  </sheetData>
  <mergeCells count="39">
    <mergeCell ref="F57:H57"/>
    <mergeCell ref="A47:L48"/>
    <mergeCell ref="F50:H50"/>
    <mergeCell ref="F53:H53"/>
    <mergeCell ref="F54:H54"/>
    <mergeCell ref="F51:H51"/>
    <mergeCell ref="F52:H52"/>
    <mergeCell ref="F58:H58"/>
    <mergeCell ref="F59:H59"/>
    <mergeCell ref="F60:H60"/>
    <mergeCell ref="F61:H61"/>
    <mergeCell ref="F62:H62"/>
    <mergeCell ref="G38:J38"/>
    <mergeCell ref="G39:J39"/>
    <mergeCell ref="G40:J40"/>
    <mergeCell ref="A43:L43"/>
    <mergeCell ref="G33:J33"/>
    <mergeCell ref="G34:J34"/>
    <mergeCell ref="G35:J35"/>
    <mergeCell ref="G36:J36"/>
    <mergeCell ref="G37:J37"/>
    <mergeCell ref="J5:L5"/>
    <mergeCell ref="J6:L8"/>
    <mergeCell ref="A10:L10"/>
    <mergeCell ref="A22:L22"/>
    <mergeCell ref="A32:F32"/>
    <mergeCell ref="G32:L32"/>
    <mergeCell ref="A5:C5"/>
    <mergeCell ref="A6:C8"/>
    <mergeCell ref="D5:F5"/>
    <mergeCell ref="D6:F8"/>
    <mergeCell ref="G5:I5"/>
    <mergeCell ref="G6:I8"/>
    <mergeCell ref="A1:I2"/>
    <mergeCell ref="J1:L2"/>
    <mergeCell ref="A3:C3"/>
    <mergeCell ref="D3:F3"/>
    <mergeCell ref="G3:I3"/>
    <mergeCell ref="J3:L3"/>
  </mergeCells>
  <pageMargins left="0.25" right="0.25" top="0.35" bottom="0.35" header="0.1" footer="0.1"/>
  <pageSetup paperSize="9"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R53"/>
  <sheetViews>
    <sheetView showGridLines="0" workbookViewId="0">
      <selection activeCell="C34" sqref="C34"/>
    </sheetView>
  </sheetViews>
  <sheetFormatPr defaultRowHeight="13.8"/>
  <cols>
    <col min="1" max="1" width="24" customWidth="1"/>
    <col min="2" max="2" width="18" customWidth="1"/>
    <col min="3" max="3" width="15" customWidth="1"/>
    <col min="4" max="4" width="20" customWidth="1"/>
    <col min="5" max="5" width="12" customWidth="1"/>
    <col min="6" max="6" width="48" customWidth="1"/>
    <col min="7" max="9" width="20" customWidth="1"/>
    <col min="10" max="10" width="24" customWidth="1"/>
    <col min="11" max="11" width="16" customWidth="1"/>
    <col min="12" max="12" width="18" customWidth="1"/>
    <col min="13" max="14" width="14" customWidth="1"/>
    <col min="15" max="15" width="20" customWidth="1"/>
    <col min="16" max="17" width="18" customWidth="1"/>
    <col min="18" max="18" width="26" customWidth="1"/>
  </cols>
  <sheetData>
    <row r="1" spans="1:18" ht="30" customHeight="1">
      <c r="A1" s="572" t="s">
        <v>2529</v>
      </c>
      <c r="B1" s="541"/>
      <c r="C1" s="541"/>
      <c r="D1" s="541"/>
      <c r="E1" s="541"/>
      <c r="F1" s="541"/>
      <c r="G1" s="541"/>
      <c r="H1" s="541"/>
      <c r="I1" s="541"/>
      <c r="J1" s="541"/>
      <c r="K1" s="541"/>
      <c r="L1" s="541"/>
      <c r="M1" s="541"/>
      <c r="N1" s="541"/>
      <c r="O1" s="541"/>
      <c r="P1" s="541"/>
      <c r="Q1" s="541"/>
      <c r="R1" s="541"/>
    </row>
    <row r="2" spans="1:18">
      <c r="A2" s="573" t="s">
        <v>2530</v>
      </c>
      <c r="B2" s="574"/>
      <c r="C2" s="574"/>
      <c r="D2" s="574"/>
      <c r="E2" s="574"/>
      <c r="F2" s="574"/>
      <c r="G2" s="574"/>
      <c r="H2" s="574"/>
      <c r="I2" s="574"/>
      <c r="J2" s="574"/>
      <c r="K2" s="574"/>
      <c r="L2" s="574"/>
      <c r="M2" s="574"/>
      <c r="N2" s="574"/>
      <c r="O2" s="574"/>
      <c r="P2" s="574"/>
      <c r="Q2" s="574"/>
      <c r="R2" s="574"/>
    </row>
    <row r="3" spans="1:18">
      <c r="A3" s="179" t="s">
        <v>2531</v>
      </c>
      <c r="B3" s="180" t="s">
        <v>2532</v>
      </c>
      <c r="C3" s="180" t="s">
        <v>2533</v>
      </c>
      <c r="D3" s="180" t="s">
        <v>2534</v>
      </c>
      <c r="E3" s="180" t="s">
        <v>2535</v>
      </c>
      <c r="F3" s="181" t="s">
        <v>636</v>
      </c>
      <c r="H3" s="179" t="s">
        <v>2536</v>
      </c>
      <c r="I3" s="180" t="s">
        <v>2537</v>
      </c>
      <c r="J3" s="180" t="s">
        <v>2538</v>
      </c>
      <c r="K3" s="180" t="s">
        <v>2539</v>
      </c>
      <c r="L3" s="180" t="s">
        <v>129</v>
      </c>
      <c r="M3" s="180" t="s">
        <v>2540</v>
      </c>
      <c r="N3" s="180" t="s">
        <v>2541</v>
      </c>
      <c r="O3" s="180" t="s">
        <v>2542</v>
      </c>
      <c r="P3" s="180" t="s">
        <v>573</v>
      </c>
      <c r="Q3" s="181" t="s">
        <v>2471</v>
      </c>
    </row>
    <row r="4" spans="1:18">
      <c r="A4" s="182" t="s">
        <v>2543</v>
      </c>
      <c r="B4" s="187">
        <f ca="1">TODAY()</f>
        <v>46229</v>
      </c>
      <c r="C4" s="178" t="s">
        <v>2544</v>
      </c>
      <c r="D4" s="178" t="s">
        <v>2545</v>
      </c>
      <c r="E4" s="178" t="s">
        <v>2546</v>
      </c>
      <c r="F4" s="183" t="s">
        <v>2547</v>
      </c>
      <c r="H4" s="182" t="s">
        <v>2548</v>
      </c>
      <c r="I4" s="178" t="s">
        <v>2549</v>
      </c>
      <c r="J4" s="178" t="s">
        <v>2550</v>
      </c>
      <c r="K4" s="178" t="s">
        <v>2551</v>
      </c>
      <c r="L4" s="178" t="s">
        <v>2552</v>
      </c>
      <c r="M4" s="178" t="s">
        <v>2553</v>
      </c>
      <c r="N4" s="178">
        <v>1</v>
      </c>
      <c r="O4" s="188">
        <f>K2_LastRefresh</f>
        <v>46229.868903090275</v>
      </c>
      <c r="P4" s="178" t="s">
        <v>2554</v>
      </c>
      <c r="Q4" s="183" t="s">
        <v>2555</v>
      </c>
    </row>
    <row r="5" spans="1:18">
      <c r="A5" s="182" t="s">
        <v>2556</v>
      </c>
      <c r="B5" s="187">
        <f>MIN(DailyTrackingTable[Date])</f>
        <v>46215</v>
      </c>
      <c r="C5" s="178" t="s">
        <v>2544</v>
      </c>
      <c r="D5" s="178" t="s">
        <v>2552</v>
      </c>
      <c r="E5" s="178" t="s">
        <v>2546</v>
      </c>
      <c r="F5" s="183" t="s">
        <v>2557</v>
      </c>
      <c r="H5" s="182" t="s">
        <v>2558</v>
      </c>
      <c r="I5" s="178" t="s">
        <v>2559</v>
      </c>
      <c r="J5" s="178" t="s">
        <v>2560</v>
      </c>
      <c r="K5" s="178" t="s">
        <v>2561</v>
      </c>
      <c r="L5" s="178" t="s">
        <v>2562</v>
      </c>
      <c r="M5" s="178" t="s">
        <v>2553</v>
      </c>
      <c r="N5" s="178">
        <v>12</v>
      </c>
      <c r="O5" s="188"/>
      <c r="P5" s="178" t="s">
        <v>2563</v>
      </c>
      <c r="Q5" s="183" t="s">
        <v>2564</v>
      </c>
    </row>
    <row r="6" spans="1:18">
      <c r="A6" s="182" t="s">
        <v>2565</v>
      </c>
      <c r="B6" s="187">
        <f>MAX(DailyTrackingTable[Date])</f>
        <v>46249</v>
      </c>
      <c r="C6" s="178" t="s">
        <v>2544</v>
      </c>
      <c r="D6" s="178" t="s">
        <v>2552</v>
      </c>
      <c r="E6" s="178" t="s">
        <v>2546</v>
      </c>
      <c r="F6" s="183" t="s">
        <v>2566</v>
      </c>
      <c r="H6" s="182" t="s">
        <v>2567</v>
      </c>
      <c r="I6" s="178" t="s">
        <v>2559</v>
      </c>
      <c r="J6" s="178" t="s">
        <v>2568</v>
      </c>
      <c r="K6" s="178" t="s">
        <v>2561</v>
      </c>
      <c r="L6" s="178" t="s">
        <v>2562</v>
      </c>
      <c r="M6" s="178" t="s">
        <v>2553</v>
      </c>
      <c r="N6" s="178">
        <v>12</v>
      </c>
      <c r="O6" s="188"/>
      <c r="P6" s="178" t="s">
        <v>2563</v>
      </c>
      <c r="Q6" s="183" t="s">
        <v>2569</v>
      </c>
    </row>
    <row r="7" spans="1:18">
      <c r="A7" s="182" t="s">
        <v>2570</v>
      </c>
      <c r="B7" s="178">
        <v>0.75</v>
      </c>
      <c r="C7" s="178" t="s">
        <v>2571</v>
      </c>
      <c r="D7" s="178" t="s">
        <v>2545</v>
      </c>
      <c r="E7" s="178" t="s">
        <v>2553</v>
      </c>
      <c r="F7" s="183" t="s">
        <v>2572</v>
      </c>
      <c r="H7" s="182" t="s">
        <v>2573</v>
      </c>
      <c r="I7" s="178" t="s">
        <v>2574</v>
      </c>
      <c r="J7" s="178" t="s">
        <v>2575</v>
      </c>
      <c r="K7" s="178" t="s">
        <v>2551</v>
      </c>
      <c r="L7" s="178" t="s">
        <v>2576</v>
      </c>
      <c r="M7" s="178" t="s">
        <v>2553</v>
      </c>
      <c r="N7" s="178">
        <v>24</v>
      </c>
      <c r="O7" s="188">
        <f>K2_LastRefresh</f>
        <v>46229.868903090275</v>
      </c>
      <c r="P7" s="178" t="s">
        <v>2563</v>
      </c>
      <c r="Q7" s="183" t="s">
        <v>2577</v>
      </c>
    </row>
    <row r="8" spans="1:18">
      <c r="A8" s="182" t="s">
        <v>2578</v>
      </c>
      <c r="B8" s="178">
        <v>1</v>
      </c>
      <c r="C8" s="178" t="s">
        <v>2579</v>
      </c>
      <c r="D8" s="178" t="s">
        <v>2580</v>
      </c>
      <c r="E8" s="178" t="s">
        <v>2553</v>
      </c>
      <c r="F8" s="183" t="s">
        <v>2581</v>
      </c>
      <c r="H8" s="182" t="s">
        <v>2582</v>
      </c>
      <c r="I8" s="178" t="s">
        <v>2583</v>
      </c>
      <c r="J8" s="178" t="s">
        <v>2584</v>
      </c>
      <c r="K8" s="178" t="s">
        <v>2551</v>
      </c>
      <c r="L8" s="178" t="s">
        <v>2552</v>
      </c>
      <c r="M8" s="178" t="s">
        <v>2553</v>
      </c>
      <c r="N8" s="178">
        <v>1</v>
      </c>
      <c r="O8" s="188">
        <f>K2_LastRefresh</f>
        <v>46229.868903090275</v>
      </c>
      <c r="P8" s="178" t="s">
        <v>2563</v>
      </c>
      <c r="Q8" s="183" t="s">
        <v>2585</v>
      </c>
    </row>
    <row r="9" spans="1:18">
      <c r="A9" s="182" t="s">
        <v>2586</v>
      </c>
      <c r="B9" s="178">
        <v>0.02</v>
      </c>
      <c r="C9" s="178" t="s">
        <v>2587</v>
      </c>
      <c r="D9" s="178" t="s">
        <v>2580</v>
      </c>
      <c r="E9" s="178" t="s">
        <v>2553</v>
      </c>
      <c r="F9" s="183" t="s">
        <v>2588</v>
      </c>
      <c r="H9" s="182" t="s">
        <v>2589</v>
      </c>
      <c r="I9" s="178" t="s">
        <v>2583</v>
      </c>
      <c r="J9" s="178" t="s">
        <v>2590</v>
      </c>
      <c r="K9" s="178" t="s">
        <v>2551</v>
      </c>
      <c r="L9" s="178" t="s">
        <v>2552</v>
      </c>
      <c r="M9" s="178" t="s">
        <v>2553</v>
      </c>
      <c r="N9" s="178">
        <v>1</v>
      </c>
      <c r="O9" s="188">
        <f>K2_LastRefresh</f>
        <v>46229.868903090275</v>
      </c>
      <c r="P9" s="178" t="s">
        <v>2591</v>
      </c>
      <c r="Q9" s="183" t="s">
        <v>2592</v>
      </c>
    </row>
    <row r="10" spans="1:18">
      <c r="A10" s="182" t="s">
        <v>2593</v>
      </c>
      <c r="B10" s="178">
        <v>4</v>
      </c>
      <c r="C10" s="178" t="s">
        <v>2594</v>
      </c>
      <c r="D10" s="178" t="s">
        <v>2562</v>
      </c>
      <c r="E10" s="178" t="s">
        <v>2553</v>
      </c>
      <c r="F10" s="183" t="s">
        <v>2595</v>
      </c>
      <c r="H10" s="182" t="s">
        <v>2596</v>
      </c>
      <c r="I10" s="178" t="s">
        <v>2583</v>
      </c>
      <c r="J10" s="178" t="s">
        <v>2597</v>
      </c>
      <c r="K10" s="178" t="s">
        <v>2551</v>
      </c>
      <c r="L10" s="178" t="s">
        <v>2552</v>
      </c>
      <c r="M10" s="178" t="s">
        <v>2553</v>
      </c>
      <c r="N10" s="178">
        <v>1</v>
      </c>
      <c r="O10" s="188">
        <f>K2_LastRefresh</f>
        <v>46229.868903090275</v>
      </c>
      <c r="P10" s="178" t="s">
        <v>2598</v>
      </c>
      <c r="Q10" s="183" t="s">
        <v>2599</v>
      </c>
    </row>
    <row r="11" spans="1:18">
      <c r="A11" s="182" t="s">
        <v>2600</v>
      </c>
      <c r="B11" s="178">
        <v>2</v>
      </c>
      <c r="C11" s="178" t="s">
        <v>2594</v>
      </c>
      <c r="D11" s="178" t="s">
        <v>2601</v>
      </c>
      <c r="E11" s="178" t="s">
        <v>2553</v>
      </c>
      <c r="F11" s="183" t="s">
        <v>2602</v>
      </c>
      <c r="H11" s="182" t="s">
        <v>2603</v>
      </c>
      <c r="I11" s="178" t="s">
        <v>2583</v>
      </c>
      <c r="J11" s="178" t="s">
        <v>2604</v>
      </c>
      <c r="K11" s="178" t="s">
        <v>2551</v>
      </c>
      <c r="L11" s="178" t="s">
        <v>2552</v>
      </c>
      <c r="M11" s="178" t="s">
        <v>2553</v>
      </c>
      <c r="N11" s="178">
        <v>1</v>
      </c>
      <c r="O11" s="188">
        <f>K2_LastRefresh</f>
        <v>46229.868903090275</v>
      </c>
      <c r="P11" s="178" t="s">
        <v>2591</v>
      </c>
      <c r="Q11" s="183" t="s">
        <v>2592</v>
      </c>
    </row>
    <row r="12" spans="1:18">
      <c r="A12" s="182" t="s">
        <v>2605</v>
      </c>
      <c r="B12" s="178">
        <v>3</v>
      </c>
      <c r="C12" s="178" t="s">
        <v>2594</v>
      </c>
      <c r="D12" s="178" t="s">
        <v>2601</v>
      </c>
      <c r="E12" s="178" t="s">
        <v>2553</v>
      </c>
      <c r="F12" s="183" t="s">
        <v>2606</v>
      </c>
      <c r="H12" s="182" t="s">
        <v>2607</v>
      </c>
      <c r="I12" s="178" t="s">
        <v>2574</v>
      </c>
      <c r="J12" s="178" t="s">
        <v>2608</v>
      </c>
      <c r="K12" s="178" t="s">
        <v>2609</v>
      </c>
      <c r="L12" s="178" t="s">
        <v>2545</v>
      </c>
      <c r="M12" s="178" t="s">
        <v>2553</v>
      </c>
      <c r="N12" s="178">
        <v>24</v>
      </c>
      <c r="O12" s="188"/>
      <c r="P12" s="178" t="s">
        <v>2563</v>
      </c>
      <c r="Q12" s="183" t="s">
        <v>2610</v>
      </c>
    </row>
    <row r="13" spans="1:18">
      <c r="A13" s="182" t="s">
        <v>2611</v>
      </c>
      <c r="B13" s="178">
        <v>4</v>
      </c>
      <c r="C13" s="178" t="s">
        <v>2594</v>
      </c>
      <c r="D13" s="178" t="s">
        <v>2545</v>
      </c>
      <c r="E13" s="178" t="s">
        <v>2553</v>
      </c>
      <c r="F13" s="183" t="s">
        <v>2612</v>
      </c>
      <c r="H13" s="182" t="s">
        <v>2613</v>
      </c>
      <c r="I13" s="178" t="s">
        <v>2614</v>
      </c>
      <c r="J13" s="178" t="s">
        <v>2615</v>
      </c>
      <c r="K13" s="178" t="s">
        <v>2609</v>
      </c>
      <c r="L13" s="178" t="s">
        <v>2616</v>
      </c>
      <c r="M13" s="178" t="s">
        <v>2553</v>
      </c>
      <c r="N13" s="178">
        <v>24</v>
      </c>
      <c r="O13" s="188"/>
      <c r="P13" s="178" t="s">
        <v>2617</v>
      </c>
      <c r="Q13" s="183" t="s">
        <v>2618</v>
      </c>
    </row>
    <row r="14" spans="1:18">
      <c r="A14" s="182" t="s">
        <v>2619</v>
      </c>
      <c r="B14" s="178">
        <v>8</v>
      </c>
      <c r="C14" s="178" t="s">
        <v>2620</v>
      </c>
      <c r="D14" s="178" t="s">
        <v>2616</v>
      </c>
      <c r="E14" s="178" t="s">
        <v>2546</v>
      </c>
      <c r="F14" s="183" t="s">
        <v>2621</v>
      </c>
      <c r="H14" s="182" t="s">
        <v>2622</v>
      </c>
      <c r="I14" s="178" t="s">
        <v>2576</v>
      </c>
      <c r="J14" s="178" t="s">
        <v>2623</v>
      </c>
      <c r="K14" s="178" t="s">
        <v>2624</v>
      </c>
      <c r="L14" s="178" t="s">
        <v>2576</v>
      </c>
      <c r="M14" s="178" t="s">
        <v>2553</v>
      </c>
      <c r="N14" s="178">
        <v>24</v>
      </c>
      <c r="O14" s="188"/>
      <c r="P14" s="178" t="s">
        <v>2625</v>
      </c>
      <c r="Q14" s="183" t="s">
        <v>2626</v>
      </c>
    </row>
    <row r="15" spans="1:18">
      <c r="A15" s="182" t="s">
        <v>2627</v>
      </c>
      <c r="B15" s="178">
        <v>25000</v>
      </c>
      <c r="C15" s="178" t="s">
        <v>2579</v>
      </c>
      <c r="D15" s="178" t="s">
        <v>2580</v>
      </c>
      <c r="E15" s="178" t="s">
        <v>2553</v>
      </c>
      <c r="F15" s="183" t="s">
        <v>2628</v>
      </c>
      <c r="H15" s="182" t="s">
        <v>2629</v>
      </c>
      <c r="I15" s="178" t="s">
        <v>2576</v>
      </c>
      <c r="J15" s="178" t="s">
        <v>2630</v>
      </c>
      <c r="K15" s="178" t="s">
        <v>2624</v>
      </c>
      <c r="L15" s="178" t="s">
        <v>2576</v>
      </c>
      <c r="M15" s="178" t="s">
        <v>2553</v>
      </c>
      <c r="N15" s="178">
        <v>24</v>
      </c>
      <c r="O15" s="188"/>
      <c r="P15" s="178" t="s">
        <v>2631</v>
      </c>
      <c r="Q15" s="183" t="s">
        <v>2632</v>
      </c>
    </row>
    <row r="16" spans="1:18">
      <c r="A16" s="182" t="s">
        <v>2633</v>
      </c>
      <c r="B16" s="178">
        <v>23</v>
      </c>
      <c r="C16" s="178" t="s">
        <v>2594</v>
      </c>
      <c r="D16" s="178" t="s">
        <v>2545</v>
      </c>
      <c r="E16" s="178" t="s">
        <v>2553</v>
      </c>
      <c r="F16" s="183" t="s">
        <v>2634</v>
      </c>
      <c r="H16" s="182" t="s">
        <v>2635</v>
      </c>
      <c r="I16" s="178" t="s">
        <v>2636</v>
      </c>
      <c r="J16" s="178" t="s">
        <v>2637</v>
      </c>
      <c r="K16" s="178" t="s">
        <v>2638</v>
      </c>
      <c r="L16" s="178" t="s">
        <v>2639</v>
      </c>
      <c r="M16" s="178" t="s">
        <v>2553</v>
      </c>
      <c r="N16" s="178">
        <v>1</v>
      </c>
      <c r="O16" s="188" t="str">
        <f>IF('Dashboard Data'!H41="","",'Dashboard Data'!H41)</f>
        <v/>
      </c>
      <c r="P16" s="178" t="s">
        <v>2563</v>
      </c>
      <c r="Q16" s="183" t="s">
        <v>2640</v>
      </c>
    </row>
    <row r="17" spans="1:17">
      <c r="A17" s="182" t="s">
        <v>2641</v>
      </c>
      <c r="B17" s="178">
        <v>0.4</v>
      </c>
      <c r="C17" s="178" t="s">
        <v>2587</v>
      </c>
      <c r="D17" s="178" t="s">
        <v>2601</v>
      </c>
      <c r="E17" s="178" t="s">
        <v>2553</v>
      </c>
      <c r="F17" s="183" t="s">
        <v>2642</v>
      </c>
      <c r="H17" s="184" t="s">
        <v>2643</v>
      </c>
      <c r="I17" s="185" t="s">
        <v>2644</v>
      </c>
      <c r="J17" s="185" t="s">
        <v>2645</v>
      </c>
      <c r="K17" s="185" t="s">
        <v>2624</v>
      </c>
      <c r="L17" s="185" t="s">
        <v>2646</v>
      </c>
      <c r="M17" s="185" t="s">
        <v>2553</v>
      </c>
      <c r="N17" s="185">
        <v>12</v>
      </c>
      <c r="O17" s="189"/>
      <c r="P17" s="185" t="s">
        <v>2591</v>
      </c>
      <c r="Q17" s="186" t="s">
        <v>2647</v>
      </c>
    </row>
    <row r="18" spans="1:17">
      <c r="A18" s="182" t="s">
        <v>2648</v>
      </c>
      <c r="B18" s="178">
        <v>21</v>
      </c>
      <c r="C18" s="178" t="s">
        <v>2594</v>
      </c>
      <c r="D18" s="178" t="s">
        <v>2580</v>
      </c>
      <c r="E18" s="178" t="s">
        <v>2553</v>
      </c>
      <c r="F18" s="183" t="s">
        <v>2649</v>
      </c>
    </row>
    <row r="19" spans="1:17">
      <c r="A19" s="182" t="s">
        <v>2650</v>
      </c>
      <c r="B19" s="178" t="s">
        <v>2651</v>
      </c>
      <c r="C19" s="178" t="s">
        <v>2652</v>
      </c>
      <c r="D19" s="178" t="s">
        <v>2552</v>
      </c>
      <c r="E19" s="178" t="s">
        <v>2546</v>
      </c>
      <c r="F19" s="183" t="s">
        <v>2653</v>
      </c>
    </row>
    <row r="20" spans="1:17">
      <c r="A20" s="182" t="s">
        <v>2654</v>
      </c>
      <c r="B20" s="178">
        <v>0</v>
      </c>
      <c r="C20" s="178" t="s">
        <v>2655</v>
      </c>
      <c r="D20" s="178" t="s">
        <v>2552</v>
      </c>
      <c r="E20" s="178" t="s">
        <v>2656</v>
      </c>
      <c r="F20" s="183" t="s">
        <v>2657</v>
      </c>
    </row>
    <row r="21" spans="1:17">
      <c r="A21" s="182" t="s">
        <v>2658</v>
      </c>
      <c r="B21" s="178">
        <v>0</v>
      </c>
      <c r="C21" s="178" t="s">
        <v>2659</v>
      </c>
      <c r="D21" s="178" t="s">
        <v>2660</v>
      </c>
      <c r="E21" s="178" t="s">
        <v>2553</v>
      </c>
      <c r="F21" s="183" t="s">
        <v>2661</v>
      </c>
    </row>
    <row r="22" spans="1:17">
      <c r="A22" s="182" t="s">
        <v>2662</v>
      </c>
      <c r="B22" s="178">
        <v>0</v>
      </c>
      <c r="C22" s="178" t="s">
        <v>2659</v>
      </c>
      <c r="D22" s="178" t="s">
        <v>2552</v>
      </c>
      <c r="E22" s="178" t="s">
        <v>2656</v>
      </c>
      <c r="F22" s="183" t="s">
        <v>2663</v>
      </c>
    </row>
    <row r="23" spans="1:17">
      <c r="A23" s="184" t="s">
        <v>2664</v>
      </c>
      <c r="B23" s="185" t="s">
        <v>3957</v>
      </c>
      <c r="C23" s="185" t="s">
        <v>2665</v>
      </c>
      <c r="D23" s="185" t="s">
        <v>2552</v>
      </c>
      <c r="E23" s="185" t="s">
        <v>2553</v>
      </c>
      <c r="F23" s="186" t="s">
        <v>2927</v>
      </c>
    </row>
    <row r="25" spans="1:17" ht="17.399999999999999">
      <c r="A25" s="575" t="s">
        <v>2666</v>
      </c>
      <c r="B25" s="574"/>
      <c r="C25" s="574"/>
      <c r="D25" s="574"/>
      <c r="E25" s="574"/>
      <c r="F25" s="574"/>
      <c r="G25" s="574"/>
    </row>
    <row r="26" spans="1:17">
      <c r="A26" s="170" t="s">
        <v>2667</v>
      </c>
      <c r="B26" s="170" t="s">
        <v>2668</v>
      </c>
      <c r="C26" s="170" t="s">
        <v>2669</v>
      </c>
      <c r="D26" s="170" t="s">
        <v>2670</v>
      </c>
      <c r="E26" s="170" t="s">
        <v>2671</v>
      </c>
      <c r="F26" s="170" t="s">
        <v>2540</v>
      </c>
      <c r="G26" s="170" t="s">
        <v>129</v>
      </c>
    </row>
    <row r="27" spans="1:17">
      <c r="A27" s="171" t="s">
        <v>2377</v>
      </c>
      <c r="B27" s="171" t="s">
        <v>2672</v>
      </c>
      <c r="C27" s="171" t="s">
        <v>592</v>
      </c>
      <c r="D27" s="171" t="s">
        <v>593</v>
      </c>
      <c r="E27" s="171" t="s">
        <v>2673</v>
      </c>
      <c r="F27" s="171" t="s">
        <v>2674</v>
      </c>
      <c r="G27" s="171" t="s">
        <v>2562</v>
      </c>
    </row>
    <row r="28" spans="1:17">
      <c r="A28" s="171" t="s">
        <v>2378</v>
      </c>
      <c r="B28" s="171" t="s">
        <v>2675</v>
      </c>
      <c r="C28" s="171" t="s">
        <v>595</v>
      </c>
      <c r="D28" s="171" t="s">
        <v>596</v>
      </c>
      <c r="E28" s="171" t="s">
        <v>2673</v>
      </c>
      <c r="F28" s="171" t="s">
        <v>2674</v>
      </c>
      <c r="G28" s="171" t="s">
        <v>2601</v>
      </c>
    </row>
    <row r="29" spans="1:17">
      <c r="A29" s="171" t="s">
        <v>2379</v>
      </c>
      <c r="B29" s="171" t="s">
        <v>2676</v>
      </c>
      <c r="C29" s="171" t="s">
        <v>598</v>
      </c>
      <c r="D29" s="171" t="s">
        <v>599</v>
      </c>
      <c r="E29" s="171" t="s">
        <v>2677</v>
      </c>
      <c r="F29" s="171" t="s">
        <v>2674</v>
      </c>
      <c r="G29" s="171" t="s">
        <v>2601</v>
      </c>
    </row>
    <row r="30" spans="1:17">
      <c r="A30" s="171" t="s">
        <v>2380</v>
      </c>
      <c r="B30" s="171" t="s">
        <v>2264</v>
      </c>
      <c r="C30" s="171" t="s">
        <v>601</v>
      </c>
      <c r="D30" s="171" t="s">
        <v>602</v>
      </c>
      <c r="E30" s="171" t="s">
        <v>2673</v>
      </c>
      <c r="F30" s="171" t="s">
        <v>2674</v>
      </c>
      <c r="G30" s="171" t="s">
        <v>2601</v>
      </c>
    </row>
    <row r="31" spans="1:17">
      <c r="A31" s="171" t="s">
        <v>2381</v>
      </c>
      <c r="B31" s="171" t="s">
        <v>2678</v>
      </c>
      <c r="C31" s="171" t="s">
        <v>610</v>
      </c>
      <c r="D31" s="171" t="s">
        <v>611</v>
      </c>
      <c r="E31" s="171" t="s">
        <v>2679</v>
      </c>
      <c r="F31" s="171" t="s">
        <v>2674</v>
      </c>
      <c r="G31" s="171" t="s">
        <v>2545</v>
      </c>
    </row>
    <row r="32" spans="1:17">
      <c r="A32" s="171" t="s">
        <v>2382</v>
      </c>
      <c r="B32" s="171" t="s">
        <v>551</v>
      </c>
      <c r="C32" s="171" t="s">
        <v>604</v>
      </c>
      <c r="D32" s="171" t="s">
        <v>605</v>
      </c>
      <c r="E32" s="171" t="s">
        <v>2679</v>
      </c>
      <c r="F32" s="171" t="s">
        <v>2674</v>
      </c>
      <c r="G32" s="171" t="s">
        <v>2545</v>
      </c>
    </row>
    <row r="33" spans="1:18">
      <c r="A33" s="171" t="s">
        <v>2383</v>
      </c>
      <c r="B33" s="171" t="s">
        <v>2680</v>
      </c>
      <c r="C33" s="171" t="s">
        <v>607</v>
      </c>
      <c r="D33" s="171" t="s">
        <v>608</v>
      </c>
      <c r="E33" s="171" t="s">
        <v>2679</v>
      </c>
      <c r="F33" s="171" t="s">
        <v>2674</v>
      </c>
      <c r="G33" s="171" t="s">
        <v>2580</v>
      </c>
    </row>
    <row r="34" spans="1:18">
      <c r="A34" s="171" t="s">
        <v>2384</v>
      </c>
      <c r="B34" s="171" t="s">
        <v>2681</v>
      </c>
      <c r="C34" s="171" t="s">
        <v>613</v>
      </c>
      <c r="D34" s="171" t="s">
        <v>614</v>
      </c>
      <c r="E34" s="171" t="s">
        <v>2679</v>
      </c>
      <c r="F34" s="171" t="s">
        <v>2674</v>
      </c>
      <c r="G34" s="171" t="s">
        <v>2580</v>
      </c>
    </row>
    <row r="37" spans="1:18" ht="17.399999999999999">
      <c r="A37" s="575" t="s">
        <v>2682</v>
      </c>
      <c r="B37" s="541"/>
      <c r="C37" s="541"/>
      <c r="D37" s="541"/>
      <c r="E37" s="541"/>
      <c r="F37" s="541"/>
      <c r="G37" s="541"/>
      <c r="H37" s="541"/>
      <c r="I37" s="541"/>
      <c r="J37" s="541"/>
      <c r="K37" s="541"/>
      <c r="L37" s="541"/>
      <c r="M37" s="541"/>
      <c r="N37" s="541"/>
      <c r="O37" s="541"/>
      <c r="P37" s="541"/>
      <c r="Q37" s="541"/>
      <c r="R37" s="541"/>
    </row>
    <row r="38" spans="1:18">
      <c r="A38" s="179" t="s">
        <v>2683</v>
      </c>
      <c r="B38" s="180" t="s">
        <v>2684</v>
      </c>
      <c r="C38" s="180" t="s">
        <v>2685</v>
      </c>
      <c r="D38" s="180" t="s">
        <v>2686</v>
      </c>
      <c r="E38" s="180" t="s">
        <v>2687</v>
      </c>
      <c r="F38" s="180" t="s">
        <v>128</v>
      </c>
      <c r="G38" s="180" t="s">
        <v>2688</v>
      </c>
      <c r="H38" s="180" t="s">
        <v>2689</v>
      </c>
      <c r="I38" s="180" t="s">
        <v>2690</v>
      </c>
      <c r="J38" s="180" t="s">
        <v>2691</v>
      </c>
      <c r="K38" s="180" t="s">
        <v>2692</v>
      </c>
      <c r="L38" s="180" t="s">
        <v>2693</v>
      </c>
      <c r="M38" s="180" t="s">
        <v>2694</v>
      </c>
      <c r="N38" s="180" t="s">
        <v>2695</v>
      </c>
      <c r="O38" s="180" t="s">
        <v>2184</v>
      </c>
      <c r="P38" s="180" t="s">
        <v>2696</v>
      </c>
      <c r="Q38" s="180" t="s">
        <v>2697</v>
      </c>
      <c r="R38" s="181" t="s">
        <v>2698</v>
      </c>
    </row>
    <row r="39" spans="1:18">
      <c r="A39" s="182" t="s">
        <v>2699</v>
      </c>
      <c r="B39" s="178" t="s">
        <v>2379</v>
      </c>
      <c r="C39" s="178" t="s">
        <v>2262</v>
      </c>
      <c r="D39" s="178">
        <v>10</v>
      </c>
      <c r="E39" s="178" t="s">
        <v>2550</v>
      </c>
      <c r="F39" s="178" t="s">
        <v>2259</v>
      </c>
      <c r="G39" s="178" t="s">
        <v>169</v>
      </c>
      <c r="H39" s="178" t="s">
        <v>2700</v>
      </c>
      <c r="I39" s="178" t="s">
        <v>2701</v>
      </c>
      <c r="J39" s="178" t="s">
        <v>2568</v>
      </c>
      <c r="K39" s="178" t="s">
        <v>2702</v>
      </c>
      <c r="L39" s="178" t="s">
        <v>2597</v>
      </c>
      <c r="M39" s="178" t="s">
        <v>2703</v>
      </c>
      <c r="N39" s="178" t="s">
        <v>2703</v>
      </c>
      <c r="O39" s="178" t="s">
        <v>2576</v>
      </c>
      <c r="P39" s="178" t="s">
        <v>2674</v>
      </c>
      <c r="Q39" s="178" t="s">
        <v>2704</v>
      </c>
      <c r="R39" s="183" t="s">
        <v>2674</v>
      </c>
    </row>
    <row r="40" spans="1:18">
      <c r="A40" s="182" t="s">
        <v>2705</v>
      </c>
      <c r="B40" s="178" t="s">
        <v>2379</v>
      </c>
      <c r="C40" s="178" t="s">
        <v>2706</v>
      </c>
      <c r="D40" s="178">
        <v>20</v>
      </c>
      <c r="E40" s="178" t="s">
        <v>2550</v>
      </c>
      <c r="F40" s="178" t="s">
        <v>2259</v>
      </c>
      <c r="G40" s="178" t="s">
        <v>169</v>
      </c>
      <c r="H40" s="178" t="s">
        <v>2700</v>
      </c>
      <c r="I40" s="178" t="s">
        <v>2707</v>
      </c>
      <c r="J40" s="178" t="s">
        <v>2568</v>
      </c>
      <c r="K40" s="178" t="s">
        <v>2708</v>
      </c>
      <c r="L40" s="178" t="s">
        <v>2597</v>
      </c>
      <c r="M40" s="178" t="s">
        <v>2709</v>
      </c>
      <c r="N40" s="178" t="s">
        <v>2710</v>
      </c>
      <c r="O40" s="178" t="s">
        <v>2711</v>
      </c>
      <c r="P40" s="178" t="s">
        <v>2674</v>
      </c>
      <c r="Q40" s="178" t="s">
        <v>2704</v>
      </c>
      <c r="R40" s="183" t="s">
        <v>2674</v>
      </c>
    </row>
    <row r="41" spans="1:18">
      <c r="A41" s="182" t="s">
        <v>2712</v>
      </c>
      <c r="B41" s="178" t="s">
        <v>2377</v>
      </c>
      <c r="C41" s="178" t="s">
        <v>2713</v>
      </c>
      <c r="D41" s="178">
        <v>10</v>
      </c>
      <c r="E41" s="178" t="s">
        <v>2550</v>
      </c>
      <c r="F41" s="178" t="s">
        <v>2250</v>
      </c>
      <c r="G41" s="178" t="s">
        <v>169</v>
      </c>
      <c r="H41" s="178" t="s">
        <v>2714</v>
      </c>
      <c r="I41" s="178" t="s">
        <v>183</v>
      </c>
      <c r="J41" s="178" t="s">
        <v>2568</v>
      </c>
      <c r="K41" s="178" t="s">
        <v>2672</v>
      </c>
      <c r="L41" s="178" t="s">
        <v>2550</v>
      </c>
      <c r="M41" s="178" t="s">
        <v>2715</v>
      </c>
      <c r="N41" s="178" t="s">
        <v>2715</v>
      </c>
      <c r="O41" s="178" t="s">
        <v>2711</v>
      </c>
      <c r="P41" s="178" t="s">
        <v>2716</v>
      </c>
      <c r="Q41" s="178" t="s">
        <v>2717</v>
      </c>
      <c r="R41" s="183" t="s">
        <v>2674</v>
      </c>
    </row>
    <row r="42" spans="1:18">
      <c r="A42" s="182" t="s">
        <v>2718</v>
      </c>
      <c r="B42" s="178" t="s">
        <v>2377</v>
      </c>
      <c r="C42" s="178" t="s">
        <v>2253</v>
      </c>
      <c r="D42" s="178">
        <v>10</v>
      </c>
      <c r="E42" s="178" t="s">
        <v>2550</v>
      </c>
      <c r="F42" s="178" t="s">
        <v>2250</v>
      </c>
      <c r="G42" s="178" t="s">
        <v>169</v>
      </c>
      <c r="H42" s="178" t="s">
        <v>2714</v>
      </c>
      <c r="I42" s="178" t="s">
        <v>145</v>
      </c>
      <c r="J42" s="178" t="s">
        <v>2568</v>
      </c>
      <c r="K42" s="178" t="s">
        <v>2672</v>
      </c>
      <c r="L42" s="178" t="s">
        <v>2550</v>
      </c>
      <c r="M42" s="178" t="s">
        <v>2715</v>
      </c>
      <c r="N42" s="178" t="s">
        <v>2715</v>
      </c>
      <c r="O42" s="178" t="s">
        <v>2711</v>
      </c>
      <c r="P42" s="178" t="s">
        <v>2716</v>
      </c>
      <c r="Q42" s="178" t="s">
        <v>2717</v>
      </c>
      <c r="R42" s="183" t="s">
        <v>2674</v>
      </c>
    </row>
    <row r="43" spans="1:18">
      <c r="A43" s="182" t="s">
        <v>2719</v>
      </c>
      <c r="B43" s="178" t="s">
        <v>2377</v>
      </c>
      <c r="C43" s="178" t="s">
        <v>2720</v>
      </c>
      <c r="D43" s="178">
        <v>10</v>
      </c>
      <c r="E43" s="178" t="s">
        <v>2550</v>
      </c>
      <c r="F43" s="178" t="s">
        <v>2255</v>
      </c>
      <c r="G43" s="178" t="s">
        <v>169</v>
      </c>
      <c r="H43" s="178" t="s">
        <v>2714</v>
      </c>
      <c r="I43" s="178" t="s">
        <v>151</v>
      </c>
      <c r="J43" s="178" t="s">
        <v>2568</v>
      </c>
      <c r="K43" s="178" t="s">
        <v>2672</v>
      </c>
      <c r="L43" s="178" t="s">
        <v>2550</v>
      </c>
      <c r="M43" s="178" t="s">
        <v>2715</v>
      </c>
      <c r="N43" s="178" t="s">
        <v>2715</v>
      </c>
      <c r="O43" s="178" t="s">
        <v>2711</v>
      </c>
      <c r="P43" s="178" t="s">
        <v>2716</v>
      </c>
      <c r="Q43" s="178" t="s">
        <v>2717</v>
      </c>
      <c r="R43" s="183" t="s">
        <v>2674</v>
      </c>
    </row>
    <row r="44" spans="1:18">
      <c r="A44" s="182" t="s">
        <v>2721</v>
      </c>
      <c r="B44" s="178" t="s">
        <v>2377</v>
      </c>
      <c r="C44" s="178" t="s">
        <v>150</v>
      </c>
      <c r="D44" s="178">
        <v>10</v>
      </c>
      <c r="E44" s="178" t="s">
        <v>2550</v>
      </c>
      <c r="F44" s="178" t="s">
        <v>2255</v>
      </c>
      <c r="G44" s="178" t="s">
        <v>169</v>
      </c>
      <c r="H44" s="178" t="s">
        <v>2714</v>
      </c>
      <c r="I44" s="178" t="s">
        <v>150</v>
      </c>
      <c r="J44" s="178" t="s">
        <v>2568</v>
      </c>
      <c r="K44" s="178" t="s">
        <v>2672</v>
      </c>
      <c r="L44" s="178" t="s">
        <v>2550</v>
      </c>
      <c r="M44" s="178" t="s">
        <v>2715</v>
      </c>
      <c r="N44" s="178" t="s">
        <v>2715</v>
      </c>
      <c r="O44" s="178" t="s">
        <v>2711</v>
      </c>
      <c r="P44" s="178" t="s">
        <v>2716</v>
      </c>
      <c r="Q44" s="178" t="s">
        <v>2717</v>
      </c>
      <c r="R44" s="183" t="s">
        <v>2674</v>
      </c>
    </row>
    <row r="45" spans="1:18">
      <c r="A45" s="182" t="s">
        <v>2722</v>
      </c>
      <c r="B45" s="178" t="s">
        <v>2377</v>
      </c>
      <c r="C45" s="178" t="s">
        <v>152</v>
      </c>
      <c r="D45" s="178">
        <v>10</v>
      </c>
      <c r="E45" s="178" t="s">
        <v>2550</v>
      </c>
      <c r="F45" s="178" t="s">
        <v>2255</v>
      </c>
      <c r="G45" s="178" t="s">
        <v>169</v>
      </c>
      <c r="H45" s="178" t="s">
        <v>2714</v>
      </c>
      <c r="I45" s="178" t="s">
        <v>152</v>
      </c>
      <c r="J45" s="178" t="s">
        <v>2568</v>
      </c>
      <c r="K45" s="178" t="s">
        <v>2672</v>
      </c>
      <c r="L45" s="178" t="s">
        <v>2550</v>
      </c>
      <c r="M45" s="178" t="s">
        <v>2715</v>
      </c>
      <c r="N45" s="178" t="s">
        <v>2715</v>
      </c>
      <c r="O45" s="178" t="s">
        <v>2711</v>
      </c>
      <c r="P45" s="178" t="s">
        <v>2716</v>
      </c>
      <c r="Q45" s="178" t="s">
        <v>2717</v>
      </c>
      <c r="R45" s="183" t="s">
        <v>2674</v>
      </c>
    </row>
    <row r="46" spans="1:18">
      <c r="A46" s="182" t="s">
        <v>2723</v>
      </c>
      <c r="B46" s="178" t="s">
        <v>2380</v>
      </c>
      <c r="C46" s="178" t="s">
        <v>2724</v>
      </c>
      <c r="D46" s="178">
        <v>10</v>
      </c>
      <c r="E46" s="178" t="s">
        <v>2550</v>
      </c>
      <c r="F46" s="178" t="s">
        <v>2264</v>
      </c>
      <c r="G46" s="178" t="s">
        <v>169</v>
      </c>
      <c r="H46" s="178" t="s">
        <v>2700</v>
      </c>
      <c r="I46" s="178" t="s">
        <v>2725</v>
      </c>
      <c r="J46" s="178" t="s">
        <v>2568</v>
      </c>
      <c r="K46" s="178" t="s">
        <v>2708</v>
      </c>
      <c r="L46" s="178" t="s">
        <v>2726</v>
      </c>
      <c r="M46" s="178" t="s">
        <v>2709</v>
      </c>
      <c r="N46" s="178" t="s">
        <v>2710</v>
      </c>
      <c r="O46" s="178" t="s">
        <v>2711</v>
      </c>
      <c r="P46" s="178" t="s">
        <v>2674</v>
      </c>
      <c r="Q46" s="178" t="s">
        <v>2704</v>
      </c>
      <c r="R46" s="183" t="s">
        <v>2674</v>
      </c>
    </row>
    <row r="47" spans="1:18">
      <c r="A47" s="182" t="s">
        <v>2727</v>
      </c>
      <c r="B47" s="178" t="s">
        <v>2377</v>
      </c>
      <c r="C47" s="178" t="s">
        <v>2352</v>
      </c>
      <c r="D47" s="178">
        <v>90</v>
      </c>
      <c r="E47" s="178" t="s">
        <v>2550</v>
      </c>
      <c r="F47" s="178" t="s">
        <v>2352</v>
      </c>
      <c r="G47" s="178" t="s">
        <v>128</v>
      </c>
      <c r="H47" s="178" t="s">
        <v>2714</v>
      </c>
      <c r="I47" s="178" t="s">
        <v>2352</v>
      </c>
      <c r="J47" s="178" t="s">
        <v>2560</v>
      </c>
      <c r="K47" s="178" t="s">
        <v>2672</v>
      </c>
      <c r="L47" s="178" t="s">
        <v>2728</v>
      </c>
      <c r="M47" s="178" t="s">
        <v>2709</v>
      </c>
      <c r="N47" s="178" t="s">
        <v>2710</v>
      </c>
      <c r="O47" s="178" t="s">
        <v>2711</v>
      </c>
      <c r="P47" s="178" t="s">
        <v>2674</v>
      </c>
      <c r="Q47" s="178" t="s">
        <v>2704</v>
      </c>
      <c r="R47" s="183" t="s">
        <v>2674</v>
      </c>
    </row>
    <row r="48" spans="1:18">
      <c r="A48" s="182" t="s">
        <v>2729</v>
      </c>
      <c r="B48" s="178" t="s">
        <v>2378</v>
      </c>
      <c r="C48" s="178" t="s">
        <v>2360</v>
      </c>
      <c r="D48" s="178">
        <v>90</v>
      </c>
      <c r="E48" s="178" t="s">
        <v>2584</v>
      </c>
      <c r="F48" s="178" t="s">
        <v>2730</v>
      </c>
      <c r="G48" s="178" t="s">
        <v>3</v>
      </c>
      <c r="H48" s="178" t="s">
        <v>2731</v>
      </c>
      <c r="I48" s="178" t="s">
        <v>2732</v>
      </c>
      <c r="J48" s="178" t="s">
        <v>2575</v>
      </c>
      <c r="K48" s="178" t="s">
        <v>2733</v>
      </c>
      <c r="L48" s="178" t="s">
        <v>2584</v>
      </c>
      <c r="M48" s="178" t="s">
        <v>2709</v>
      </c>
      <c r="N48" s="178" t="s">
        <v>2710</v>
      </c>
      <c r="O48" s="178" t="s">
        <v>2711</v>
      </c>
      <c r="P48" s="178" t="s">
        <v>2674</v>
      </c>
      <c r="Q48" s="178" t="s">
        <v>2704</v>
      </c>
      <c r="R48" s="183" t="s">
        <v>2674</v>
      </c>
    </row>
    <row r="49" spans="1:18">
      <c r="A49" s="182" t="s">
        <v>2734</v>
      </c>
      <c r="B49" s="178" t="s">
        <v>2378</v>
      </c>
      <c r="C49" s="178" t="s">
        <v>2361</v>
      </c>
      <c r="D49" s="178">
        <v>90</v>
      </c>
      <c r="E49" s="178" t="s">
        <v>2590</v>
      </c>
      <c r="F49" s="178" t="s">
        <v>1002</v>
      </c>
      <c r="G49" s="178" t="s">
        <v>3</v>
      </c>
      <c r="H49" s="178" t="s">
        <v>2731</v>
      </c>
      <c r="I49" s="178" t="s">
        <v>2732</v>
      </c>
      <c r="J49" s="178" t="s">
        <v>2550</v>
      </c>
      <c r="K49" s="178" t="s">
        <v>2733</v>
      </c>
      <c r="L49" s="178" t="s">
        <v>2590</v>
      </c>
      <c r="M49" s="178" t="s">
        <v>2709</v>
      </c>
      <c r="N49" s="178" t="s">
        <v>2710</v>
      </c>
      <c r="O49" s="178" t="s">
        <v>2711</v>
      </c>
      <c r="P49" s="178" t="s">
        <v>2674</v>
      </c>
      <c r="Q49" s="178" t="s">
        <v>2717</v>
      </c>
      <c r="R49" s="183" t="s">
        <v>2674</v>
      </c>
    </row>
    <row r="50" spans="1:18">
      <c r="A50" s="182" t="s">
        <v>2381</v>
      </c>
      <c r="B50" s="178" t="s">
        <v>2381</v>
      </c>
      <c r="C50" s="178" t="s">
        <v>2735</v>
      </c>
      <c r="D50" s="178">
        <v>100</v>
      </c>
      <c r="E50" s="178" t="s">
        <v>2615</v>
      </c>
      <c r="F50" s="178" t="s">
        <v>686</v>
      </c>
      <c r="G50" s="178" t="s">
        <v>572</v>
      </c>
      <c r="H50" s="178" t="s">
        <v>2736</v>
      </c>
      <c r="I50" s="178" t="s">
        <v>686</v>
      </c>
      <c r="J50" s="178" t="s">
        <v>2608</v>
      </c>
      <c r="K50" s="178" t="s">
        <v>2708</v>
      </c>
      <c r="L50" s="178" t="s">
        <v>2624</v>
      </c>
      <c r="M50" s="178" t="s">
        <v>2709</v>
      </c>
      <c r="N50" s="178" t="s">
        <v>2710</v>
      </c>
      <c r="O50" s="178" t="s">
        <v>2737</v>
      </c>
      <c r="P50" s="178" t="s">
        <v>2674</v>
      </c>
      <c r="Q50" s="178" t="s">
        <v>2704</v>
      </c>
      <c r="R50" s="183" t="s">
        <v>2674</v>
      </c>
    </row>
    <row r="51" spans="1:18">
      <c r="A51" s="182" t="s">
        <v>2738</v>
      </c>
      <c r="B51" s="178" t="s">
        <v>2382</v>
      </c>
      <c r="C51" s="178" t="s">
        <v>551</v>
      </c>
      <c r="D51" s="178">
        <v>100</v>
      </c>
      <c r="E51" s="178" t="s">
        <v>2615</v>
      </c>
      <c r="F51" s="178" t="s">
        <v>686</v>
      </c>
      <c r="G51" s="178" t="s">
        <v>572</v>
      </c>
      <c r="H51" s="178" t="s">
        <v>2736</v>
      </c>
      <c r="I51" s="178" t="s">
        <v>686</v>
      </c>
      <c r="J51" s="178" t="s">
        <v>2608</v>
      </c>
      <c r="K51" s="178" t="s">
        <v>2708</v>
      </c>
      <c r="L51" s="178" t="s">
        <v>2624</v>
      </c>
      <c r="M51" s="178" t="s">
        <v>2709</v>
      </c>
      <c r="N51" s="178" t="s">
        <v>2710</v>
      </c>
      <c r="O51" s="178" t="s">
        <v>2737</v>
      </c>
      <c r="P51" s="178" t="s">
        <v>2674</v>
      </c>
      <c r="Q51" s="178" t="s">
        <v>2717</v>
      </c>
      <c r="R51" s="183" t="s">
        <v>2674</v>
      </c>
    </row>
    <row r="52" spans="1:18">
      <c r="A52" s="182" t="s">
        <v>2383</v>
      </c>
      <c r="B52" s="178" t="s">
        <v>2383</v>
      </c>
      <c r="C52" s="178" t="s">
        <v>2680</v>
      </c>
      <c r="D52" s="178">
        <v>100</v>
      </c>
      <c r="E52" s="178" t="s">
        <v>2615</v>
      </c>
      <c r="F52" s="178" t="s">
        <v>686</v>
      </c>
      <c r="G52" s="178" t="s">
        <v>572</v>
      </c>
      <c r="H52" s="178" t="s">
        <v>2736</v>
      </c>
      <c r="I52" s="178" t="s">
        <v>686</v>
      </c>
      <c r="J52" s="178" t="s">
        <v>2739</v>
      </c>
      <c r="K52" s="178" t="s">
        <v>2708</v>
      </c>
      <c r="L52" s="178" t="s">
        <v>2624</v>
      </c>
      <c r="M52" s="178" t="s">
        <v>2715</v>
      </c>
      <c r="N52" s="178" t="s">
        <v>2715</v>
      </c>
      <c r="O52" s="178" t="s">
        <v>2739</v>
      </c>
      <c r="P52" s="178" t="s">
        <v>2674</v>
      </c>
      <c r="Q52" s="178" t="s">
        <v>2717</v>
      </c>
      <c r="R52" s="183" t="s">
        <v>2674</v>
      </c>
    </row>
    <row r="53" spans="1:18">
      <c r="A53" s="184" t="s">
        <v>2740</v>
      </c>
      <c r="B53" s="185" t="s">
        <v>2384</v>
      </c>
      <c r="C53" s="185" t="s">
        <v>2681</v>
      </c>
      <c r="D53" s="185">
        <v>100</v>
      </c>
      <c r="E53" s="185" t="s">
        <v>2615</v>
      </c>
      <c r="F53" s="185" t="s">
        <v>686</v>
      </c>
      <c r="G53" s="185" t="s">
        <v>572</v>
      </c>
      <c r="H53" s="185" t="s">
        <v>2736</v>
      </c>
      <c r="I53" s="185" t="s">
        <v>686</v>
      </c>
      <c r="J53" s="185" t="s">
        <v>2630</v>
      </c>
      <c r="K53" s="185" t="s">
        <v>2708</v>
      </c>
      <c r="L53" s="185" t="s">
        <v>2624</v>
      </c>
      <c r="M53" s="185" t="s">
        <v>2631</v>
      </c>
      <c r="N53" s="185" t="s">
        <v>2631</v>
      </c>
      <c r="O53" s="185" t="s">
        <v>2741</v>
      </c>
      <c r="P53" s="185" t="s">
        <v>2674</v>
      </c>
      <c r="Q53" s="185" t="s">
        <v>2717</v>
      </c>
      <c r="R53" s="186" t="s">
        <v>2674</v>
      </c>
    </row>
  </sheetData>
  <mergeCells count="4">
    <mergeCell ref="A1:R1"/>
    <mergeCell ref="A2:R2"/>
    <mergeCell ref="A25:G25"/>
    <mergeCell ref="A37:R37"/>
  </mergeCells>
  <pageMargins left="0.25" right="0.25" top="0.35" bottom="0.35" header="0.1" footer="0.1"/>
  <pageSetup paperSize="9" orientation="landscape"/>
  <tableParts count="4">
    <tablePart r:id="rId1"/>
    <tablePart r:id="rId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AZ283"/>
  <sheetViews>
    <sheetView showGridLines="0" workbookViewId="0">
      <pane ySplit="3" topLeftCell="A4" activePane="bottomLeft" state="frozen"/>
      <selection pane="bottomLeft" sqref="A1:AZ1"/>
    </sheetView>
  </sheetViews>
  <sheetFormatPr defaultRowHeight="13.8"/>
  <cols>
    <col min="1" max="1" width="13" customWidth="1"/>
    <col min="2" max="2" width="16" customWidth="1"/>
    <col min="3" max="3" width="22" customWidth="1"/>
    <col min="4" max="4" width="28" customWidth="1"/>
    <col min="5" max="5" width="16" customWidth="1"/>
    <col min="6" max="6" width="15" customWidth="1"/>
    <col min="7" max="7" width="12" customWidth="1"/>
    <col min="8" max="8" width="18" customWidth="1"/>
    <col min="9" max="9" width="28" customWidth="1"/>
    <col min="10" max="10" width="20" customWidth="1"/>
    <col min="11" max="11" width="18" customWidth="1"/>
    <col min="12" max="12" width="14" customWidth="1"/>
    <col min="13" max="13" width="12" customWidth="1"/>
    <col min="14" max="14" width="28" customWidth="1"/>
    <col min="15" max="16" width="3" customWidth="1"/>
    <col min="17" max="17" width="22" customWidth="1"/>
    <col min="18" max="18" width="12" customWidth="1"/>
    <col min="19" max="19" width="16" customWidth="1"/>
    <col min="20" max="20" width="30" customWidth="1"/>
    <col min="21" max="21" width="12" customWidth="1"/>
    <col min="22" max="22" width="10" customWidth="1"/>
    <col min="23" max="23" width="14" customWidth="1"/>
    <col min="24" max="24" width="18" customWidth="1"/>
    <col min="25" max="25" width="12" customWidth="1"/>
    <col min="26" max="26" width="34" customWidth="1"/>
    <col min="27" max="27" width="20" customWidth="1"/>
    <col min="28" max="28" width="24" customWidth="1"/>
    <col min="29" max="33" width="18" customWidth="1"/>
    <col min="34" max="36" width="14" customWidth="1"/>
    <col min="37" max="37" width="16" customWidth="1"/>
    <col min="38" max="40" width="3" customWidth="1"/>
    <col min="41" max="41" width="13" customWidth="1"/>
    <col min="42" max="42" width="12" customWidth="1"/>
    <col min="43" max="43" width="18" customWidth="1"/>
    <col min="44" max="44" width="14" customWidth="1"/>
    <col min="45" max="45" width="12" customWidth="1"/>
    <col min="46" max="46" width="16" customWidth="1"/>
    <col min="47" max="48" width="3" customWidth="1"/>
    <col min="49" max="49" width="24" customWidth="1"/>
    <col min="50" max="51" width="16" customWidth="1"/>
  </cols>
  <sheetData>
    <row r="1" spans="1:52" ht="28.8">
      <c r="A1" s="572" t="s">
        <v>2742</v>
      </c>
      <c r="B1" s="541"/>
      <c r="C1" s="541"/>
      <c r="D1" s="541"/>
      <c r="E1" s="541"/>
      <c r="F1" s="541"/>
      <c r="G1" s="541"/>
      <c r="H1" s="541"/>
      <c r="I1" s="541"/>
      <c r="J1" s="541"/>
      <c r="K1" s="541"/>
      <c r="L1" s="541"/>
      <c r="M1" s="541"/>
      <c r="N1" s="541"/>
      <c r="O1" s="541"/>
      <c r="P1" s="541"/>
      <c r="Q1" s="541"/>
      <c r="R1" s="541"/>
      <c r="S1" s="541"/>
      <c r="T1" s="541"/>
      <c r="U1" s="541"/>
      <c r="V1" s="541"/>
      <c r="W1" s="541"/>
      <c r="X1" s="541"/>
      <c r="Y1" s="541"/>
      <c r="Z1" s="541"/>
      <c r="AA1" s="541"/>
      <c r="AB1" s="541"/>
      <c r="AC1" s="541"/>
      <c r="AD1" s="541"/>
      <c r="AE1" s="541"/>
      <c r="AF1" s="541"/>
      <c r="AG1" s="541"/>
      <c r="AH1" s="541"/>
      <c r="AI1" s="541"/>
      <c r="AJ1" s="541"/>
      <c r="AK1" s="541"/>
      <c r="AL1" s="541"/>
      <c r="AM1" s="541"/>
      <c r="AN1" s="541"/>
      <c r="AO1" s="541"/>
      <c r="AP1" s="541"/>
      <c r="AQ1" s="541"/>
      <c r="AR1" s="541"/>
      <c r="AS1" s="541"/>
      <c r="AT1" s="541"/>
      <c r="AU1" s="541"/>
      <c r="AV1" s="541"/>
      <c r="AW1" s="541"/>
      <c r="AX1" s="541"/>
      <c r="AY1" s="541"/>
      <c r="AZ1" s="541"/>
    </row>
    <row r="3" spans="1:52">
      <c r="A3" s="170" t="s">
        <v>572</v>
      </c>
      <c r="B3" s="170" t="s">
        <v>2667</v>
      </c>
      <c r="C3" s="170" t="s">
        <v>2743</v>
      </c>
      <c r="D3" s="170" t="s">
        <v>2670</v>
      </c>
      <c r="E3" s="170" t="s">
        <v>2671</v>
      </c>
      <c r="F3" s="170" t="s">
        <v>2744</v>
      </c>
      <c r="G3" s="170" t="s">
        <v>2745</v>
      </c>
      <c r="H3" s="170" t="s">
        <v>2746</v>
      </c>
      <c r="I3" s="170" t="s">
        <v>2747</v>
      </c>
      <c r="J3" s="170" t="s">
        <v>129</v>
      </c>
      <c r="K3" s="170" t="s">
        <v>2748</v>
      </c>
      <c r="L3" s="170" t="s">
        <v>573</v>
      </c>
      <c r="M3" s="170" t="s">
        <v>2749</v>
      </c>
      <c r="N3" s="170" t="s">
        <v>2750</v>
      </c>
      <c r="Q3" s="170" t="s">
        <v>2751</v>
      </c>
      <c r="R3" s="170" t="s">
        <v>2752</v>
      </c>
      <c r="S3" s="170" t="s">
        <v>2537</v>
      </c>
      <c r="T3" s="170" t="s">
        <v>2753</v>
      </c>
      <c r="U3" s="170" t="s">
        <v>2754</v>
      </c>
      <c r="V3" s="170" t="s">
        <v>2755</v>
      </c>
      <c r="W3" s="170" t="s">
        <v>2756</v>
      </c>
      <c r="X3" s="170" t="s">
        <v>2757</v>
      </c>
      <c r="Y3" s="170" t="s">
        <v>573</v>
      </c>
      <c r="Z3" s="170" t="s">
        <v>2758</v>
      </c>
      <c r="AA3" s="170" t="s">
        <v>129</v>
      </c>
      <c r="AB3" s="170" t="s">
        <v>2759</v>
      </c>
      <c r="AC3" s="170" t="s">
        <v>2760</v>
      </c>
      <c r="AD3" s="170" t="s">
        <v>2746</v>
      </c>
      <c r="AE3" s="170" t="s">
        <v>2747</v>
      </c>
      <c r="AF3" s="170" t="s">
        <v>2761</v>
      </c>
      <c r="AG3" s="170" t="s">
        <v>2762</v>
      </c>
      <c r="AH3" s="170" t="s">
        <v>2763</v>
      </c>
      <c r="AI3" s="170" t="s">
        <v>2764</v>
      </c>
      <c r="AK3" s="170" t="s">
        <v>572</v>
      </c>
      <c r="AL3" s="170" t="s">
        <v>2745</v>
      </c>
      <c r="AM3" s="170" t="s">
        <v>2765</v>
      </c>
      <c r="AN3" s="170" t="s">
        <v>2540</v>
      </c>
      <c r="AO3" s="170" t="s">
        <v>2766</v>
      </c>
      <c r="AP3" s="170" t="s">
        <v>573</v>
      </c>
      <c r="AX3" s="170" t="s">
        <v>2767</v>
      </c>
      <c r="AY3" s="170" t="s">
        <v>2768</v>
      </c>
      <c r="AZ3" s="170" t="s">
        <v>2769</v>
      </c>
    </row>
    <row r="4" spans="1:52" ht="14.4">
      <c r="A4" s="164">
        <f>INDEX(DailyTrackingTable[Date],1)</f>
        <v>46215</v>
      </c>
      <c r="B4" s="159" t="str">
        <f>INDEX(K2CostCategories[Cost Category ID],1)</f>
        <v>PLANT</v>
      </c>
      <c r="C4" s="159" t="str">
        <f>INDEX(K2CostCategories[Display Name],1)</f>
        <v>Plant Equipment</v>
      </c>
      <c r="D4" s="159" t="str">
        <f>INDEX(K2CostCategories[Actual Header],1)</f>
        <v>Plant Equipment Hire Actual</v>
      </c>
      <c r="E4" s="159" t="str">
        <f>INDEX(K2CostCategories[Actual Mode],1)</f>
        <v>AUTO</v>
      </c>
      <c r="F4" s="161"/>
      <c r="G4" s="159" t="str">
        <f ca="1">IF(K2ActualCompleteness[[#This Row],[Date]]&gt;K2_ControlAsOfDate,"NOT DUE",IF(AND(K2ActualCompleteness[[#This Row],[Date]]=K2_ControlAsOfDate,MOD(NOW(),1)&lt;K2_DailyCloseTime),"OPEN","DUE"))</f>
        <v>DUE</v>
      </c>
      <c r="H4" s="159"/>
      <c r="I4" s="159"/>
      <c r="J4" s="159" t="str">
        <f>INDEX(K2CostCategories[Owner],1)</f>
        <v>Plant Coordinator</v>
      </c>
      <c r="K4" s="163"/>
      <c r="L4" s="159" t="s">
        <v>2770</v>
      </c>
      <c r="M4" s="160">
        <f ca="1">IF(K2ActualCompleteness[[#This Row],[Status]]="MISSING",MAX(0,24*(NOW()-(K2ActualCompleteness[[#This Row],[Date]]+K2_DailyCloseTime))),0)</f>
        <v>338.86016111110803</v>
      </c>
      <c r="N4" s="159" t="s">
        <v>2771</v>
      </c>
      <c r="Q4" s="171" t="s">
        <v>2772</v>
      </c>
      <c r="R4" s="173">
        <v>1</v>
      </c>
      <c r="S4" s="171" t="s">
        <v>2549</v>
      </c>
      <c r="T4" s="171" t="s">
        <v>2773</v>
      </c>
      <c r="U4" s="171" t="s">
        <v>2774</v>
      </c>
      <c r="V4" s="173">
        <v>1</v>
      </c>
      <c r="W4" s="171" t="str">
        <f>K2_RefreshStatus</f>
        <v>READY</v>
      </c>
      <c r="X4" s="171" t="s">
        <v>2775</v>
      </c>
      <c r="Y4" s="171" t="str">
        <f>IF(W4="READY","PASS","FAIL")</f>
        <v>PASS</v>
      </c>
      <c r="Z4" s="171" t="str">
        <f t="shared" ref="Z4:Z24" si="0">IF(Y4="PASS","",T4&amp;" — "&amp;X4)</f>
        <v/>
      </c>
      <c r="AA4" s="171" t="s">
        <v>2552</v>
      </c>
      <c r="AB4" s="171" t="s">
        <v>2776</v>
      </c>
      <c r="AC4" s="163">
        <f t="shared" ref="AC4:AC24" ca="1" si="1">NOW()</f>
        <v>46229.86917337963</v>
      </c>
      <c r="AD4" s="171"/>
      <c r="AE4" s="171"/>
      <c r="AF4" s="171"/>
      <c r="AG4" s="171"/>
      <c r="AH4" s="171" t="str">
        <f t="shared" ref="AH4:AH24" si="2">IF(AND(AD4="APPROVED",LEN(TRIM(AE4))&gt;0,LEN(TRIM(AF4))&gt;0,ISNUMBER(AG4)),"OVERRIDDEN",Y4)</f>
        <v>PASS</v>
      </c>
      <c r="AI4" s="173" t="str">
        <f t="shared" ref="AI4:AI24" si="3">IF(OR(AH4="PASS",AH4="OVERRIDDEN"),"",V4*1000+R4)</f>
        <v/>
      </c>
      <c r="AK4" s="164">
        <f>INDEX(DailyTrackingTable[Date],1)</f>
        <v>46215</v>
      </c>
      <c r="AL4" s="171" t="str">
        <f t="shared" ref="AL4:AL38" ca="1" si="4">IF(AK4&gt;K2_ControlAsOfDate,"NOT DUE",IF(AND(AK4=K2_ControlAsOfDate,MOD(NOW(),1)&lt;K2_DailyCloseTime),"OPEN","DUE"))</f>
        <v>DUE</v>
      </c>
      <c r="AM4" s="173">
        <f>COUNTIFS(K2ActualCompleteness[Date],AK4,K2ActualCompleteness[Status],"COMPLETE")+COUNTIFS(K2ActualCompleteness[Date],AK4,K2ActualCompleteness[Status],"APPROVED N/A")</f>
        <v>0</v>
      </c>
      <c r="AN4" s="173">
        <f t="shared" ref="AN4:AN38" ca="1" si="5">IF(AL4="DUE",K2_ActualRequiredCategories,0)</f>
        <v>8</v>
      </c>
      <c r="AO4" s="174">
        <f t="shared" ref="AO4:AO38" ca="1" si="6">IF(AN4=0,"",AM4/AN4)</f>
        <v>0</v>
      </c>
      <c r="AP4" s="171" t="str">
        <f t="shared" ref="AP4:AP38" ca="1" si="7">IF(AL4&lt;&gt;"DUE",AL4,IF(AM4=K2_ActualRequiredCategories,"COMPLETE",IF(AM4=0,"MISSING","PARTIAL")))</f>
        <v>MISSING</v>
      </c>
      <c r="AX4" s="171" t="s">
        <v>2396</v>
      </c>
      <c r="AY4" s="171">
        <v>-24422.5</v>
      </c>
      <c r="AZ4" s="171">
        <v>24422.5</v>
      </c>
    </row>
    <row r="5" spans="1:52" ht="14.4">
      <c r="A5" s="164">
        <f>INDEX(DailyTrackingTable[Date],1)</f>
        <v>46215</v>
      </c>
      <c r="B5" s="159" t="str">
        <f>INDEX(K2CostCategories[Cost Category ID],2)</f>
        <v>TOOLING</v>
      </c>
      <c r="C5" s="159" t="str">
        <f>INDEX(K2CostCategories[Display Name],2)</f>
        <v>Tooling Hire</v>
      </c>
      <c r="D5" s="159" t="str">
        <f>INDEX(K2CostCategories[Actual Header],2)</f>
        <v>Tooling Hire Actual</v>
      </c>
      <c r="E5" s="159" t="str">
        <f>INDEX(K2CostCategories[Actual Mode],2)</f>
        <v>AUTO</v>
      </c>
      <c r="F5" s="161"/>
      <c r="G5" s="159" t="str">
        <f ca="1">IF(K2ActualCompleteness[[#This Row],[Date]]&gt;K2_ControlAsOfDate,"NOT DUE",IF(AND(K2ActualCompleteness[[#This Row],[Date]]=K2_ControlAsOfDate,MOD(NOW(),1)&lt;K2_DailyCloseTime),"OPEN","DUE"))</f>
        <v>DUE</v>
      </c>
      <c r="H5" s="159"/>
      <c r="I5" s="159"/>
      <c r="J5" s="159" t="str">
        <f>INDEX(K2CostCategories[Owner],2)</f>
        <v>Toolstore Supervisor</v>
      </c>
      <c r="K5" s="163"/>
      <c r="L5" s="159" t="s">
        <v>2770</v>
      </c>
      <c r="M5" s="160">
        <f ca="1">IF(K2ActualCompleteness[[#This Row],[Status]]="MISSING",MAX(0,24*(NOW()-(K2ActualCompleteness[[#This Row],[Date]]+K2_DailyCloseTime))),0)</f>
        <v>338.86016111110803</v>
      </c>
      <c r="N5" s="159" t="s">
        <v>2777</v>
      </c>
      <c r="Q5" s="171" t="s">
        <v>2778</v>
      </c>
      <c r="R5" s="173">
        <v>2</v>
      </c>
      <c r="S5" s="171" t="s">
        <v>2549</v>
      </c>
      <c r="T5" s="171" t="s">
        <v>2779</v>
      </c>
      <c r="U5" s="171" t="s">
        <v>2774</v>
      </c>
      <c r="V5" s="173">
        <v>1</v>
      </c>
      <c r="W5" s="171">
        <f>INT(K2_LastRefresh)</f>
        <v>46229</v>
      </c>
      <c r="X5" s="171" t="s">
        <v>2780</v>
      </c>
      <c r="Y5" s="171" t="str">
        <f ca="1">IF(W5=K2_ControlAsOfDate,"PASS","FAIL")</f>
        <v>PASS</v>
      </c>
      <c r="Z5" s="171" t="str">
        <f t="shared" ca="1" si="0"/>
        <v/>
      </c>
      <c r="AA5" s="171" t="s">
        <v>2552</v>
      </c>
      <c r="AB5" s="171" t="s">
        <v>2776</v>
      </c>
      <c r="AC5" s="163">
        <f t="shared" ca="1" si="1"/>
        <v>46229.86917337963</v>
      </c>
      <c r="AD5" s="171"/>
      <c r="AE5" s="171"/>
      <c r="AF5" s="171"/>
      <c r="AG5" s="171"/>
      <c r="AH5" s="171" t="str">
        <f t="shared" ca="1" si="2"/>
        <v>PASS</v>
      </c>
      <c r="AI5" s="173" t="str">
        <f t="shared" ca="1" si="3"/>
        <v/>
      </c>
      <c r="AK5" s="164">
        <f>INDEX(DailyTrackingTable[Date],2)</f>
        <v>46216</v>
      </c>
      <c r="AL5" s="171" t="str">
        <f t="shared" ca="1" si="4"/>
        <v>DUE</v>
      </c>
      <c r="AM5" s="173">
        <f>COUNTIFS(K2ActualCompleteness[Date],AK5,K2ActualCompleteness[Status],"COMPLETE")+COUNTIFS(K2ActualCompleteness[Date],AK5,K2ActualCompleteness[Status],"APPROVED N/A")</f>
        <v>0</v>
      </c>
      <c r="AN5" s="173">
        <f t="shared" ca="1" si="5"/>
        <v>8</v>
      </c>
      <c r="AO5" s="174">
        <f t="shared" ca="1" si="6"/>
        <v>0</v>
      </c>
      <c r="AP5" s="171" t="str">
        <f t="shared" ca="1" si="7"/>
        <v>MISSING</v>
      </c>
      <c r="AX5" s="171" t="s">
        <v>2397</v>
      </c>
      <c r="AY5" s="171">
        <v>-22055.87</v>
      </c>
      <c r="AZ5" s="171">
        <v>22055.87</v>
      </c>
    </row>
    <row r="6" spans="1:52" ht="14.4">
      <c r="A6" s="164">
        <f>INDEX(DailyTrackingTable[Date],1)</f>
        <v>46215</v>
      </c>
      <c r="B6" s="159" t="str">
        <f>INDEX(K2CostCategories[Cost Category ID],3)</f>
        <v>RADIO</v>
      </c>
      <c r="C6" s="159" t="str">
        <f>INDEX(K2CostCategories[Display Name],3)</f>
        <v>Radio Family</v>
      </c>
      <c r="D6" s="159" t="str">
        <f>INDEX(K2CostCategories[Actual Header],3)</f>
        <v>Radio Hire Actual</v>
      </c>
      <c r="E6" s="159" t="str">
        <f>INDEX(K2CostCategories[Actual Mode],3)</f>
        <v>AUTO_COMBINED</v>
      </c>
      <c r="F6" s="161"/>
      <c r="G6" s="159" t="str">
        <f ca="1">IF(K2ActualCompleteness[[#This Row],[Date]]&gt;K2_ControlAsOfDate,"NOT DUE",IF(AND(K2ActualCompleteness[[#This Row],[Date]]=K2_ControlAsOfDate,MOD(NOW(),1)&lt;K2_DailyCloseTime),"OPEN","DUE"))</f>
        <v>DUE</v>
      </c>
      <c r="H6" s="159"/>
      <c r="I6" s="159"/>
      <c r="J6" s="159" t="str">
        <f>INDEX(K2CostCategories[Owner],3)</f>
        <v>Toolstore Supervisor</v>
      </c>
      <c r="K6" s="163"/>
      <c r="L6" s="159" t="s">
        <v>2770</v>
      </c>
      <c r="M6" s="160">
        <f ca="1">IF(K2ActualCompleteness[[#This Row],[Status]]="MISSING",MAX(0,24*(NOW()-(K2ActualCompleteness[[#This Row],[Date]]+K2_DailyCloseTime))),0)</f>
        <v>338.86016111110803</v>
      </c>
      <c r="N6" s="159" t="s">
        <v>2781</v>
      </c>
      <c r="Q6" s="171" t="s">
        <v>2782</v>
      </c>
      <c r="R6" s="173">
        <v>3</v>
      </c>
      <c r="S6" s="171" t="s">
        <v>2549</v>
      </c>
      <c r="T6" s="171" t="s">
        <v>2783</v>
      </c>
      <c r="U6" s="171" t="s">
        <v>2774</v>
      </c>
      <c r="V6" s="173">
        <v>1</v>
      </c>
      <c r="W6" s="171" t="str">
        <f>IF('Control Config'!B23="","BLANK","CONFIGURED")</f>
        <v>CONFIGURED</v>
      </c>
      <c r="X6" s="171" t="s">
        <v>2784</v>
      </c>
      <c r="Y6" s="171" t="str">
        <f>IF(W6="CONFIGURED","PASS","FAIL")</f>
        <v>PASS</v>
      </c>
      <c r="Z6" s="171" t="str">
        <f t="shared" si="0"/>
        <v/>
      </c>
      <c r="AA6" s="171" t="s">
        <v>2552</v>
      </c>
      <c r="AB6" s="171" t="s">
        <v>2785</v>
      </c>
      <c r="AC6" s="163">
        <f t="shared" ca="1" si="1"/>
        <v>46229.86917337963</v>
      </c>
      <c r="AD6" s="171"/>
      <c r="AE6" s="171"/>
      <c r="AF6" s="171"/>
      <c r="AG6" s="171"/>
      <c r="AH6" s="171" t="str">
        <f t="shared" si="2"/>
        <v>PASS</v>
      </c>
      <c r="AI6" s="173" t="str">
        <f t="shared" si="3"/>
        <v/>
      </c>
      <c r="AK6" s="164">
        <f>INDEX(DailyTrackingTable[Date],3)</f>
        <v>46217</v>
      </c>
      <c r="AL6" s="171" t="str">
        <f t="shared" ca="1" si="4"/>
        <v>DUE</v>
      </c>
      <c r="AM6" s="173">
        <f>COUNTIFS(K2ActualCompleteness[Date],AK6,K2ActualCompleteness[Status],"COMPLETE")+COUNTIFS(K2ActualCompleteness[Date],AK6,K2ActualCompleteness[Status],"APPROVED N/A")</f>
        <v>0</v>
      </c>
      <c r="AN6" s="173">
        <f t="shared" ca="1" si="5"/>
        <v>8</v>
      </c>
      <c r="AO6" s="174">
        <f t="shared" ca="1" si="6"/>
        <v>0</v>
      </c>
      <c r="AP6" s="171" t="str">
        <f t="shared" ca="1" si="7"/>
        <v>MISSING</v>
      </c>
      <c r="AX6" s="171" t="s">
        <v>2398</v>
      </c>
      <c r="AY6" s="171">
        <v>-8969.7999999999993</v>
      </c>
      <c r="AZ6" s="171">
        <v>8969.7999999999993</v>
      </c>
    </row>
    <row r="7" spans="1:52" ht="14.4">
      <c r="A7" s="164">
        <f>INDEX(DailyTrackingTable[Date],1)</f>
        <v>46215</v>
      </c>
      <c r="B7" s="159" t="str">
        <f>INDEX(K2CostCategories[Cost Category ID],4)</f>
        <v>GAS</v>
      </c>
      <c r="C7" s="159" t="str">
        <f>INDEX(K2CostCategories[Display Name],4)</f>
        <v>Gas Monitors</v>
      </c>
      <c r="D7" s="159" t="str">
        <f>INDEX(K2CostCategories[Actual Header],4)</f>
        <v>Gas Monitor Hire Actual</v>
      </c>
      <c r="E7" s="159" t="str">
        <f>INDEX(K2CostCategories[Actual Mode],4)</f>
        <v>AUTO</v>
      </c>
      <c r="F7" s="161"/>
      <c r="G7" s="159" t="str">
        <f ca="1">IF(K2ActualCompleteness[[#This Row],[Date]]&gt;K2_ControlAsOfDate,"NOT DUE",IF(AND(K2ActualCompleteness[[#This Row],[Date]]=K2_ControlAsOfDate,MOD(NOW(),1)&lt;K2_DailyCloseTime),"OPEN","DUE"))</f>
        <v>DUE</v>
      </c>
      <c r="H7" s="159"/>
      <c r="I7" s="159"/>
      <c r="J7" s="159" t="str">
        <f>INDEX(K2CostCategories[Owner],4)</f>
        <v>Toolstore Supervisor</v>
      </c>
      <c r="K7" s="163"/>
      <c r="L7" s="159" t="s">
        <v>2770</v>
      </c>
      <c r="M7" s="160">
        <f ca="1">IF(K2ActualCompleteness[[#This Row],[Status]]="MISSING",MAX(0,24*(NOW()-(K2ActualCompleteness[[#This Row],[Date]]+K2_DailyCloseTime))),0)</f>
        <v>338.86016111110803</v>
      </c>
      <c r="N7" s="159" t="s">
        <v>2786</v>
      </c>
      <c r="Q7" s="171" t="s">
        <v>2787</v>
      </c>
      <c r="R7" s="173">
        <v>4</v>
      </c>
      <c r="S7" s="171" t="s">
        <v>2549</v>
      </c>
      <c r="T7" s="171" t="s">
        <v>2788</v>
      </c>
      <c r="U7" s="171" t="s">
        <v>2774</v>
      </c>
      <c r="V7" s="173">
        <v>1</v>
      </c>
      <c r="W7" s="171">
        <f>K2_QueryErrorCount</f>
        <v>0</v>
      </c>
      <c r="X7" s="171" t="s">
        <v>2789</v>
      </c>
      <c r="Y7" s="171" t="str">
        <f>IF(W7=0,"PASS","FAIL")</f>
        <v>PASS</v>
      </c>
      <c r="Z7" s="171" t="str">
        <f t="shared" si="0"/>
        <v/>
      </c>
      <c r="AA7" s="171" t="s">
        <v>2552</v>
      </c>
      <c r="AB7" s="171" t="s">
        <v>2790</v>
      </c>
      <c r="AC7" s="163">
        <f t="shared" ca="1" si="1"/>
        <v>46229.86917337963</v>
      </c>
      <c r="AD7" s="171"/>
      <c r="AE7" s="171"/>
      <c r="AF7" s="171"/>
      <c r="AG7" s="171"/>
      <c r="AH7" s="171" t="str">
        <f t="shared" si="2"/>
        <v>PASS</v>
      </c>
      <c r="AI7" s="173" t="str">
        <f t="shared" si="3"/>
        <v/>
      </c>
      <c r="AK7" s="164">
        <f>INDEX(DailyTrackingTable[Date],4)</f>
        <v>46218</v>
      </c>
      <c r="AL7" s="171" t="str">
        <f t="shared" ca="1" si="4"/>
        <v>DUE</v>
      </c>
      <c r="AM7" s="173">
        <f>COUNTIFS(K2ActualCompleteness[Date],AK7,K2ActualCompleteness[Status],"COMPLETE")+COUNTIFS(K2ActualCompleteness[Date],AK7,K2ActualCompleteness[Status],"APPROVED N/A")</f>
        <v>0</v>
      </c>
      <c r="AN7" s="173">
        <f t="shared" ca="1" si="5"/>
        <v>8</v>
      </c>
      <c r="AO7" s="174">
        <f t="shared" ca="1" si="6"/>
        <v>0</v>
      </c>
      <c r="AP7" s="171" t="str">
        <f t="shared" ca="1" si="7"/>
        <v>MISSING</v>
      </c>
      <c r="AX7" s="171" t="s">
        <v>2399</v>
      </c>
      <c r="AY7" s="171">
        <v>-14759.25</v>
      </c>
      <c r="AZ7" s="171">
        <v>14759.25</v>
      </c>
    </row>
    <row r="8" spans="1:52" ht="14.4">
      <c r="A8" s="164">
        <f>INDEX(DailyTrackingTable[Date],1)</f>
        <v>46215</v>
      </c>
      <c r="B8" s="159" t="str">
        <f>INDEX(K2CostCategories[Cost Category ID],5)</f>
        <v>LABOUR</v>
      </c>
      <c r="C8" s="159" t="str">
        <f>INDEX(K2CostCategories[Display Name],5)</f>
        <v>Personnel / Labour</v>
      </c>
      <c r="D8" s="159" t="str">
        <f>INDEX(K2CostCategories[Actual Header],5)</f>
        <v>Personnel / Labour Actual</v>
      </c>
      <c r="E8" s="159" t="str">
        <f>INDEX(K2CostCategories[Actual Mode],5)</f>
        <v>MANUAL</v>
      </c>
      <c r="F8" s="161"/>
      <c r="G8" s="159" t="str">
        <f ca="1">IF(K2ActualCompleteness[[#This Row],[Date]]&gt;K2_ControlAsOfDate,"NOT DUE",IF(AND(K2ActualCompleteness[[#This Row],[Date]]=K2_ControlAsOfDate,MOD(NOW(),1)&lt;K2_DailyCloseTime),"OPEN","DUE"))</f>
        <v>DUE</v>
      </c>
      <c r="H8" s="159"/>
      <c r="I8" s="159"/>
      <c r="J8" s="159" t="str">
        <f>INDEX(K2CostCategories[Owner],5)</f>
        <v>Shutdown Manager</v>
      </c>
      <c r="K8" s="163"/>
      <c r="L8" s="159" t="s">
        <v>2770</v>
      </c>
      <c r="M8" s="160">
        <f ca="1">IF(K2ActualCompleteness[[#This Row],[Status]]="MISSING",MAX(0,24*(NOW()-(K2ActualCompleteness[[#This Row],[Date]]+K2_DailyCloseTime))),0)</f>
        <v>338.86016111110803</v>
      </c>
      <c r="N8" s="159" t="s">
        <v>2791</v>
      </c>
      <c r="Q8" s="171" t="s">
        <v>2792</v>
      </c>
      <c r="R8" s="173">
        <v>5</v>
      </c>
      <c r="S8" s="171" t="s">
        <v>2574</v>
      </c>
      <c r="T8" s="171" t="s">
        <v>2793</v>
      </c>
      <c r="U8" s="171" t="s">
        <v>2794</v>
      </c>
      <c r="V8" s="173">
        <v>2</v>
      </c>
      <c r="W8" s="171">
        <f>ABS(K2_ModelGap)</f>
        <v>0</v>
      </c>
      <c r="X8" s="171" t="s">
        <v>2795</v>
      </c>
      <c r="Y8" s="171" t="str">
        <f>IF(W8&lt;=K2_ModelGapTolerance,"PASS","FAIL")</f>
        <v>PASS</v>
      </c>
      <c r="Z8" s="171" t="str">
        <f t="shared" si="0"/>
        <v/>
      </c>
      <c r="AA8" s="171" t="s">
        <v>2580</v>
      </c>
      <c r="AB8" s="171" t="s">
        <v>2776</v>
      </c>
      <c r="AC8" s="163">
        <f t="shared" ca="1" si="1"/>
        <v>46229.86917337963</v>
      </c>
      <c r="AD8" s="171"/>
      <c r="AE8" s="171"/>
      <c r="AF8" s="171"/>
      <c r="AG8" s="171"/>
      <c r="AH8" s="171" t="str">
        <f t="shared" si="2"/>
        <v>PASS</v>
      </c>
      <c r="AI8" s="173" t="str">
        <f t="shared" si="3"/>
        <v/>
      </c>
      <c r="AK8" s="164">
        <f>INDEX(DailyTrackingTable[Date],5)</f>
        <v>46219</v>
      </c>
      <c r="AL8" s="171" t="str">
        <f t="shared" ca="1" si="4"/>
        <v>DUE</v>
      </c>
      <c r="AM8" s="173">
        <f>COUNTIFS(K2ActualCompleteness[Date],AK8,K2ActualCompleteness[Status],"COMPLETE")+COUNTIFS(K2ActualCompleteness[Date],AK8,K2ActualCompleteness[Status],"APPROVED N/A")</f>
        <v>0</v>
      </c>
      <c r="AN8" s="173">
        <f t="shared" ca="1" si="5"/>
        <v>8</v>
      </c>
      <c r="AO8" s="174">
        <f t="shared" ca="1" si="6"/>
        <v>0</v>
      </c>
      <c r="AP8" s="171" t="str">
        <f t="shared" ca="1" si="7"/>
        <v>MISSING</v>
      </c>
      <c r="AX8" s="171" t="s">
        <v>2400</v>
      </c>
      <c r="AY8" s="171">
        <v>-1830</v>
      </c>
      <c r="AZ8" s="171">
        <v>1830</v>
      </c>
    </row>
    <row r="9" spans="1:52" ht="14.4">
      <c r="A9" s="164">
        <f>INDEX(DailyTrackingTable[Date],1)</f>
        <v>46215</v>
      </c>
      <c r="B9" s="159" t="str">
        <f>INDEX(K2CostCategories[Cost Category ID],6)</f>
        <v>ACCOM</v>
      </c>
      <c r="C9" s="159" t="str">
        <f>INDEX(K2CostCategories[Display Name],6)</f>
        <v>Accommodation</v>
      </c>
      <c r="D9" s="159" t="str">
        <f>INDEX(K2CostCategories[Actual Header],6)</f>
        <v>Accommodation Actual</v>
      </c>
      <c r="E9" s="159" t="str">
        <f>INDEX(K2CostCategories[Actual Mode],6)</f>
        <v>MANUAL</v>
      </c>
      <c r="F9" s="161"/>
      <c r="G9" s="159" t="str">
        <f ca="1">IF(K2ActualCompleteness[[#This Row],[Date]]&gt;K2_ControlAsOfDate,"NOT DUE",IF(AND(K2ActualCompleteness[[#This Row],[Date]]=K2_ControlAsOfDate,MOD(NOW(),1)&lt;K2_DailyCloseTime),"OPEN","DUE"))</f>
        <v>DUE</v>
      </c>
      <c r="H9" s="159"/>
      <c r="I9" s="159"/>
      <c r="J9" s="159" t="str">
        <f>INDEX(K2CostCategories[Owner],6)</f>
        <v>Shutdown Manager</v>
      </c>
      <c r="K9" s="163"/>
      <c r="L9" s="159" t="s">
        <v>2770</v>
      </c>
      <c r="M9" s="160">
        <f ca="1">IF(K2ActualCompleteness[[#This Row],[Status]]="MISSING",MAX(0,24*(NOW()-(K2ActualCompleteness[[#This Row],[Date]]+K2_DailyCloseTime))),0)</f>
        <v>338.86016111110803</v>
      </c>
      <c r="N9" s="159" t="s">
        <v>2796</v>
      </c>
      <c r="Q9" s="171" t="s">
        <v>2797</v>
      </c>
      <c r="R9" s="173">
        <v>6</v>
      </c>
      <c r="S9" s="171" t="s">
        <v>2798</v>
      </c>
      <c r="T9" s="171" t="s">
        <v>2799</v>
      </c>
      <c r="U9" s="171" t="s">
        <v>2774</v>
      </c>
      <c r="V9" s="173">
        <v>1</v>
      </c>
      <c r="W9" s="171">
        <f>COUNTIF(K2ActualCompleteness[Status],"MISSING")</f>
        <v>40</v>
      </c>
      <c r="X9" s="171" t="s">
        <v>2800</v>
      </c>
      <c r="Y9" s="171" t="str">
        <f t="shared" ref="Y9:Y17" si="8">IF(W9=0,"PASS","FAIL")</f>
        <v>FAIL</v>
      </c>
      <c r="Z9" s="171" t="str">
        <f t="shared" si="0"/>
        <v>Closed-date actual inputs — Zero missing category-days</v>
      </c>
      <c r="AA9" s="171" t="s">
        <v>2616</v>
      </c>
      <c r="AB9" s="171" t="s">
        <v>2801</v>
      </c>
      <c r="AC9" s="163">
        <f t="shared" ca="1" si="1"/>
        <v>46229.86917337963</v>
      </c>
      <c r="AD9" s="171"/>
      <c r="AE9" s="171"/>
      <c r="AF9" s="171"/>
      <c r="AG9" s="171"/>
      <c r="AH9" s="171" t="str">
        <f t="shared" si="2"/>
        <v>FAIL</v>
      </c>
      <c r="AI9" s="173">
        <f t="shared" si="3"/>
        <v>1006</v>
      </c>
      <c r="AK9" s="164">
        <f>INDEX(DailyTrackingTable[Date],6)</f>
        <v>46220</v>
      </c>
      <c r="AL9" s="171" t="str">
        <f t="shared" ca="1" si="4"/>
        <v>DUE</v>
      </c>
      <c r="AM9" s="173">
        <f>COUNTIFS(K2ActualCompleteness[Date],AK9,K2ActualCompleteness[Status],"COMPLETE")+COUNTIFS(K2ActualCompleteness[Date],AK9,K2ActualCompleteness[Status],"APPROVED N/A")</f>
        <v>0</v>
      </c>
      <c r="AN9" s="173">
        <f t="shared" ca="1" si="5"/>
        <v>8</v>
      </c>
      <c r="AO9" s="174">
        <f t="shared" ca="1" si="6"/>
        <v>0</v>
      </c>
      <c r="AP9" s="171" t="str">
        <f t="shared" ca="1" si="7"/>
        <v>MISSING</v>
      </c>
      <c r="AX9" s="171" t="s">
        <v>2401</v>
      </c>
      <c r="AY9" s="171">
        <v>0</v>
      </c>
      <c r="AZ9" s="171">
        <v>5035.8500000000004</v>
      </c>
    </row>
    <row r="10" spans="1:52" ht="14.4">
      <c r="A10" s="164">
        <f>INDEX(DailyTrackingTable[Date],1)</f>
        <v>46215</v>
      </c>
      <c r="B10" s="159" t="str">
        <f>INDEX(K2CostCategories[Cost Category ID],7)</f>
        <v>TRANSPORT</v>
      </c>
      <c r="C10" s="159" t="str">
        <f>INDEX(K2CostCategories[Display Name],7)</f>
        <v>Transport</v>
      </c>
      <c r="D10" s="159" t="str">
        <f>INDEX(K2CostCategories[Actual Header],7)</f>
        <v>Transport Actual</v>
      </c>
      <c r="E10" s="159" t="str">
        <f>INDEX(K2CostCategories[Actual Mode],7)</f>
        <v>MANUAL</v>
      </c>
      <c r="F10" s="161"/>
      <c r="G10" s="159" t="str">
        <f ca="1">IF(K2ActualCompleteness[[#This Row],[Date]]&gt;K2_ControlAsOfDate,"NOT DUE",IF(AND(K2ActualCompleteness[[#This Row],[Date]]=K2_ControlAsOfDate,MOD(NOW(),1)&lt;K2_DailyCloseTime),"OPEN","DUE"))</f>
        <v>DUE</v>
      </c>
      <c r="H10" s="159"/>
      <c r="I10" s="159"/>
      <c r="J10" s="159" t="str">
        <f>INDEX(K2CostCategories[Owner],7)</f>
        <v>Commercial Manager</v>
      </c>
      <c r="K10" s="163"/>
      <c r="L10" s="159" t="s">
        <v>2770</v>
      </c>
      <c r="M10" s="160">
        <f ca="1">IF(K2ActualCompleteness[[#This Row],[Status]]="MISSING",MAX(0,24*(NOW()-(K2ActualCompleteness[[#This Row],[Date]]+K2_DailyCloseTime))),0)</f>
        <v>338.86016111110803</v>
      </c>
      <c r="N10" s="159" t="s">
        <v>2802</v>
      </c>
      <c r="Q10" s="171" t="s">
        <v>2803</v>
      </c>
      <c r="R10" s="173">
        <v>7</v>
      </c>
      <c r="S10" s="171" t="s">
        <v>2798</v>
      </c>
      <c r="T10" s="171" t="s">
        <v>2804</v>
      </c>
      <c r="U10" s="171" t="s">
        <v>2774</v>
      </c>
      <c r="V10" s="173">
        <v>1</v>
      </c>
      <c r="W10" s="171">
        <f ca="1">COUNTIF(K2DailyCompleteness[Status],"PARTIAL")</f>
        <v>0</v>
      </c>
      <c r="X10" s="171" t="s">
        <v>2805</v>
      </c>
      <c r="Y10" s="171" t="str">
        <f t="shared" ca="1" si="8"/>
        <v>PASS</v>
      </c>
      <c r="Z10" s="171" t="str">
        <f t="shared" ca="1" si="0"/>
        <v/>
      </c>
      <c r="AA10" s="171" t="s">
        <v>2616</v>
      </c>
      <c r="AB10" s="171" t="s">
        <v>2806</v>
      </c>
      <c r="AC10" s="163">
        <f t="shared" ca="1" si="1"/>
        <v>46229.86917337963</v>
      </c>
      <c r="AD10" s="171"/>
      <c r="AE10" s="171"/>
      <c r="AF10" s="171"/>
      <c r="AG10" s="171"/>
      <c r="AH10" s="171" t="str">
        <f t="shared" ca="1" si="2"/>
        <v>PASS</v>
      </c>
      <c r="AI10" s="173" t="str">
        <f t="shared" ca="1" si="3"/>
        <v/>
      </c>
      <c r="AK10" s="164">
        <f>INDEX(DailyTrackingTable[Date],7)</f>
        <v>46221</v>
      </c>
      <c r="AL10" s="171" t="str">
        <f t="shared" ca="1" si="4"/>
        <v>DUE</v>
      </c>
      <c r="AM10" s="173">
        <f>COUNTIFS(K2ActualCompleteness[Date],AK10,K2ActualCompleteness[Status],"COMPLETE")+COUNTIFS(K2ActualCompleteness[Date],AK10,K2ActualCompleteness[Status],"APPROVED N/A")</f>
        <v>0</v>
      </c>
      <c r="AN10" s="173">
        <f t="shared" ca="1" si="5"/>
        <v>8</v>
      </c>
      <c r="AO10" s="174">
        <f t="shared" ca="1" si="6"/>
        <v>0</v>
      </c>
      <c r="AP10" s="171" t="str">
        <f t="shared" ca="1" si="7"/>
        <v>MISSING</v>
      </c>
      <c r="AX10" s="171" t="s">
        <v>2402</v>
      </c>
      <c r="AY10" s="171">
        <v>0</v>
      </c>
      <c r="AZ10" s="171">
        <v>3629.64</v>
      </c>
    </row>
    <row r="11" spans="1:52" ht="14.4">
      <c r="A11" s="164">
        <f>INDEX(DailyTrackingTable[Date],1)</f>
        <v>46215</v>
      </c>
      <c r="B11" s="159" t="str">
        <f>INDEX(K2CostCategories[Cost Category ID],8)</f>
        <v>DAMAGE</v>
      </c>
      <c r="C11" s="159" t="str">
        <f>INDEX(K2CostCategories[Display Name],8)</f>
        <v>Damage Recovery</v>
      </c>
      <c r="D11" s="159" t="str">
        <f>INDEX(K2CostCategories[Actual Header],8)</f>
        <v>Damage Recovery Actual</v>
      </c>
      <c r="E11" s="159" t="str">
        <f>INDEX(K2CostCategories[Actual Mode],8)</f>
        <v>MANUAL</v>
      </c>
      <c r="F11" s="161"/>
      <c r="G11" s="159" t="str">
        <f ca="1">IF(K2ActualCompleteness[[#This Row],[Date]]&gt;K2_ControlAsOfDate,"NOT DUE",IF(AND(K2ActualCompleteness[[#This Row],[Date]]=K2_ControlAsOfDate,MOD(NOW(),1)&lt;K2_DailyCloseTime),"OPEN","DUE"))</f>
        <v>DUE</v>
      </c>
      <c r="H11" s="159"/>
      <c r="I11" s="159"/>
      <c r="J11" s="159" t="str">
        <f>INDEX(K2CostCategories[Owner],8)</f>
        <v>Commercial Manager</v>
      </c>
      <c r="K11" s="163"/>
      <c r="L11" s="159" t="s">
        <v>2770</v>
      </c>
      <c r="M11" s="160">
        <f ca="1">IF(K2ActualCompleteness[[#This Row],[Status]]="MISSING",MAX(0,24*(NOW()-(K2ActualCompleteness[[#This Row],[Date]]+K2_DailyCloseTime))),0)</f>
        <v>338.86016111110803</v>
      </c>
      <c r="N11" s="159" t="s">
        <v>2807</v>
      </c>
      <c r="Q11" s="171" t="s">
        <v>2808</v>
      </c>
      <c r="R11" s="173">
        <v>8</v>
      </c>
      <c r="S11" s="171" t="s">
        <v>2809</v>
      </c>
      <c r="T11" s="171" t="s">
        <v>2810</v>
      </c>
      <c r="U11" s="171" t="s">
        <v>2794</v>
      </c>
      <c r="V11" s="173">
        <v>2</v>
      </c>
      <c r="W11" s="171">
        <f>ABS(INDEX(K2QuantityReconciliation[Difference],MATCH("RADIO_HANDSET",K2QuantityReconciliation[Class ID],0)))</f>
        <v>0</v>
      </c>
      <c r="X11" s="171" t="s">
        <v>2811</v>
      </c>
      <c r="Y11" s="171" t="str">
        <f t="shared" si="8"/>
        <v>PASS</v>
      </c>
      <c r="Z11" s="171" t="str">
        <f t="shared" si="0"/>
        <v/>
      </c>
      <c r="AA11" s="171" t="s">
        <v>2552</v>
      </c>
      <c r="AB11" s="171" t="s">
        <v>2812</v>
      </c>
      <c r="AC11" s="163">
        <f t="shared" ca="1" si="1"/>
        <v>46229.86917337963</v>
      </c>
      <c r="AD11" s="171"/>
      <c r="AE11" s="171"/>
      <c r="AF11" s="171"/>
      <c r="AG11" s="171"/>
      <c r="AH11" s="171" t="str">
        <f t="shared" si="2"/>
        <v>PASS</v>
      </c>
      <c r="AI11" s="173" t="str">
        <f t="shared" si="3"/>
        <v/>
      </c>
      <c r="AK11" s="164">
        <f>INDEX(DailyTrackingTable[Date],8)</f>
        <v>46222</v>
      </c>
      <c r="AL11" s="171" t="str">
        <f t="shared" ca="1" si="4"/>
        <v>DUE</v>
      </c>
      <c r="AM11" s="173">
        <f>COUNTIFS(K2ActualCompleteness[Date],AK11,K2ActualCompleteness[Status],"COMPLETE")+COUNTIFS(K2ActualCompleteness[Date],AK11,K2ActualCompleteness[Status],"APPROVED N/A")</f>
        <v>0</v>
      </c>
      <c r="AN11" s="173">
        <f t="shared" ca="1" si="5"/>
        <v>8</v>
      </c>
      <c r="AO11" s="174">
        <f t="shared" ca="1" si="6"/>
        <v>0</v>
      </c>
      <c r="AP11" s="171" t="str">
        <f t="shared" ca="1" si="7"/>
        <v>MISSING</v>
      </c>
    </row>
    <row r="12" spans="1:52" ht="14.4">
      <c r="A12" s="164">
        <f>INDEX(DailyTrackingTable[Date],2)</f>
        <v>46216</v>
      </c>
      <c r="B12" s="159" t="str">
        <f>INDEX(K2CostCategories[Cost Category ID],1)</f>
        <v>PLANT</v>
      </c>
      <c r="C12" s="159" t="str">
        <f>INDEX(K2CostCategories[Display Name],1)</f>
        <v>Plant Equipment</v>
      </c>
      <c r="D12" s="159" t="str">
        <f>INDEX(K2CostCategories[Actual Header],1)</f>
        <v>Plant Equipment Hire Actual</v>
      </c>
      <c r="E12" s="159" t="str">
        <f>INDEX(K2CostCategories[Actual Mode],1)</f>
        <v>AUTO</v>
      </c>
      <c r="F12" s="161"/>
      <c r="G12" s="159" t="str">
        <f ca="1">IF(K2ActualCompleteness[[#This Row],[Date]]&gt;K2_ControlAsOfDate,"NOT DUE",IF(AND(K2ActualCompleteness[[#This Row],[Date]]=K2_ControlAsOfDate,MOD(NOW(),1)&lt;K2_DailyCloseTime),"OPEN","DUE"))</f>
        <v>DUE</v>
      </c>
      <c r="H12" s="159"/>
      <c r="I12" s="159"/>
      <c r="J12" s="159" t="str">
        <f>INDEX(K2CostCategories[Owner],1)</f>
        <v>Plant Coordinator</v>
      </c>
      <c r="K12" s="163"/>
      <c r="L12" s="159" t="s">
        <v>2770</v>
      </c>
      <c r="M12" s="160">
        <f ca="1">IF(K2ActualCompleteness[[#This Row],[Status]]="MISSING",MAX(0,24*(NOW()-(K2ActualCompleteness[[#This Row],[Date]]+K2_DailyCloseTime))),0)</f>
        <v>314.86016111110803</v>
      </c>
      <c r="N12" s="159" t="s">
        <v>2813</v>
      </c>
      <c r="Q12" s="171" t="s">
        <v>2814</v>
      </c>
      <c r="R12" s="173">
        <v>9</v>
      </c>
      <c r="S12" s="171" t="s">
        <v>2809</v>
      </c>
      <c r="T12" s="171" t="s">
        <v>2815</v>
      </c>
      <c r="U12" s="171" t="s">
        <v>2774</v>
      </c>
      <c r="V12" s="173">
        <v>1</v>
      </c>
      <c r="W12" s="171">
        <f>ABS(INDEX(K2QuantityReconciliation[Difference],MATCH("RADIO_BATTERY",K2QuantityReconciliation[Class ID],0)))</f>
        <v>104</v>
      </c>
      <c r="X12" s="171" t="s">
        <v>2811</v>
      </c>
      <c r="Y12" s="171" t="str">
        <f t="shared" si="8"/>
        <v>FAIL</v>
      </c>
      <c r="Z12" s="171" t="str">
        <f t="shared" si="0"/>
        <v>Radio battery quantity — Planned equals live</v>
      </c>
      <c r="AA12" s="171" t="s">
        <v>2552</v>
      </c>
      <c r="AB12" s="171" t="s">
        <v>2812</v>
      </c>
      <c r="AC12" s="163">
        <f t="shared" ca="1" si="1"/>
        <v>46229.86917337963</v>
      </c>
      <c r="AD12" s="171"/>
      <c r="AE12" s="171"/>
      <c r="AF12" s="171"/>
      <c r="AG12" s="171"/>
      <c r="AH12" s="171" t="str">
        <f t="shared" si="2"/>
        <v>FAIL</v>
      </c>
      <c r="AI12" s="173">
        <f t="shared" si="3"/>
        <v>1009</v>
      </c>
      <c r="AK12" s="164">
        <f>INDEX(DailyTrackingTable[Date],9)</f>
        <v>46223</v>
      </c>
      <c r="AL12" s="171" t="str">
        <f t="shared" ca="1" si="4"/>
        <v>DUE</v>
      </c>
      <c r="AM12" s="173">
        <f>COUNTIFS(K2ActualCompleteness[Date],AK12,K2ActualCompleteness[Status],"COMPLETE")+COUNTIFS(K2ActualCompleteness[Date],AK12,K2ActualCompleteness[Status],"APPROVED N/A")</f>
        <v>0</v>
      </c>
      <c r="AN12" s="173">
        <f t="shared" ca="1" si="5"/>
        <v>8</v>
      </c>
      <c r="AO12" s="174">
        <f t="shared" ca="1" si="6"/>
        <v>0</v>
      </c>
      <c r="AP12" s="171" t="str">
        <f t="shared" ca="1" si="7"/>
        <v>MISSING</v>
      </c>
    </row>
    <row r="13" spans="1:52" ht="14.4">
      <c r="A13" s="164">
        <f>INDEX(DailyTrackingTable[Date],2)</f>
        <v>46216</v>
      </c>
      <c r="B13" s="159" t="str">
        <f>INDEX(K2CostCategories[Cost Category ID],2)</f>
        <v>TOOLING</v>
      </c>
      <c r="C13" s="159" t="str">
        <f>INDEX(K2CostCategories[Display Name],2)</f>
        <v>Tooling Hire</v>
      </c>
      <c r="D13" s="159" t="str">
        <f>INDEX(K2CostCategories[Actual Header],2)</f>
        <v>Tooling Hire Actual</v>
      </c>
      <c r="E13" s="159" t="str">
        <f>INDEX(K2CostCategories[Actual Mode],2)</f>
        <v>AUTO</v>
      </c>
      <c r="F13" s="161"/>
      <c r="G13" s="159" t="str">
        <f ca="1">IF(K2ActualCompleteness[[#This Row],[Date]]&gt;K2_ControlAsOfDate,"NOT DUE",IF(AND(K2ActualCompleteness[[#This Row],[Date]]=K2_ControlAsOfDate,MOD(NOW(),1)&lt;K2_DailyCloseTime),"OPEN","DUE"))</f>
        <v>DUE</v>
      </c>
      <c r="H13" s="159"/>
      <c r="I13" s="159"/>
      <c r="J13" s="159" t="str">
        <f>INDEX(K2CostCategories[Owner],2)</f>
        <v>Toolstore Supervisor</v>
      </c>
      <c r="K13" s="163"/>
      <c r="L13" s="159" t="s">
        <v>2770</v>
      </c>
      <c r="M13" s="160">
        <f ca="1">IF(K2ActualCompleteness[[#This Row],[Status]]="MISSING",MAX(0,24*(NOW()-(K2ActualCompleteness[[#This Row],[Date]]+K2_DailyCloseTime))),0)</f>
        <v>314.86016111110803</v>
      </c>
      <c r="N13" s="159" t="s">
        <v>2816</v>
      </c>
      <c r="Q13" s="171" t="s">
        <v>2817</v>
      </c>
      <c r="R13" s="173">
        <v>10</v>
      </c>
      <c r="S13" s="171" t="s">
        <v>2809</v>
      </c>
      <c r="T13" s="171" t="s">
        <v>2818</v>
      </c>
      <c r="U13" s="171" t="s">
        <v>2794</v>
      </c>
      <c r="V13" s="173">
        <v>2</v>
      </c>
      <c r="W13" s="171">
        <f>COUNTIFS(K2QuantityReconciliation[Control Group],"OTHER_BULK",K2QuantityReconciliation[Status],"CHECK")</f>
        <v>0</v>
      </c>
      <c r="X13" s="171" t="s">
        <v>2819</v>
      </c>
      <c r="Y13" s="171" t="str">
        <f t="shared" si="8"/>
        <v>PASS</v>
      </c>
      <c r="Z13" s="171" t="str">
        <f t="shared" si="0"/>
        <v/>
      </c>
      <c r="AA13" s="171" t="s">
        <v>2562</v>
      </c>
      <c r="AB13" s="171" t="s">
        <v>2812</v>
      </c>
      <c r="AC13" s="163">
        <f t="shared" ca="1" si="1"/>
        <v>46229.86917337963</v>
      </c>
      <c r="AD13" s="171"/>
      <c r="AE13" s="171"/>
      <c r="AF13" s="171"/>
      <c r="AG13" s="171"/>
      <c r="AH13" s="171" t="str">
        <f t="shared" si="2"/>
        <v>PASS</v>
      </c>
      <c r="AI13" s="173" t="str">
        <f t="shared" si="3"/>
        <v/>
      </c>
      <c r="AK13" s="164">
        <f>INDEX(DailyTrackingTable[Date],10)</f>
        <v>46224</v>
      </c>
      <c r="AL13" s="171" t="str">
        <f t="shared" ca="1" si="4"/>
        <v>DUE</v>
      </c>
      <c r="AM13" s="173">
        <f>COUNTIFS(K2ActualCompleteness[Date],AK13,K2ActualCompleteness[Status],"COMPLETE")+COUNTIFS(K2ActualCompleteness[Date],AK13,K2ActualCompleteness[Status],"APPROVED N/A")</f>
        <v>0</v>
      </c>
      <c r="AN13" s="173">
        <f t="shared" ca="1" si="5"/>
        <v>8</v>
      </c>
      <c r="AO13" s="174">
        <f t="shared" ca="1" si="6"/>
        <v>0</v>
      </c>
      <c r="AP13" s="171" t="str">
        <f t="shared" ca="1" si="7"/>
        <v>MISSING</v>
      </c>
    </row>
    <row r="14" spans="1:52" ht="14.4">
      <c r="A14" s="164">
        <f>INDEX(DailyTrackingTable[Date],2)</f>
        <v>46216</v>
      </c>
      <c r="B14" s="159" t="str">
        <f>INDEX(K2CostCategories[Cost Category ID],3)</f>
        <v>RADIO</v>
      </c>
      <c r="C14" s="159" t="str">
        <f>INDEX(K2CostCategories[Display Name],3)</f>
        <v>Radio Family</v>
      </c>
      <c r="D14" s="159" t="str">
        <f>INDEX(K2CostCategories[Actual Header],3)</f>
        <v>Radio Hire Actual</v>
      </c>
      <c r="E14" s="159" t="str">
        <f>INDEX(K2CostCategories[Actual Mode],3)</f>
        <v>AUTO_COMBINED</v>
      </c>
      <c r="F14" s="161"/>
      <c r="G14" s="159" t="str">
        <f ca="1">IF(K2ActualCompleteness[[#This Row],[Date]]&gt;K2_ControlAsOfDate,"NOT DUE",IF(AND(K2ActualCompleteness[[#This Row],[Date]]=K2_ControlAsOfDate,MOD(NOW(),1)&lt;K2_DailyCloseTime),"OPEN","DUE"))</f>
        <v>DUE</v>
      </c>
      <c r="H14" s="159"/>
      <c r="I14" s="159"/>
      <c r="J14" s="159" t="str">
        <f>INDEX(K2CostCategories[Owner],3)</f>
        <v>Toolstore Supervisor</v>
      </c>
      <c r="K14" s="163"/>
      <c r="L14" s="159" t="s">
        <v>2770</v>
      </c>
      <c r="M14" s="160">
        <f ca="1">IF(K2ActualCompleteness[[#This Row],[Status]]="MISSING",MAX(0,24*(NOW()-(K2ActualCompleteness[[#This Row],[Date]]+K2_DailyCloseTime))),0)</f>
        <v>314.86016111110803</v>
      </c>
      <c r="N14" s="159" t="s">
        <v>2820</v>
      </c>
      <c r="Q14" s="171" t="s">
        <v>2821</v>
      </c>
      <c r="R14" s="173">
        <v>11</v>
      </c>
      <c r="S14" s="171" t="s">
        <v>2636</v>
      </c>
      <c r="T14" s="171" t="s">
        <v>2822</v>
      </c>
      <c r="U14" s="171" t="s">
        <v>2774</v>
      </c>
      <c r="V14" s="173">
        <v>1</v>
      </c>
      <c r="W14" s="171">
        <f>COUNTIFS(AssetRegisterTable2219[Date Received On Site],"")</f>
        <v>162</v>
      </c>
      <c r="X14" s="171" t="s">
        <v>2823</v>
      </c>
      <c r="Y14" s="171" t="str">
        <f t="shared" si="8"/>
        <v>FAIL</v>
      </c>
      <c r="Z14" s="171" t="str">
        <f t="shared" si="0"/>
        <v>Plant receipt readiness — Receipt recorded before release</v>
      </c>
      <c r="AA14" s="171" t="s">
        <v>2562</v>
      </c>
      <c r="AB14" s="171" t="s">
        <v>2672</v>
      </c>
      <c r="AC14" s="163">
        <f t="shared" ca="1" si="1"/>
        <v>46229.86917337963</v>
      </c>
      <c r="AD14" s="171"/>
      <c r="AE14" s="171"/>
      <c r="AF14" s="171"/>
      <c r="AG14" s="171"/>
      <c r="AH14" s="171" t="str">
        <f t="shared" si="2"/>
        <v>FAIL</v>
      </c>
      <c r="AI14" s="173">
        <f t="shared" si="3"/>
        <v>1011</v>
      </c>
      <c r="AK14" s="164">
        <f>INDEX(DailyTrackingTable[Date],11)</f>
        <v>46225</v>
      </c>
      <c r="AL14" s="171" t="str">
        <f t="shared" ca="1" si="4"/>
        <v>DUE</v>
      </c>
      <c r="AM14" s="173">
        <f>COUNTIFS(K2ActualCompleteness[Date],AK14,K2ActualCompleteness[Status],"COMPLETE")+COUNTIFS(K2ActualCompleteness[Date],AK14,K2ActualCompleteness[Status],"APPROVED N/A")</f>
        <v>0</v>
      </c>
      <c r="AN14" s="173">
        <f t="shared" ca="1" si="5"/>
        <v>8</v>
      </c>
      <c r="AO14" s="174">
        <f t="shared" ca="1" si="6"/>
        <v>0</v>
      </c>
      <c r="AP14" s="171" t="str">
        <f t="shared" ca="1" si="7"/>
        <v>MISSING</v>
      </c>
    </row>
    <row r="15" spans="1:52" ht="14.4">
      <c r="A15" s="164">
        <f>INDEX(DailyTrackingTable[Date],2)</f>
        <v>46216</v>
      </c>
      <c r="B15" s="159" t="str">
        <f>INDEX(K2CostCategories[Cost Category ID],4)</f>
        <v>GAS</v>
      </c>
      <c r="C15" s="159" t="str">
        <f>INDEX(K2CostCategories[Display Name],4)</f>
        <v>Gas Monitors</v>
      </c>
      <c r="D15" s="159" t="str">
        <f>INDEX(K2CostCategories[Actual Header],4)</f>
        <v>Gas Monitor Hire Actual</v>
      </c>
      <c r="E15" s="159" t="str">
        <f>INDEX(K2CostCategories[Actual Mode],4)</f>
        <v>AUTO</v>
      </c>
      <c r="F15" s="161"/>
      <c r="G15" s="159" t="str">
        <f ca="1">IF(K2ActualCompleteness[[#This Row],[Date]]&gt;K2_ControlAsOfDate,"NOT DUE",IF(AND(K2ActualCompleteness[[#This Row],[Date]]=K2_ControlAsOfDate,MOD(NOW(),1)&lt;K2_DailyCloseTime),"OPEN","DUE"))</f>
        <v>DUE</v>
      </c>
      <c r="H15" s="159"/>
      <c r="I15" s="159"/>
      <c r="J15" s="159" t="str">
        <f>INDEX(K2CostCategories[Owner],4)</f>
        <v>Toolstore Supervisor</v>
      </c>
      <c r="K15" s="163"/>
      <c r="L15" s="159" t="s">
        <v>2770</v>
      </c>
      <c r="M15" s="160">
        <f ca="1">IF(K2ActualCompleteness[[#This Row],[Status]]="MISSING",MAX(0,24*(NOW()-(K2ActualCompleteness[[#This Row],[Date]]+K2_DailyCloseTime))),0)</f>
        <v>314.86016111110803</v>
      </c>
      <c r="N15" s="159" t="s">
        <v>2824</v>
      </c>
      <c r="Q15" s="171" t="s">
        <v>2825</v>
      </c>
      <c r="R15" s="173">
        <v>12</v>
      </c>
      <c r="S15" s="171" t="s">
        <v>2636</v>
      </c>
      <c r="T15" s="171" t="s">
        <v>2826</v>
      </c>
      <c r="U15" s="171" t="s">
        <v>2774</v>
      </c>
      <c r="V15" s="173">
        <v>1</v>
      </c>
      <c r="W15" s="171">
        <f>COUNTIF(AssetRegisterTable2219[Status],"Failed Baseplan")</f>
        <v>1</v>
      </c>
      <c r="X15" s="171" t="s">
        <v>2827</v>
      </c>
      <c r="Y15" s="171" t="str">
        <f t="shared" si="8"/>
        <v>FAIL</v>
      </c>
      <c r="Z15" s="171" t="str">
        <f t="shared" si="0"/>
        <v>Failed baseplan assets — Zero unresolved failures</v>
      </c>
      <c r="AA15" s="171" t="s">
        <v>2562</v>
      </c>
      <c r="AB15" s="171" t="s">
        <v>2672</v>
      </c>
      <c r="AC15" s="163">
        <f t="shared" ca="1" si="1"/>
        <v>46229.86917337963</v>
      </c>
      <c r="AD15" s="171"/>
      <c r="AE15" s="171"/>
      <c r="AF15" s="171"/>
      <c r="AG15" s="171"/>
      <c r="AH15" s="171" t="str">
        <f t="shared" si="2"/>
        <v>FAIL</v>
      </c>
      <c r="AI15" s="173">
        <f t="shared" si="3"/>
        <v>1012</v>
      </c>
      <c r="AK15" s="164">
        <f>INDEX(DailyTrackingTable[Date],12)</f>
        <v>46226</v>
      </c>
      <c r="AL15" s="171" t="str">
        <f t="shared" ca="1" si="4"/>
        <v>DUE</v>
      </c>
      <c r="AM15" s="173">
        <f>COUNTIFS(K2ActualCompleteness[Date],AK15,K2ActualCompleteness[Status],"COMPLETE")+COUNTIFS(K2ActualCompleteness[Date],AK15,K2ActualCompleteness[Status],"APPROVED N/A")</f>
        <v>0</v>
      </c>
      <c r="AN15" s="173">
        <f t="shared" ca="1" si="5"/>
        <v>8</v>
      </c>
      <c r="AO15" s="174">
        <f t="shared" ca="1" si="6"/>
        <v>0</v>
      </c>
      <c r="AP15" s="171" t="str">
        <f t="shared" ca="1" si="7"/>
        <v>MISSING</v>
      </c>
    </row>
    <row r="16" spans="1:52" ht="14.4">
      <c r="A16" s="164">
        <f>INDEX(DailyTrackingTable[Date],2)</f>
        <v>46216</v>
      </c>
      <c r="B16" s="159" t="str">
        <f>INDEX(K2CostCategories[Cost Category ID],5)</f>
        <v>LABOUR</v>
      </c>
      <c r="C16" s="159" t="str">
        <f>INDEX(K2CostCategories[Display Name],5)</f>
        <v>Personnel / Labour</v>
      </c>
      <c r="D16" s="159" t="str">
        <f>INDEX(K2CostCategories[Actual Header],5)</f>
        <v>Personnel / Labour Actual</v>
      </c>
      <c r="E16" s="159" t="str">
        <f>INDEX(K2CostCategories[Actual Mode],5)</f>
        <v>MANUAL</v>
      </c>
      <c r="F16" s="161"/>
      <c r="G16" s="159" t="str">
        <f ca="1">IF(K2ActualCompleteness[[#This Row],[Date]]&gt;K2_ControlAsOfDate,"NOT DUE",IF(AND(K2ActualCompleteness[[#This Row],[Date]]=K2_ControlAsOfDate,MOD(NOW(),1)&lt;K2_DailyCloseTime),"OPEN","DUE"))</f>
        <v>DUE</v>
      </c>
      <c r="H16" s="159"/>
      <c r="I16" s="159"/>
      <c r="J16" s="159" t="str">
        <f>INDEX(K2CostCategories[Owner],5)</f>
        <v>Shutdown Manager</v>
      </c>
      <c r="K16" s="163"/>
      <c r="L16" s="159" t="s">
        <v>2770</v>
      </c>
      <c r="M16" s="160">
        <f ca="1">IF(K2ActualCompleteness[[#This Row],[Status]]="MISSING",MAX(0,24*(NOW()-(K2ActualCompleteness[[#This Row],[Date]]+K2_DailyCloseTime))),0)</f>
        <v>314.86016111110803</v>
      </c>
      <c r="N16" s="159" t="s">
        <v>2828</v>
      </c>
      <c r="Q16" s="171" t="s">
        <v>2829</v>
      </c>
      <c r="R16" s="173">
        <v>13</v>
      </c>
      <c r="S16" s="171" t="s">
        <v>2644</v>
      </c>
      <c r="T16" s="171" t="s">
        <v>2830</v>
      </c>
      <c r="U16" s="171" t="s">
        <v>2774</v>
      </c>
      <c r="V16" s="173">
        <v>1</v>
      </c>
      <c r="W16" s="171">
        <f>COUNTIF(RENTAL_STOCK[Recommendation],"High Priority*")</f>
        <v>49</v>
      </c>
      <c r="X16" s="171" t="s">
        <v>2831</v>
      </c>
      <c r="Y16" s="171" t="str">
        <f t="shared" si="8"/>
        <v>FAIL</v>
      </c>
      <c r="Z16" s="171" t="str">
        <f t="shared" si="0"/>
        <v>Critical zero-availability groups — Zero unresolved critical stockouts</v>
      </c>
      <c r="AA16" s="171" t="s">
        <v>2601</v>
      </c>
      <c r="AB16" s="171" t="s">
        <v>2832</v>
      </c>
      <c r="AC16" s="163">
        <f t="shared" ca="1" si="1"/>
        <v>46229.86917337963</v>
      </c>
      <c r="AD16" s="171"/>
      <c r="AE16" s="171"/>
      <c r="AF16" s="171"/>
      <c r="AG16" s="171"/>
      <c r="AH16" s="171" t="str">
        <f t="shared" si="2"/>
        <v>FAIL</v>
      </c>
      <c r="AI16" s="173">
        <f t="shared" si="3"/>
        <v>1013</v>
      </c>
      <c r="AK16" s="164">
        <f>INDEX(DailyTrackingTable[Date],13)</f>
        <v>46227</v>
      </c>
      <c r="AL16" s="171" t="str">
        <f t="shared" ca="1" si="4"/>
        <v>DUE</v>
      </c>
      <c r="AM16" s="173">
        <f>COUNTIFS(K2ActualCompleteness[Date],AK16,K2ActualCompleteness[Status],"COMPLETE")+COUNTIFS(K2ActualCompleteness[Date],AK16,K2ActualCompleteness[Status],"APPROVED N/A")</f>
        <v>0</v>
      </c>
      <c r="AN16" s="173">
        <f t="shared" ca="1" si="5"/>
        <v>8</v>
      </c>
      <c r="AO16" s="174">
        <f t="shared" ca="1" si="6"/>
        <v>0</v>
      </c>
      <c r="AP16" s="171" t="str">
        <f t="shared" ca="1" si="7"/>
        <v>MISSING</v>
      </c>
    </row>
    <row r="17" spans="1:42" ht="14.4">
      <c r="A17" s="164">
        <f>INDEX(DailyTrackingTable[Date],2)</f>
        <v>46216</v>
      </c>
      <c r="B17" s="159" t="str">
        <f>INDEX(K2CostCategories[Cost Category ID],6)</f>
        <v>ACCOM</v>
      </c>
      <c r="C17" s="159" t="str">
        <f>INDEX(K2CostCategories[Display Name],6)</f>
        <v>Accommodation</v>
      </c>
      <c r="D17" s="159" t="str">
        <f>INDEX(K2CostCategories[Actual Header],6)</f>
        <v>Accommodation Actual</v>
      </c>
      <c r="E17" s="159" t="str">
        <f>INDEX(K2CostCategories[Actual Mode],6)</f>
        <v>MANUAL</v>
      </c>
      <c r="F17" s="161"/>
      <c r="G17" s="159" t="str">
        <f ca="1">IF(K2ActualCompleteness[[#This Row],[Date]]&gt;K2_ControlAsOfDate,"NOT DUE",IF(AND(K2ActualCompleteness[[#This Row],[Date]]=K2_ControlAsOfDate,MOD(NOW(),1)&lt;K2_DailyCloseTime),"OPEN","DUE"))</f>
        <v>DUE</v>
      </c>
      <c r="H17" s="159"/>
      <c r="I17" s="159"/>
      <c r="J17" s="159" t="str">
        <f>INDEX(K2CostCategories[Owner],6)</f>
        <v>Shutdown Manager</v>
      </c>
      <c r="K17" s="163"/>
      <c r="L17" s="159" t="s">
        <v>2770</v>
      </c>
      <c r="M17" s="160">
        <f ca="1">IF(K2ActualCompleteness[[#This Row],[Status]]="MISSING",MAX(0,24*(NOW()-(K2ActualCompleteness[[#This Row],[Date]]+K2_DailyCloseTime))),0)</f>
        <v>314.86016111110803</v>
      </c>
      <c r="N17" s="159" t="s">
        <v>2833</v>
      </c>
      <c r="Q17" s="171" t="s">
        <v>2834</v>
      </c>
      <c r="R17" s="173">
        <v>14</v>
      </c>
      <c r="S17" s="171" t="s">
        <v>2576</v>
      </c>
      <c r="T17" s="171" t="s">
        <v>2835</v>
      </c>
      <c r="U17" s="171" t="s">
        <v>2794</v>
      </c>
      <c r="V17" s="173">
        <v>2</v>
      </c>
      <c r="W17" s="171">
        <f>'Dashboard Data'!H12</f>
        <v>0</v>
      </c>
      <c r="X17" s="171" t="s">
        <v>2836</v>
      </c>
      <c r="Y17" s="171" t="str">
        <f t="shared" si="8"/>
        <v>PASS</v>
      </c>
      <c r="Z17" s="171" t="str">
        <f t="shared" si="0"/>
        <v/>
      </c>
      <c r="AA17" s="171" t="s">
        <v>2580</v>
      </c>
      <c r="AB17" s="171" t="s">
        <v>2776</v>
      </c>
      <c r="AC17" s="163">
        <f t="shared" ca="1" si="1"/>
        <v>46229.86917337963</v>
      </c>
      <c r="AD17" s="171"/>
      <c r="AE17" s="171"/>
      <c r="AF17" s="171"/>
      <c r="AG17" s="171"/>
      <c r="AH17" s="171" t="str">
        <f t="shared" si="2"/>
        <v>PASS</v>
      </c>
      <c r="AI17" s="173" t="str">
        <f t="shared" si="3"/>
        <v/>
      </c>
      <c r="AK17" s="164">
        <f>INDEX(DailyTrackingTable[Date],14)</f>
        <v>46228</v>
      </c>
      <c r="AL17" s="171" t="str">
        <f t="shared" ca="1" si="4"/>
        <v>DUE</v>
      </c>
      <c r="AM17" s="173">
        <f>COUNTIFS(K2ActualCompleteness[Date],AK17,K2ActualCompleteness[Status],"COMPLETE")+COUNTIFS(K2ActualCompleteness[Date],AK17,K2ActualCompleteness[Status],"APPROVED N/A")</f>
        <v>0</v>
      </c>
      <c r="AN17" s="173">
        <f t="shared" ca="1" si="5"/>
        <v>8</v>
      </c>
      <c r="AO17" s="174">
        <f t="shared" ca="1" si="6"/>
        <v>0</v>
      </c>
      <c r="AP17" s="171" t="str">
        <f t="shared" ca="1" si="7"/>
        <v>MISSING</v>
      </c>
    </row>
    <row r="18" spans="1:42" ht="14.4">
      <c r="A18" s="164">
        <f>INDEX(DailyTrackingTable[Date],2)</f>
        <v>46216</v>
      </c>
      <c r="B18" s="159" t="str">
        <f>INDEX(K2CostCategories[Cost Category ID],7)</f>
        <v>TRANSPORT</v>
      </c>
      <c r="C18" s="159" t="str">
        <f>INDEX(K2CostCategories[Display Name],7)</f>
        <v>Transport</v>
      </c>
      <c r="D18" s="159" t="str">
        <f>INDEX(K2CostCategories[Actual Header],7)</f>
        <v>Transport Actual</v>
      </c>
      <c r="E18" s="159" t="str">
        <f>INDEX(K2CostCategories[Actual Mode],7)</f>
        <v>MANUAL</v>
      </c>
      <c r="F18" s="161"/>
      <c r="G18" s="159" t="str">
        <f ca="1">IF(K2ActualCompleteness[[#This Row],[Date]]&gt;K2_ControlAsOfDate,"NOT DUE",IF(AND(K2ActualCompleteness[[#This Row],[Date]]=K2_ControlAsOfDate,MOD(NOW(),1)&lt;K2_DailyCloseTime),"OPEN","DUE"))</f>
        <v>DUE</v>
      </c>
      <c r="H18" s="159"/>
      <c r="I18" s="159"/>
      <c r="J18" s="159" t="str">
        <f>INDEX(K2CostCategories[Owner],7)</f>
        <v>Commercial Manager</v>
      </c>
      <c r="K18" s="163"/>
      <c r="L18" s="159" t="s">
        <v>2770</v>
      </c>
      <c r="M18" s="160">
        <f ca="1">IF(K2ActualCompleteness[[#This Row],[Status]]="MISSING",MAX(0,24*(NOW()-(K2ActualCompleteness[[#This Row],[Date]]+K2_DailyCloseTime))),0)</f>
        <v>314.86016111110803</v>
      </c>
      <c r="N18" s="159" t="s">
        <v>2837</v>
      </c>
      <c r="Q18" s="171" t="s">
        <v>2838</v>
      </c>
      <c r="R18" s="173">
        <v>15</v>
      </c>
      <c r="S18" s="171" t="s">
        <v>2576</v>
      </c>
      <c r="T18" s="171" t="s">
        <v>2839</v>
      </c>
      <c r="U18" s="171" t="s">
        <v>2794</v>
      </c>
      <c r="V18" s="173">
        <v>2</v>
      </c>
      <c r="W18" s="171" t="str">
        <f>INDEX(K2SourceRegistry[Status],MATCH("TRANSPORT_CONTRACT",K2SourceRegistry[Source ID],0))</f>
        <v>UNVERIFIED</v>
      </c>
      <c r="X18" s="171" t="s">
        <v>2840</v>
      </c>
      <c r="Y18" s="171" t="str">
        <f>IF(W18="APPROVED","PASS","FAIL")</f>
        <v>FAIL</v>
      </c>
      <c r="Z18" s="171" t="str">
        <f t="shared" si="0"/>
        <v>Transport source approval — Approved PO or contract</v>
      </c>
      <c r="AA18" s="171" t="s">
        <v>2580</v>
      </c>
      <c r="AB18" s="171" t="s">
        <v>2841</v>
      </c>
      <c r="AC18" s="163">
        <f t="shared" ca="1" si="1"/>
        <v>46229.86917337963</v>
      </c>
      <c r="AD18" s="171"/>
      <c r="AE18" s="171"/>
      <c r="AF18" s="171"/>
      <c r="AG18" s="171"/>
      <c r="AH18" s="171" t="str">
        <f t="shared" si="2"/>
        <v>FAIL</v>
      </c>
      <c r="AI18" s="173">
        <f t="shared" si="3"/>
        <v>2015</v>
      </c>
      <c r="AK18" s="164">
        <f>INDEX(DailyTrackingTable[Date],15)</f>
        <v>46229</v>
      </c>
      <c r="AL18" s="171" t="str">
        <f t="shared" ca="1" si="4"/>
        <v>DUE</v>
      </c>
      <c r="AM18" s="173">
        <f>COUNTIFS(K2ActualCompleteness[Date],AK18,K2ActualCompleteness[Status],"COMPLETE")+COUNTIFS(K2ActualCompleteness[Date],AK18,K2ActualCompleteness[Status],"APPROVED N/A")</f>
        <v>0</v>
      </c>
      <c r="AN18" s="173">
        <f t="shared" ca="1" si="5"/>
        <v>8</v>
      </c>
      <c r="AO18" s="174">
        <f t="shared" ca="1" si="6"/>
        <v>0</v>
      </c>
      <c r="AP18" s="171" t="str">
        <f t="shared" ca="1" si="7"/>
        <v>MISSING</v>
      </c>
    </row>
    <row r="19" spans="1:42" ht="14.4">
      <c r="A19" s="164">
        <f>INDEX(DailyTrackingTable[Date],2)</f>
        <v>46216</v>
      </c>
      <c r="B19" s="159" t="str">
        <f>INDEX(K2CostCategories[Cost Category ID],8)</f>
        <v>DAMAGE</v>
      </c>
      <c r="C19" s="159" t="str">
        <f>INDEX(K2CostCategories[Display Name],8)</f>
        <v>Damage Recovery</v>
      </c>
      <c r="D19" s="159" t="str">
        <f>INDEX(K2CostCategories[Actual Header],8)</f>
        <v>Damage Recovery Actual</v>
      </c>
      <c r="E19" s="159" t="str">
        <f>INDEX(K2CostCategories[Actual Mode],8)</f>
        <v>MANUAL</v>
      </c>
      <c r="F19" s="161"/>
      <c r="G19" s="159" t="str">
        <f ca="1">IF(K2ActualCompleteness[[#This Row],[Date]]&gt;K2_ControlAsOfDate,"NOT DUE",IF(AND(K2ActualCompleteness[[#This Row],[Date]]=K2_ControlAsOfDate,MOD(NOW(),1)&lt;K2_DailyCloseTime),"OPEN","DUE"))</f>
        <v>DUE</v>
      </c>
      <c r="H19" s="159"/>
      <c r="I19" s="159"/>
      <c r="J19" s="159" t="str">
        <f>INDEX(K2CostCategories[Owner],8)</f>
        <v>Commercial Manager</v>
      </c>
      <c r="K19" s="163"/>
      <c r="L19" s="159" t="s">
        <v>2770</v>
      </c>
      <c r="M19" s="160">
        <f ca="1">IF(K2ActualCompleteness[[#This Row],[Status]]="MISSING",MAX(0,24*(NOW()-(K2ActualCompleteness[[#This Row],[Date]]+K2_DailyCloseTime))),0)</f>
        <v>314.86016111110803</v>
      </c>
      <c r="N19" s="159" t="s">
        <v>2842</v>
      </c>
      <c r="Q19" s="171" t="s">
        <v>2629</v>
      </c>
      <c r="R19" s="173">
        <v>16</v>
      </c>
      <c r="S19" s="171" t="s">
        <v>2576</v>
      </c>
      <c r="T19" s="171" t="s">
        <v>2843</v>
      </c>
      <c r="U19" s="171" t="s">
        <v>2844</v>
      </c>
      <c r="V19" s="173">
        <v>3</v>
      </c>
      <c r="W19" s="171" t="str">
        <f>INDEX(K2SourceRegistry[Status],MATCH("DAMAGE_BASIS",K2SourceRegistry[Source ID],0))</f>
        <v>UNAPPROVED</v>
      </c>
      <c r="X19" s="171" t="s">
        <v>2845</v>
      </c>
      <c r="Y19" s="171" t="str">
        <f>IF(W19="APPROVED","PASS","PENDING")</f>
        <v>PENDING</v>
      </c>
      <c r="Z19" s="171" t="str">
        <f t="shared" si="0"/>
        <v>Damage forecast basis — Approved policy basis</v>
      </c>
      <c r="AA19" s="171" t="s">
        <v>2580</v>
      </c>
      <c r="AB19" s="171" t="s">
        <v>2841</v>
      </c>
      <c r="AC19" s="163">
        <f t="shared" ca="1" si="1"/>
        <v>46229.86917337963</v>
      </c>
      <c r="AD19" s="171"/>
      <c r="AE19" s="171"/>
      <c r="AF19" s="171"/>
      <c r="AG19" s="171"/>
      <c r="AH19" s="171" t="str">
        <f t="shared" si="2"/>
        <v>PENDING</v>
      </c>
      <c r="AI19" s="173">
        <f t="shared" si="3"/>
        <v>3016</v>
      </c>
      <c r="AK19" s="164">
        <f>INDEX(DailyTrackingTable[Date],16)</f>
        <v>46230</v>
      </c>
      <c r="AL19" s="171" t="str">
        <f t="shared" ca="1" si="4"/>
        <v>NOT DUE</v>
      </c>
      <c r="AM19" s="173">
        <f>COUNTIFS(K2ActualCompleteness[Date],AK19,K2ActualCompleteness[Status],"COMPLETE")+COUNTIFS(K2ActualCompleteness[Date],AK19,K2ActualCompleteness[Status],"APPROVED N/A")</f>
        <v>0</v>
      </c>
      <c r="AN19" s="173">
        <f t="shared" ca="1" si="5"/>
        <v>0</v>
      </c>
      <c r="AO19" s="174" t="str">
        <f t="shared" ca="1" si="6"/>
        <v/>
      </c>
      <c r="AP19" s="171" t="str">
        <f t="shared" ca="1" si="7"/>
        <v>NOT DUE</v>
      </c>
    </row>
    <row r="20" spans="1:42" ht="14.4">
      <c r="A20" s="164">
        <f>INDEX(DailyTrackingTable[Date],3)</f>
        <v>46217</v>
      </c>
      <c r="B20" s="159" t="str">
        <f>INDEX(K2CostCategories[Cost Category ID],1)</f>
        <v>PLANT</v>
      </c>
      <c r="C20" s="159" t="str">
        <f>INDEX(K2CostCategories[Display Name],1)</f>
        <v>Plant Equipment</v>
      </c>
      <c r="D20" s="159" t="str">
        <f>INDEX(K2CostCategories[Actual Header],1)</f>
        <v>Plant Equipment Hire Actual</v>
      </c>
      <c r="E20" s="159" t="str">
        <f>INDEX(K2CostCategories[Actual Mode],1)</f>
        <v>AUTO</v>
      </c>
      <c r="F20" s="161"/>
      <c r="G20" s="159" t="str">
        <f ca="1">IF(K2ActualCompleteness[[#This Row],[Date]]&gt;K2_ControlAsOfDate,"NOT DUE",IF(AND(K2ActualCompleteness[[#This Row],[Date]]=K2_ControlAsOfDate,MOD(NOW(),1)&lt;K2_DailyCloseTime),"OPEN","DUE"))</f>
        <v>DUE</v>
      </c>
      <c r="H20" s="159"/>
      <c r="I20" s="159"/>
      <c r="J20" s="159" t="str">
        <f>INDEX(K2CostCategories[Owner],1)</f>
        <v>Plant Coordinator</v>
      </c>
      <c r="K20" s="163"/>
      <c r="L20" s="159" t="s">
        <v>2770</v>
      </c>
      <c r="M20" s="160">
        <f ca="1">IF(K2ActualCompleteness[[#This Row],[Status]]="MISSING",MAX(0,24*(NOW()-(K2ActualCompleteness[[#This Row],[Date]]+K2_DailyCloseTime))),0)</f>
        <v>290.86016111110803</v>
      </c>
      <c r="N20" s="159" t="s">
        <v>2846</v>
      </c>
      <c r="Q20" s="171" t="s">
        <v>2847</v>
      </c>
      <c r="R20" s="173">
        <v>17</v>
      </c>
      <c r="S20" s="171" t="s">
        <v>2848</v>
      </c>
      <c r="T20" s="171" t="s">
        <v>2849</v>
      </c>
      <c r="U20" s="171" t="s">
        <v>2794</v>
      </c>
      <c r="V20" s="173">
        <v>2</v>
      </c>
      <c r="W20" s="171">
        <f>'Dashboard Data'!H22</f>
        <v>2</v>
      </c>
      <c r="X20" s="171" t="s">
        <v>2850</v>
      </c>
      <c r="Y20" s="171" t="str">
        <f>IF(W20=0,"PASS","FAIL")</f>
        <v>FAIL</v>
      </c>
      <c r="Z20" s="171" t="str">
        <f t="shared" si="0"/>
        <v>Companies requiring action — No overdue contractor action</v>
      </c>
      <c r="AA20" s="171" t="s">
        <v>2545</v>
      </c>
      <c r="AB20" s="171" t="s">
        <v>2851</v>
      </c>
      <c r="AC20" s="163">
        <f t="shared" ca="1" si="1"/>
        <v>46229.86917337963</v>
      </c>
      <c r="AD20" s="171"/>
      <c r="AE20" s="171"/>
      <c r="AF20" s="171"/>
      <c r="AG20" s="171"/>
      <c r="AH20" s="171" t="str">
        <f t="shared" si="2"/>
        <v>FAIL</v>
      </c>
      <c r="AI20" s="173">
        <f t="shared" si="3"/>
        <v>2017</v>
      </c>
      <c r="AK20" s="164">
        <f>INDEX(DailyTrackingTable[Date],17)</f>
        <v>46231</v>
      </c>
      <c r="AL20" s="171" t="str">
        <f t="shared" ca="1" si="4"/>
        <v>NOT DUE</v>
      </c>
      <c r="AM20" s="173">
        <f>COUNTIFS(K2ActualCompleteness[Date],AK20,K2ActualCompleteness[Status],"COMPLETE")+COUNTIFS(K2ActualCompleteness[Date],AK20,K2ActualCompleteness[Status],"APPROVED N/A")</f>
        <v>0</v>
      </c>
      <c r="AN20" s="173">
        <f t="shared" ca="1" si="5"/>
        <v>0</v>
      </c>
      <c r="AO20" s="174" t="str">
        <f t="shared" ca="1" si="6"/>
        <v/>
      </c>
      <c r="AP20" s="171" t="str">
        <f t="shared" ca="1" si="7"/>
        <v>NOT DUE</v>
      </c>
    </row>
    <row r="21" spans="1:42" ht="14.4">
      <c r="A21" s="164">
        <f>INDEX(DailyTrackingTable[Date],3)</f>
        <v>46217</v>
      </c>
      <c r="B21" s="159" t="str">
        <f>INDEX(K2CostCategories[Cost Category ID],2)</f>
        <v>TOOLING</v>
      </c>
      <c r="C21" s="159" t="str">
        <f>INDEX(K2CostCategories[Display Name],2)</f>
        <v>Tooling Hire</v>
      </c>
      <c r="D21" s="159" t="str">
        <f>INDEX(K2CostCategories[Actual Header],2)</f>
        <v>Tooling Hire Actual</v>
      </c>
      <c r="E21" s="159" t="str">
        <f>INDEX(K2CostCategories[Actual Mode],2)</f>
        <v>AUTO</v>
      </c>
      <c r="F21" s="161"/>
      <c r="G21" s="159" t="str">
        <f ca="1">IF(K2ActualCompleteness[[#This Row],[Date]]&gt;K2_ControlAsOfDate,"NOT DUE",IF(AND(K2ActualCompleteness[[#This Row],[Date]]=K2_ControlAsOfDate,MOD(NOW(),1)&lt;K2_DailyCloseTime),"OPEN","DUE"))</f>
        <v>DUE</v>
      </c>
      <c r="H21" s="159"/>
      <c r="I21" s="159"/>
      <c r="J21" s="159" t="str">
        <f>INDEX(K2CostCategories[Owner],2)</f>
        <v>Toolstore Supervisor</v>
      </c>
      <c r="K21" s="163"/>
      <c r="L21" s="159" t="s">
        <v>2770</v>
      </c>
      <c r="M21" s="160">
        <f ca="1">IF(K2ActualCompleteness[[#This Row],[Status]]="MISSING",MAX(0,24*(NOW()-(K2ActualCompleteness[[#This Row],[Date]]+K2_DailyCloseTime))),0)</f>
        <v>290.86016111110803</v>
      </c>
      <c r="N21" s="159" t="s">
        <v>2852</v>
      </c>
      <c r="Q21" s="171" t="s">
        <v>2853</v>
      </c>
      <c r="R21" s="173">
        <v>18</v>
      </c>
      <c r="S21" s="171" t="s">
        <v>2576</v>
      </c>
      <c r="T21" s="171" t="s">
        <v>2854</v>
      </c>
      <c r="U21" s="171" t="s">
        <v>2794</v>
      </c>
      <c r="V21" s="173">
        <v>2</v>
      </c>
      <c r="W21" s="171">
        <f>COUNTIFS(K2CanonicalClass[Active],"TRUE",K2CanonicalClass[Charge Basis Status],"&lt;&gt;APPROVED")</f>
        <v>0</v>
      </c>
      <c r="X21" s="171" t="s">
        <v>2855</v>
      </c>
      <c r="Y21" s="171" t="str">
        <f>IF(W21=0,"PASS","FAIL")</f>
        <v>PASS</v>
      </c>
      <c r="Z21" s="171" t="str">
        <f t="shared" si="0"/>
        <v/>
      </c>
      <c r="AA21" s="171" t="s">
        <v>2580</v>
      </c>
      <c r="AB21" s="171" t="s">
        <v>2856</v>
      </c>
      <c r="AC21" s="163">
        <f t="shared" ca="1" si="1"/>
        <v>46229.86917337963</v>
      </c>
      <c r="AD21" s="171"/>
      <c r="AE21" s="171"/>
      <c r="AF21" s="171"/>
      <c r="AG21" s="171"/>
      <c r="AH21" s="171" t="str">
        <f t="shared" si="2"/>
        <v>PASS</v>
      </c>
      <c r="AI21" s="173" t="str">
        <f t="shared" si="3"/>
        <v/>
      </c>
      <c r="AK21" s="164">
        <f>INDEX(DailyTrackingTable[Date],18)</f>
        <v>46232</v>
      </c>
      <c r="AL21" s="171" t="str">
        <f t="shared" ca="1" si="4"/>
        <v>NOT DUE</v>
      </c>
      <c r="AM21" s="173">
        <f>COUNTIFS(K2ActualCompleteness[Date],AK21,K2ActualCompleteness[Status],"COMPLETE")+COUNTIFS(K2ActualCompleteness[Date],AK21,K2ActualCompleteness[Status],"APPROVED N/A")</f>
        <v>0</v>
      </c>
      <c r="AN21" s="173">
        <f t="shared" ca="1" si="5"/>
        <v>0</v>
      </c>
      <c r="AO21" s="174" t="str">
        <f t="shared" ca="1" si="6"/>
        <v/>
      </c>
      <c r="AP21" s="171" t="str">
        <f t="shared" ca="1" si="7"/>
        <v>NOT DUE</v>
      </c>
    </row>
    <row r="22" spans="1:42" ht="14.4">
      <c r="A22" s="164">
        <f>INDEX(DailyTrackingTable[Date],3)</f>
        <v>46217</v>
      </c>
      <c r="B22" s="159" t="str">
        <f>INDEX(K2CostCategories[Cost Category ID],3)</f>
        <v>RADIO</v>
      </c>
      <c r="C22" s="159" t="str">
        <f>INDEX(K2CostCategories[Display Name],3)</f>
        <v>Radio Family</v>
      </c>
      <c r="D22" s="159" t="str">
        <f>INDEX(K2CostCategories[Actual Header],3)</f>
        <v>Radio Hire Actual</v>
      </c>
      <c r="E22" s="159" t="str">
        <f>INDEX(K2CostCategories[Actual Mode],3)</f>
        <v>AUTO_COMBINED</v>
      </c>
      <c r="F22" s="161"/>
      <c r="G22" s="159" t="str">
        <f ca="1">IF(K2ActualCompleteness[[#This Row],[Date]]&gt;K2_ControlAsOfDate,"NOT DUE",IF(AND(K2ActualCompleteness[[#This Row],[Date]]=K2_ControlAsOfDate,MOD(NOW(),1)&lt;K2_DailyCloseTime),"OPEN","DUE"))</f>
        <v>DUE</v>
      </c>
      <c r="H22" s="159"/>
      <c r="I22" s="159"/>
      <c r="J22" s="159" t="str">
        <f>INDEX(K2CostCategories[Owner],3)</f>
        <v>Toolstore Supervisor</v>
      </c>
      <c r="K22" s="163"/>
      <c r="L22" s="159" t="s">
        <v>2770</v>
      </c>
      <c r="M22" s="160">
        <f ca="1">IF(K2ActualCompleteness[[#This Row],[Status]]="MISSING",MAX(0,24*(NOW()-(K2ActualCompleteness[[#This Row],[Date]]+K2_DailyCloseTime))),0)</f>
        <v>290.86016111110803</v>
      </c>
      <c r="N22" s="159" t="s">
        <v>2857</v>
      </c>
      <c r="Q22" s="171" t="s">
        <v>2858</v>
      </c>
      <c r="R22" s="173">
        <v>19</v>
      </c>
      <c r="S22" s="171" t="s">
        <v>2644</v>
      </c>
      <c r="T22" s="171" t="s">
        <v>2859</v>
      </c>
      <c r="U22" s="171" t="s">
        <v>2794</v>
      </c>
      <c r="V22" s="173">
        <v>2</v>
      </c>
      <c r="W22" s="171">
        <f>COUNT(#REF!)</f>
        <v>0</v>
      </c>
      <c r="X22" s="171" t="s">
        <v>2860</v>
      </c>
      <c r="Y22" s="171" t="str">
        <f>IF(W22&gt;0,"PASS","FAIL")</f>
        <v>FAIL</v>
      </c>
      <c r="Z22" s="171" t="str">
        <f t="shared" si="0"/>
        <v>Stocktake completion — At least one controlled stocktake</v>
      </c>
      <c r="AA22" s="171" t="s">
        <v>2646</v>
      </c>
      <c r="AB22" s="171" t="s">
        <v>2861</v>
      </c>
      <c r="AC22" s="163">
        <f t="shared" ca="1" si="1"/>
        <v>46229.86917337963</v>
      </c>
      <c r="AD22" s="171"/>
      <c r="AE22" s="171"/>
      <c r="AF22" s="171"/>
      <c r="AG22" s="171"/>
      <c r="AH22" s="171" t="str">
        <f t="shared" si="2"/>
        <v>FAIL</v>
      </c>
      <c r="AI22" s="173">
        <f t="shared" si="3"/>
        <v>2019</v>
      </c>
      <c r="AK22" s="164">
        <f>INDEX(DailyTrackingTable[Date],19)</f>
        <v>46233</v>
      </c>
      <c r="AL22" s="171" t="str">
        <f t="shared" ca="1" si="4"/>
        <v>NOT DUE</v>
      </c>
      <c r="AM22" s="173">
        <f>COUNTIFS(K2ActualCompleteness[Date],AK22,K2ActualCompleteness[Status],"COMPLETE")+COUNTIFS(K2ActualCompleteness[Date],AK22,K2ActualCompleteness[Status],"APPROVED N/A")</f>
        <v>0</v>
      </c>
      <c r="AN22" s="173">
        <f t="shared" ca="1" si="5"/>
        <v>0</v>
      </c>
      <c r="AO22" s="174" t="str">
        <f t="shared" ca="1" si="6"/>
        <v/>
      </c>
      <c r="AP22" s="171" t="str">
        <f t="shared" ca="1" si="7"/>
        <v>NOT DUE</v>
      </c>
    </row>
    <row r="23" spans="1:42" ht="14.4">
      <c r="A23" s="164">
        <f>INDEX(DailyTrackingTable[Date],3)</f>
        <v>46217</v>
      </c>
      <c r="B23" s="159" t="str">
        <f>INDEX(K2CostCategories[Cost Category ID],4)</f>
        <v>GAS</v>
      </c>
      <c r="C23" s="159" t="str">
        <f>INDEX(K2CostCategories[Display Name],4)</f>
        <v>Gas Monitors</v>
      </c>
      <c r="D23" s="159" t="str">
        <f>INDEX(K2CostCategories[Actual Header],4)</f>
        <v>Gas Monitor Hire Actual</v>
      </c>
      <c r="E23" s="159" t="str">
        <f>INDEX(K2CostCategories[Actual Mode],4)</f>
        <v>AUTO</v>
      </c>
      <c r="F23" s="161"/>
      <c r="G23" s="159" t="str">
        <f ca="1">IF(K2ActualCompleteness[[#This Row],[Date]]&gt;K2_ControlAsOfDate,"NOT DUE",IF(AND(K2ActualCompleteness[[#This Row],[Date]]=K2_ControlAsOfDate,MOD(NOW(),1)&lt;K2_DailyCloseTime),"OPEN","DUE"))</f>
        <v>DUE</v>
      </c>
      <c r="H23" s="159"/>
      <c r="I23" s="159"/>
      <c r="J23" s="159" t="str">
        <f>INDEX(K2CostCategories[Owner],4)</f>
        <v>Toolstore Supervisor</v>
      </c>
      <c r="K23" s="163"/>
      <c r="L23" s="159" t="s">
        <v>2770</v>
      </c>
      <c r="M23" s="160">
        <f ca="1">IF(K2ActualCompleteness[[#This Row],[Status]]="MISSING",MAX(0,24*(NOW()-(K2ActualCompleteness[[#This Row],[Date]]+K2_DailyCloseTime))),0)</f>
        <v>290.86016111110803</v>
      </c>
      <c r="N23" s="159" t="s">
        <v>2862</v>
      </c>
      <c r="Q23" s="171" t="s">
        <v>2863</v>
      </c>
      <c r="R23" s="173">
        <v>20</v>
      </c>
      <c r="S23" s="171" t="s">
        <v>2864</v>
      </c>
      <c r="T23" s="171" t="s">
        <v>2865</v>
      </c>
      <c r="U23" s="171" t="s">
        <v>2774</v>
      </c>
      <c r="V23" s="173">
        <v>1</v>
      </c>
      <c r="W23" s="171">
        <f>K2_SafetyApproved</f>
        <v>0</v>
      </c>
      <c r="X23" s="171" t="s">
        <v>2866</v>
      </c>
      <c r="Y23" s="171" t="str">
        <f>IF(W23=1,"PASS","PENDING")</f>
        <v>PENDING</v>
      </c>
      <c r="Z23" s="171" t="str">
        <f t="shared" si="0"/>
        <v>Fatigue and assurance approval — Named HSE approval required</v>
      </c>
      <c r="AA23" s="171" t="s">
        <v>2660</v>
      </c>
      <c r="AB23" s="171" t="s">
        <v>2785</v>
      </c>
      <c r="AC23" s="163">
        <f t="shared" ca="1" si="1"/>
        <v>46229.86917337963</v>
      </c>
      <c r="AD23" s="171"/>
      <c r="AE23" s="171"/>
      <c r="AF23" s="171"/>
      <c r="AG23" s="171"/>
      <c r="AH23" s="171" t="str">
        <f t="shared" si="2"/>
        <v>PENDING</v>
      </c>
      <c r="AI23" s="173">
        <f t="shared" si="3"/>
        <v>1020</v>
      </c>
      <c r="AK23" s="164">
        <f>INDEX(DailyTrackingTable[Date],20)</f>
        <v>46234</v>
      </c>
      <c r="AL23" s="171" t="str">
        <f t="shared" ca="1" si="4"/>
        <v>NOT DUE</v>
      </c>
      <c r="AM23" s="173">
        <f>COUNTIFS(K2ActualCompleteness[Date],AK23,K2ActualCompleteness[Status],"COMPLETE")+COUNTIFS(K2ActualCompleteness[Date],AK23,K2ActualCompleteness[Status],"APPROVED N/A")</f>
        <v>0</v>
      </c>
      <c r="AN23" s="173">
        <f t="shared" ca="1" si="5"/>
        <v>0</v>
      </c>
      <c r="AO23" s="174" t="str">
        <f t="shared" ca="1" si="6"/>
        <v/>
      </c>
      <c r="AP23" s="171" t="str">
        <f t="shared" ca="1" si="7"/>
        <v>NOT DUE</v>
      </c>
    </row>
    <row r="24" spans="1:42" ht="14.4">
      <c r="A24" s="164">
        <f>INDEX(DailyTrackingTable[Date],3)</f>
        <v>46217</v>
      </c>
      <c r="B24" s="159" t="str">
        <f>INDEX(K2CostCategories[Cost Category ID],5)</f>
        <v>LABOUR</v>
      </c>
      <c r="C24" s="159" t="str">
        <f>INDEX(K2CostCategories[Display Name],5)</f>
        <v>Personnel / Labour</v>
      </c>
      <c r="D24" s="159" t="str">
        <f>INDEX(K2CostCategories[Actual Header],5)</f>
        <v>Personnel / Labour Actual</v>
      </c>
      <c r="E24" s="159" t="str">
        <f>INDEX(K2CostCategories[Actual Mode],5)</f>
        <v>MANUAL</v>
      </c>
      <c r="F24" s="161"/>
      <c r="G24" s="159" t="str">
        <f ca="1">IF(K2ActualCompleteness[[#This Row],[Date]]&gt;K2_ControlAsOfDate,"NOT DUE",IF(AND(K2ActualCompleteness[[#This Row],[Date]]=K2_ControlAsOfDate,MOD(NOW(),1)&lt;K2_DailyCloseTime),"OPEN","DUE"))</f>
        <v>DUE</v>
      </c>
      <c r="H24" s="159"/>
      <c r="I24" s="159"/>
      <c r="J24" s="159" t="str">
        <f>INDEX(K2CostCategories[Owner],5)</f>
        <v>Shutdown Manager</v>
      </c>
      <c r="K24" s="163"/>
      <c r="L24" s="159" t="s">
        <v>2770</v>
      </c>
      <c r="M24" s="160">
        <f ca="1">IF(K2ActualCompleteness[[#This Row],[Status]]="MISSING",MAX(0,24*(NOW()-(K2ActualCompleteness[[#This Row],[Date]]+K2_DailyCloseTime))),0)</f>
        <v>290.86016111110803</v>
      </c>
      <c r="N24" s="159" t="s">
        <v>2867</v>
      </c>
      <c r="Q24" s="171" t="s">
        <v>2662</v>
      </c>
      <c r="R24" s="173">
        <v>21</v>
      </c>
      <c r="S24" s="171" t="s">
        <v>2868</v>
      </c>
      <c r="T24" s="171" t="s">
        <v>2869</v>
      </c>
      <c r="U24" s="171" t="s">
        <v>2774</v>
      </c>
      <c r="V24" s="173">
        <v>1</v>
      </c>
      <c r="W24" s="171">
        <f>K2_AutomationCommissioned</f>
        <v>0</v>
      </c>
      <c r="X24" s="171" t="s">
        <v>2870</v>
      </c>
      <c r="Y24" s="171" t="str">
        <f>IF(W24=1,"PASS","FAIL")</f>
        <v>FAIL</v>
      </c>
      <c r="Z24" s="171" t="str">
        <f t="shared" si="0"/>
        <v>Installed automation smoke test — Signed installation and smoke test</v>
      </c>
      <c r="AA24" s="171" t="s">
        <v>2552</v>
      </c>
      <c r="AB24" s="171" t="s">
        <v>2785</v>
      </c>
      <c r="AC24" s="163">
        <f t="shared" ca="1" si="1"/>
        <v>46229.86917337963</v>
      </c>
      <c r="AD24" s="171"/>
      <c r="AE24" s="171"/>
      <c r="AF24" s="171"/>
      <c r="AG24" s="171"/>
      <c r="AH24" s="171" t="str">
        <f t="shared" si="2"/>
        <v>FAIL</v>
      </c>
      <c r="AI24" s="173">
        <f t="shared" si="3"/>
        <v>1021</v>
      </c>
      <c r="AK24" s="164">
        <f>INDEX(DailyTrackingTable[Date],21)</f>
        <v>46235</v>
      </c>
      <c r="AL24" s="171" t="str">
        <f t="shared" ca="1" si="4"/>
        <v>NOT DUE</v>
      </c>
      <c r="AM24" s="173">
        <f>COUNTIFS(K2ActualCompleteness[Date],AK24,K2ActualCompleteness[Status],"COMPLETE")+COUNTIFS(K2ActualCompleteness[Date],AK24,K2ActualCompleteness[Status],"APPROVED N/A")</f>
        <v>0</v>
      </c>
      <c r="AN24" s="173">
        <f t="shared" ca="1" si="5"/>
        <v>0</v>
      </c>
      <c r="AO24" s="174" t="str">
        <f t="shared" ca="1" si="6"/>
        <v/>
      </c>
      <c r="AP24" s="171" t="str">
        <f t="shared" ca="1" si="7"/>
        <v>NOT DUE</v>
      </c>
    </row>
    <row r="25" spans="1:42" ht="14.4">
      <c r="A25" s="164">
        <f>INDEX(DailyTrackingTable[Date],3)</f>
        <v>46217</v>
      </c>
      <c r="B25" s="159" t="str">
        <f>INDEX(K2CostCategories[Cost Category ID],6)</f>
        <v>ACCOM</v>
      </c>
      <c r="C25" s="159" t="str">
        <f>INDEX(K2CostCategories[Display Name],6)</f>
        <v>Accommodation</v>
      </c>
      <c r="D25" s="159" t="str">
        <f>INDEX(K2CostCategories[Actual Header],6)</f>
        <v>Accommodation Actual</v>
      </c>
      <c r="E25" s="159" t="str">
        <f>INDEX(K2CostCategories[Actual Mode],6)</f>
        <v>MANUAL</v>
      </c>
      <c r="F25" s="161"/>
      <c r="G25" s="159" t="str">
        <f ca="1">IF(K2ActualCompleteness[[#This Row],[Date]]&gt;K2_ControlAsOfDate,"NOT DUE",IF(AND(K2ActualCompleteness[[#This Row],[Date]]=K2_ControlAsOfDate,MOD(NOW(),1)&lt;K2_DailyCloseTime),"OPEN","DUE"))</f>
        <v>DUE</v>
      </c>
      <c r="H25" s="159"/>
      <c r="I25" s="159"/>
      <c r="J25" s="159" t="str">
        <f>INDEX(K2CostCategories[Owner],6)</f>
        <v>Shutdown Manager</v>
      </c>
      <c r="K25" s="163"/>
      <c r="L25" s="159" t="s">
        <v>2770</v>
      </c>
      <c r="M25" s="160">
        <f ca="1">IF(K2ActualCompleteness[[#This Row],[Status]]="MISSING",MAX(0,24*(NOW()-(K2ActualCompleteness[[#This Row],[Date]]+K2_DailyCloseTime))),0)</f>
        <v>290.86016111110803</v>
      </c>
      <c r="N25" s="159" t="s">
        <v>2871</v>
      </c>
      <c r="AK25" s="164">
        <f>INDEX(DailyTrackingTable[Date],22)</f>
        <v>46236</v>
      </c>
      <c r="AL25" s="171" t="str">
        <f t="shared" ca="1" si="4"/>
        <v>NOT DUE</v>
      </c>
      <c r="AM25" s="173">
        <f>COUNTIFS(K2ActualCompleteness[Date],AK25,K2ActualCompleteness[Status],"COMPLETE")+COUNTIFS(K2ActualCompleteness[Date],AK25,K2ActualCompleteness[Status],"APPROVED N/A")</f>
        <v>0</v>
      </c>
      <c r="AN25" s="173">
        <f t="shared" ca="1" si="5"/>
        <v>0</v>
      </c>
      <c r="AO25" s="174" t="str">
        <f t="shared" ca="1" si="6"/>
        <v/>
      </c>
      <c r="AP25" s="171" t="str">
        <f t="shared" ca="1" si="7"/>
        <v>NOT DUE</v>
      </c>
    </row>
    <row r="26" spans="1:42" ht="14.4">
      <c r="A26" s="164">
        <f>INDEX(DailyTrackingTable[Date],3)</f>
        <v>46217</v>
      </c>
      <c r="B26" s="159" t="str">
        <f>INDEX(K2CostCategories[Cost Category ID],7)</f>
        <v>TRANSPORT</v>
      </c>
      <c r="C26" s="159" t="str">
        <f>INDEX(K2CostCategories[Display Name],7)</f>
        <v>Transport</v>
      </c>
      <c r="D26" s="159" t="str">
        <f>INDEX(K2CostCategories[Actual Header],7)</f>
        <v>Transport Actual</v>
      </c>
      <c r="E26" s="159" t="str">
        <f>INDEX(K2CostCategories[Actual Mode],7)</f>
        <v>MANUAL</v>
      </c>
      <c r="F26" s="161"/>
      <c r="G26" s="159" t="str">
        <f ca="1">IF(K2ActualCompleteness[[#This Row],[Date]]&gt;K2_ControlAsOfDate,"NOT DUE",IF(AND(K2ActualCompleteness[[#This Row],[Date]]=K2_ControlAsOfDate,MOD(NOW(),1)&lt;K2_DailyCloseTime),"OPEN","DUE"))</f>
        <v>DUE</v>
      </c>
      <c r="H26" s="159"/>
      <c r="I26" s="159"/>
      <c r="J26" s="159" t="str">
        <f>INDEX(K2CostCategories[Owner],7)</f>
        <v>Commercial Manager</v>
      </c>
      <c r="K26" s="163"/>
      <c r="L26" s="159" t="s">
        <v>2770</v>
      </c>
      <c r="M26" s="160">
        <f ca="1">IF(K2ActualCompleteness[[#This Row],[Status]]="MISSING",MAX(0,24*(NOW()-(K2ActualCompleteness[[#This Row],[Date]]+K2_DailyCloseTime))),0)</f>
        <v>290.86016111110803</v>
      </c>
      <c r="N26" s="159" t="s">
        <v>2872</v>
      </c>
      <c r="AK26" s="164">
        <f>INDEX(DailyTrackingTable[Date],23)</f>
        <v>46237</v>
      </c>
      <c r="AL26" s="171" t="str">
        <f t="shared" ca="1" si="4"/>
        <v>NOT DUE</v>
      </c>
      <c r="AM26" s="173">
        <f>COUNTIFS(K2ActualCompleteness[Date],AK26,K2ActualCompleteness[Status],"COMPLETE")+COUNTIFS(K2ActualCompleteness[Date],AK26,K2ActualCompleteness[Status],"APPROVED N/A")</f>
        <v>0</v>
      </c>
      <c r="AN26" s="173">
        <f t="shared" ca="1" si="5"/>
        <v>0</v>
      </c>
      <c r="AO26" s="174" t="str">
        <f t="shared" ca="1" si="6"/>
        <v/>
      </c>
      <c r="AP26" s="171" t="str">
        <f t="shared" ca="1" si="7"/>
        <v>NOT DUE</v>
      </c>
    </row>
    <row r="27" spans="1:42" ht="14.4">
      <c r="A27" s="164">
        <f>INDEX(DailyTrackingTable[Date],3)</f>
        <v>46217</v>
      </c>
      <c r="B27" s="159" t="str">
        <f>INDEX(K2CostCategories[Cost Category ID],8)</f>
        <v>DAMAGE</v>
      </c>
      <c r="C27" s="159" t="str">
        <f>INDEX(K2CostCategories[Display Name],8)</f>
        <v>Damage Recovery</v>
      </c>
      <c r="D27" s="159" t="str">
        <f>INDEX(K2CostCategories[Actual Header],8)</f>
        <v>Damage Recovery Actual</v>
      </c>
      <c r="E27" s="159" t="str">
        <f>INDEX(K2CostCategories[Actual Mode],8)</f>
        <v>MANUAL</v>
      </c>
      <c r="F27" s="161"/>
      <c r="G27" s="159" t="str">
        <f ca="1">IF(K2ActualCompleteness[[#This Row],[Date]]&gt;K2_ControlAsOfDate,"NOT DUE",IF(AND(K2ActualCompleteness[[#This Row],[Date]]=K2_ControlAsOfDate,MOD(NOW(),1)&lt;K2_DailyCloseTime),"OPEN","DUE"))</f>
        <v>DUE</v>
      </c>
      <c r="H27" s="159"/>
      <c r="I27" s="159"/>
      <c r="J27" s="159" t="str">
        <f>INDEX(K2CostCategories[Owner],8)</f>
        <v>Commercial Manager</v>
      </c>
      <c r="K27" s="163"/>
      <c r="L27" s="159" t="s">
        <v>2770</v>
      </c>
      <c r="M27" s="160">
        <f ca="1">IF(K2ActualCompleteness[[#This Row],[Status]]="MISSING",MAX(0,24*(NOW()-(K2ActualCompleteness[[#This Row],[Date]]+K2_DailyCloseTime))),0)</f>
        <v>290.86016111110803</v>
      </c>
      <c r="N27" s="159" t="s">
        <v>2873</v>
      </c>
      <c r="Q27" s="170" t="s">
        <v>2683</v>
      </c>
      <c r="R27" s="170" t="s">
        <v>2874</v>
      </c>
      <c r="S27" s="170" t="s">
        <v>2875</v>
      </c>
      <c r="T27" s="170" t="s">
        <v>2876</v>
      </c>
      <c r="U27" s="170" t="s">
        <v>2877</v>
      </c>
      <c r="V27" s="170" t="s">
        <v>2878</v>
      </c>
      <c r="W27" s="170" t="s">
        <v>573</v>
      </c>
      <c r="X27" s="170" t="s">
        <v>2879</v>
      </c>
      <c r="Y27" s="170" t="s">
        <v>2880</v>
      </c>
      <c r="Z27" s="170" t="s">
        <v>2881</v>
      </c>
      <c r="AA27" s="170" t="s">
        <v>2694</v>
      </c>
      <c r="AB27" s="170" t="s">
        <v>129</v>
      </c>
      <c r="AC27" s="170" t="s">
        <v>2471</v>
      </c>
      <c r="AK27" s="164">
        <f>INDEX(DailyTrackingTable[Date],24)</f>
        <v>46238</v>
      </c>
      <c r="AL27" s="171" t="str">
        <f t="shared" ca="1" si="4"/>
        <v>NOT DUE</v>
      </c>
      <c r="AM27" s="173">
        <f>COUNTIFS(K2ActualCompleteness[Date],AK27,K2ActualCompleteness[Status],"COMPLETE")+COUNTIFS(K2ActualCompleteness[Date],AK27,K2ActualCompleteness[Status],"APPROVED N/A")</f>
        <v>0</v>
      </c>
      <c r="AN27" s="173">
        <f t="shared" ca="1" si="5"/>
        <v>0</v>
      </c>
      <c r="AO27" s="174" t="str">
        <f t="shared" ca="1" si="6"/>
        <v/>
      </c>
      <c r="AP27" s="171" t="str">
        <f t="shared" ca="1" si="7"/>
        <v>NOT DUE</v>
      </c>
    </row>
    <row r="28" spans="1:42" ht="14.4">
      <c r="A28" s="164">
        <f>INDEX(DailyTrackingTable[Date],4)</f>
        <v>46218</v>
      </c>
      <c r="B28" s="159" t="str">
        <f>INDEX(K2CostCategories[Cost Category ID],1)</f>
        <v>PLANT</v>
      </c>
      <c r="C28" s="159" t="str">
        <f>INDEX(K2CostCategories[Display Name],1)</f>
        <v>Plant Equipment</v>
      </c>
      <c r="D28" s="159" t="str">
        <f>INDEX(K2CostCategories[Actual Header],1)</f>
        <v>Plant Equipment Hire Actual</v>
      </c>
      <c r="E28" s="159" t="str">
        <f>INDEX(K2CostCategories[Actual Mode],1)</f>
        <v>AUTO</v>
      </c>
      <c r="F28" s="161"/>
      <c r="G28" s="159" t="str">
        <f ca="1">IF(K2ActualCompleteness[[#This Row],[Date]]&gt;K2_ControlAsOfDate,"NOT DUE",IF(AND(K2ActualCompleteness[[#This Row],[Date]]=K2_ControlAsOfDate,MOD(NOW(),1)&lt;K2_DailyCloseTime),"OPEN","DUE"))</f>
        <v>DUE</v>
      </c>
      <c r="H28" s="159"/>
      <c r="I28" s="159"/>
      <c r="J28" s="159" t="str">
        <f>INDEX(K2CostCategories[Owner],1)</f>
        <v>Plant Coordinator</v>
      </c>
      <c r="K28" s="163"/>
      <c r="L28" s="159" t="s">
        <v>2770</v>
      </c>
      <c r="M28" s="160">
        <f ca="1">IF(K2ActualCompleteness[[#This Row],[Status]]="MISSING",MAX(0,24*(NOW()-(K2ActualCompleteness[[#This Row],[Date]]+K2_DailyCloseTime))),0)</f>
        <v>266.86016111110803</v>
      </c>
      <c r="N28" s="159" t="s">
        <v>2882</v>
      </c>
      <c r="Q28" s="171" t="s">
        <v>2727</v>
      </c>
      <c r="R28" s="171" t="s">
        <v>2377</v>
      </c>
      <c r="S28" s="173">
        <v>168</v>
      </c>
      <c r="T28" s="173">
        <f>'Dashboard Data'!N9</f>
        <v>159</v>
      </c>
      <c r="U28" s="173">
        <f t="shared" ref="U28:U36" si="9">T28-S28</f>
        <v>-9</v>
      </c>
      <c r="V28" s="173">
        <v>0</v>
      </c>
      <c r="W28" s="171" t="str">
        <f t="shared" ref="W28:W36" si="10">IF(ABS(U28)&lt;=V28,"PASS","CHECK")</f>
        <v>CHECK</v>
      </c>
      <c r="X28" s="171" t="s">
        <v>2560</v>
      </c>
      <c r="Y28" s="171" t="s">
        <v>2883</v>
      </c>
      <c r="Z28" s="172">
        <v>0</v>
      </c>
      <c r="AA28" s="171" t="s">
        <v>2884</v>
      </c>
      <c r="AB28" s="171" t="s">
        <v>2562</v>
      </c>
      <c r="AC28" s="171" t="s">
        <v>2885</v>
      </c>
      <c r="AK28" s="164">
        <f>INDEX(DailyTrackingTable[Date],25)</f>
        <v>46239</v>
      </c>
      <c r="AL28" s="171" t="str">
        <f t="shared" ca="1" si="4"/>
        <v>NOT DUE</v>
      </c>
      <c r="AM28" s="173">
        <f>COUNTIFS(K2ActualCompleteness[Date],AK28,K2ActualCompleteness[Status],"COMPLETE")+COUNTIFS(K2ActualCompleteness[Date],AK28,K2ActualCompleteness[Status],"APPROVED N/A")</f>
        <v>0</v>
      </c>
      <c r="AN28" s="173">
        <f t="shared" ca="1" si="5"/>
        <v>0</v>
      </c>
      <c r="AO28" s="174" t="str">
        <f t="shared" ca="1" si="6"/>
        <v/>
      </c>
      <c r="AP28" s="171" t="str">
        <f t="shared" ca="1" si="7"/>
        <v>NOT DUE</v>
      </c>
    </row>
    <row r="29" spans="1:42" ht="14.4">
      <c r="A29" s="164">
        <f>INDEX(DailyTrackingTable[Date],4)</f>
        <v>46218</v>
      </c>
      <c r="B29" s="159" t="str">
        <f>INDEX(K2CostCategories[Cost Category ID],2)</f>
        <v>TOOLING</v>
      </c>
      <c r="C29" s="159" t="str">
        <f>INDEX(K2CostCategories[Display Name],2)</f>
        <v>Tooling Hire</v>
      </c>
      <c r="D29" s="159" t="str">
        <f>INDEX(K2CostCategories[Actual Header],2)</f>
        <v>Tooling Hire Actual</v>
      </c>
      <c r="E29" s="159" t="str">
        <f>INDEX(K2CostCategories[Actual Mode],2)</f>
        <v>AUTO</v>
      </c>
      <c r="F29" s="161"/>
      <c r="G29" s="159" t="str">
        <f ca="1">IF(K2ActualCompleteness[[#This Row],[Date]]&gt;K2_ControlAsOfDate,"NOT DUE",IF(AND(K2ActualCompleteness[[#This Row],[Date]]=K2_ControlAsOfDate,MOD(NOW(),1)&lt;K2_DailyCloseTime),"OPEN","DUE"))</f>
        <v>DUE</v>
      </c>
      <c r="H29" s="159"/>
      <c r="I29" s="159"/>
      <c r="J29" s="159" t="str">
        <f>INDEX(K2CostCategories[Owner],2)</f>
        <v>Toolstore Supervisor</v>
      </c>
      <c r="K29" s="163"/>
      <c r="L29" s="159" t="s">
        <v>2770</v>
      </c>
      <c r="M29" s="160">
        <f ca="1">IF(K2ActualCompleteness[[#This Row],[Status]]="MISSING",MAX(0,24*(NOW()-(K2ActualCompleteness[[#This Row],[Date]]+K2_DailyCloseTime))),0)</f>
        <v>266.86016111110803</v>
      </c>
      <c r="N29" s="159" t="s">
        <v>2886</v>
      </c>
      <c r="Q29" s="171" t="s">
        <v>2712</v>
      </c>
      <c r="R29" s="171" t="s">
        <v>2887</v>
      </c>
      <c r="S29" s="173">
        <f>SUMIFS(BulkEquipmentTable[Qty On Site],BulkEquipmentTable[Storage Unit],"Cement Barriers",BulkEquipmentTable[Equipment Type],"Crash-Rated Water-Filled Barrier")</f>
        <v>50</v>
      </c>
      <c r="T29" s="173">
        <f>'Dashboard Data'!N13</f>
        <v>50</v>
      </c>
      <c r="U29" s="173">
        <f t="shared" si="9"/>
        <v>0</v>
      </c>
      <c r="V29" s="173">
        <v>0</v>
      </c>
      <c r="W29" s="171" t="str">
        <f t="shared" si="10"/>
        <v>PASS</v>
      </c>
      <c r="X29" s="171" t="s">
        <v>2568</v>
      </c>
      <c r="Y29" s="171" t="s">
        <v>2888</v>
      </c>
      <c r="Z29" s="172">
        <v>2.0699999999999998</v>
      </c>
      <c r="AA29" s="171" t="s">
        <v>2715</v>
      </c>
      <c r="AB29" s="171" t="s">
        <v>2576</v>
      </c>
      <c r="AC29" s="171" t="s">
        <v>2889</v>
      </c>
      <c r="AK29" s="164">
        <f>INDEX(DailyTrackingTable[Date],26)</f>
        <v>46240</v>
      </c>
      <c r="AL29" s="171" t="str">
        <f t="shared" ca="1" si="4"/>
        <v>NOT DUE</v>
      </c>
      <c r="AM29" s="173">
        <f>COUNTIFS(K2ActualCompleteness[Date],AK29,K2ActualCompleteness[Status],"COMPLETE")+COUNTIFS(K2ActualCompleteness[Date],AK29,K2ActualCompleteness[Status],"APPROVED N/A")</f>
        <v>0</v>
      </c>
      <c r="AN29" s="173">
        <f t="shared" ca="1" si="5"/>
        <v>0</v>
      </c>
      <c r="AO29" s="174" t="str">
        <f t="shared" ca="1" si="6"/>
        <v/>
      </c>
      <c r="AP29" s="171" t="str">
        <f t="shared" ca="1" si="7"/>
        <v>NOT DUE</v>
      </c>
    </row>
    <row r="30" spans="1:42" ht="14.4">
      <c r="A30" s="164">
        <f>INDEX(DailyTrackingTable[Date],4)</f>
        <v>46218</v>
      </c>
      <c r="B30" s="159" t="str">
        <f>INDEX(K2CostCategories[Cost Category ID],3)</f>
        <v>RADIO</v>
      </c>
      <c r="C30" s="159" t="str">
        <f>INDEX(K2CostCategories[Display Name],3)</f>
        <v>Radio Family</v>
      </c>
      <c r="D30" s="159" t="str">
        <f>INDEX(K2CostCategories[Actual Header],3)</f>
        <v>Radio Hire Actual</v>
      </c>
      <c r="E30" s="159" t="str">
        <f>INDEX(K2CostCategories[Actual Mode],3)</f>
        <v>AUTO_COMBINED</v>
      </c>
      <c r="F30" s="161"/>
      <c r="G30" s="159" t="str">
        <f ca="1">IF(K2ActualCompleteness[[#This Row],[Date]]&gt;K2_ControlAsOfDate,"NOT DUE",IF(AND(K2ActualCompleteness[[#This Row],[Date]]=K2_ControlAsOfDate,MOD(NOW(),1)&lt;K2_DailyCloseTime),"OPEN","DUE"))</f>
        <v>DUE</v>
      </c>
      <c r="H30" s="159"/>
      <c r="I30" s="159"/>
      <c r="J30" s="159" t="str">
        <f>INDEX(K2CostCategories[Owner],3)</f>
        <v>Toolstore Supervisor</v>
      </c>
      <c r="K30" s="163"/>
      <c r="L30" s="159" t="s">
        <v>2770</v>
      </c>
      <c r="M30" s="160">
        <f ca="1">IF(K2ActualCompleteness[[#This Row],[Status]]="MISSING",MAX(0,24*(NOW()-(K2ActualCompleteness[[#This Row],[Date]]+K2_DailyCloseTime))),0)</f>
        <v>266.86016111110803</v>
      </c>
      <c r="N30" s="159" t="s">
        <v>2890</v>
      </c>
      <c r="Q30" s="171" t="s">
        <v>2718</v>
      </c>
      <c r="R30" s="171" t="s">
        <v>2887</v>
      </c>
      <c r="S30" s="173">
        <f>SUMIFS(BulkEquipmentTable[Qty On Site],BulkEquipmentTable[Storage Unit],"Cement Barriers",BulkEquipmentTable[Equipment Type],"Crowd Control Barrier")</f>
        <v>40</v>
      </c>
      <c r="T30" s="173">
        <f>'Dashboard Data'!N14</f>
        <v>40</v>
      </c>
      <c r="U30" s="173">
        <f t="shared" si="9"/>
        <v>0</v>
      </c>
      <c r="V30" s="173">
        <v>0</v>
      </c>
      <c r="W30" s="171" t="str">
        <f t="shared" si="10"/>
        <v>PASS</v>
      </c>
      <c r="X30" s="171" t="s">
        <v>2568</v>
      </c>
      <c r="Y30" s="171" t="s">
        <v>2891</v>
      </c>
      <c r="Z30" s="172">
        <v>0.8</v>
      </c>
      <c r="AA30" s="171" t="s">
        <v>2715</v>
      </c>
      <c r="AB30" s="171" t="s">
        <v>2576</v>
      </c>
      <c r="AC30" s="171" t="s">
        <v>2889</v>
      </c>
      <c r="AK30" s="164">
        <f>INDEX(DailyTrackingTable[Date],27)</f>
        <v>46241</v>
      </c>
      <c r="AL30" s="171" t="str">
        <f t="shared" ca="1" si="4"/>
        <v>NOT DUE</v>
      </c>
      <c r="AM30" s="173">
        <f>COUNTIFS(K2ActualCompleteness[Date],AK30,K2ActualCompleteness[Status],"COMPLETE")+COUNTIFS(K2ActualCompleteness[Date],AK30,K2ActualCompleteness[Status],"APPROVED N/A")</f>
        <v>0</v>
      </c>
      <c r="AN30" s="173">
        <f t="shared" ca="1" si="5"/>
        <v>0</v>
      </c>
      <c r="AO30" s="174" t="str">
        <f t="shared" ca="1" si="6"/>
        <v/>
      </c>
      <c r="AP30" s="171" t="str">
        <f t="shared" ca="1" si="7"/>
        <v>NOT DUE</v>
      </c>
    </row>
    <row r="31" spans="1:42" ht="14.4">
      <c r="A31" s="164">
        <f>INDEX(DailyTrackingTable[Date],4)</f>
        <v>46218</v>
      </c>
      <c r="B31" s="159" t="str">
        <f>INDEX(K2CostCategories[Cost Category ID],4)</f>
        <v>GAS</v>
      </c>
      <c r="C31" s="159" t="str">
        <f>INDEX(K2CostCategories[Display Name],4)</f>
        <v>Gas Monitors</v>
      </c>
      <c r="D31" s="159" t="str">
        <f>INDEX(K2CostCategories[Actual Header],4)</f>
        <v>Gas Monitor Hire Actual</v>
      </c>
      <c r="E31" s="159" t="str">
        <f>INDEX(K2CostCategories[Actual Mode],4)</f>
        <v>AUTO</v>
      </c>
      <c r="F31" s="161"/>
      <c r="G31" s="159" t="str">
        <f ca="1">IF(K2ActualCompleteness[[#This Row],[Date]]&gt;K2_ControlAsOfDate,"NOT DUE",IF(AND(K2ActualCompleteness[[#This Row],[Date]]=K2_ControlAsOfDate,MOD(NOW(),1)&lt;K2_DailyCloseTime),"OPEN","DUE"))</f>
        <v>DUE</v>
      </c>
      <c r="H31" s="159"/>
      <c r="I31" s="159"/>
      <c r="J31" s="159" t="str">
        <f>INDEX(K2CostCategories[Owner],4)</f>
        <v>Toolstore Supervisor</v>
      </c>
      <c r="K31" s="163"/>
      <c r="L31" s="159" t="s">
        <v>2770</v>
      </c>
      <c r="M31" s="160">
        <f ca="1">IF(K2ActualCompleteness[[#This Row],[Status]]="MISSING",MAX(0,24*(NOW()-(K2ActualCompleteness[[#This Row],[Date]]+K2_DailyCloseTime))),0)</f>
        <v>266.86016111110803</v>
      </c>
      <c r="N31" s="159" t="s">
        <v>2892</v>
      </c>
      <c r="Q31" s="171" t="s">
        <v>2719</v>
      </c>
      <c r="R31" s="171" t="s">
        <v>2887</v>
      </c>
      <c r="S31" s="173">
        <f>SUMIFS(BulkEquipmentTable[Qty On Site],BulkEquipmentTable[Storage Unit],"Cement Rubbish Chutes",BulkEquipmentTable[Equipment Type],"Rubbish Chute 1M Section")</f>
        <v>70</v>
      </c>
      <c r="T31" s="173">
        <f>'Dashboard Data'!N15</f>
        <v>70</v>
      </c>
      <c r="U31" s="173">
        <f t="shared" si="9"/>
        <v>0</v>
      </c>
      <c r="V31" s="173">
        <v>0</v>
      </c>
      <c r="W31" s="171" t="str">
        <f t="shared" si="10"/>
        <v>PASS</v>
      </c>
      <c r="X31" s="171" t="s">
        <v>2568</v>
      </c>
      <c r="Y31" s="171" t="s">
        <v>2893</v>
      </c>
      <c r="Z31" s="172">
        <v>1.04</v>
      </c>
      <c r="AA31" s="171" t="s">
        <v>2715</v>
      </c>
      <c r="AB31" s="171" t="s">
        <v>2576</v>
      </c>
      <c r="AC31" s="171" t="s">
        <v>2889</v>
      </c>
      <c r="AK31" s="164">
        <f>INDEX(DailyTrackingTable[Date],28)</f>
        <v>46242</v>
      </c>
      <c r="AL31" s="171" t="str">
        <f t="shared" ca="1" si="4"/>
        <v>NOT DUE</v>
      </c>
      <c r="AM31" s="173">
        <f>COUNTIFS(K2ActualCompleteness[Date],AK31,K2ActualCompleteness[Status],"COMPLETE")+COUNTIFS(K2ActualCompleteness[Date],AK31,K2ActualCompleteness[Status],"APPROVED N/A")</f>
        <v>0</v>
      </c>
      <c r="AN31" s="173">
        <f t="shared" ca="1" si="5"/>
        <v>0</v>
      </c>
      <c r="AO31" s="174" t="str">
        <f t="shared" ca="1" si="6"/>
        <v/>
      </c>
      <c r="AP31" s="171" t="str">
        <f t="shared" ca="1" si="7"/>
        <v>NOT DUE</v>
      </c>
    </row>
    <row r="32" spans="1:42" ht="14.4">
      <c r="A32" s="164">
        <f>INDEX(DailyTrackingTable[Date],4)</f>
        <v>46218</v>
      </c>
      <c r="B32" s="159" t="str">
        <f>INDEX(K2CostCategories[Cost Category ID],5)</f>
        <v>LABOUR</v>
      </c>
      <c r="C32" s="159" t="str">
        <f>INDEX(K2CostCategories[Display Name],5)</f>
        <v>Personnel / Labour</v>
      </c>
      <c r="D32" s="159" t="str">
        <f>INDEX(K2CostCategories[Actual Header],5)</f>
        <v>Personnel / Labour Actual</v>
      </c>
      <c r="E32" s="159" t="str">
        <f>INDEX(K2CostCategories[Actual Mode],5)</f>
        <v>MANUAL</v>
      </c>
      <c r="F32" s="161"/>
      <c r="G32" s="159" t="str">
        <f ca="1">IF(K2ActualCompleteness[[#This Row],[Date]]&gt;K2_ControlAsOfDate,"NOT DUE",IF(AND(K2ActualCompleteness[[#This Row],[Date]]=K2_ControlAsOfDate,MOD(NOW(),1)&lt;K2_DailyCloseTime),"OPEN","DUE"))</f>
        <v>DUE</v>
      </c>
      <c r="H32" s="159"/>
      <c r="I32" s="159"/>
      <c r="J32" s="159" t="str">
        <f>INDEX(K2CostCategories[Owner],5)</f>
        <v>Shutdown Manager</v>
      </c>
      <c r="K32" s="163"/>
      <c r="L32" s="159" t="s">
        <v>2770</v>
      </c>
      <c r="M32" s="160">
        <f ca="1">IF(K2ActualCompleteness[[#This Row],[Status]]="MISSING",MAX(0,24*(NOW()-(K2ActualCompleteness[[#This Row],[Date]]+K2_DailyCloseTime))),0)</f>
        <v>266.86016111110803</v>
      </c>
      <c r="N32" s="159" t="s">
        <v>2894</v>
      </c>
      <c r="Q32" s="171" t="s">
        <v>2721</v>
      </c>
      <c r="R32" s="171" t="s">
        <v>2887</v>
      </c>
      <c r="S32" s="173">
        <f>SUMIFS(BulkEquipmentTable[Qty On Site],BulkEquipmentTable[Storage Unit],"Cement Rubbish Chutes",BulkEquipmentTable[Equipment Type],"Rubbish Chute Frame")</f>
        <v>8</v>
      </c>
      <c r="T32" s="173">
        <f>'Dashboard Data'!N16</f>
        <v>8</v>
      </c>
      <c r="U32" s="173">
        <f t="shared" si="9"/>
        <v>0</v>
      </c>
      <c r="V32" s="173">
        <v>0</v>
      </c>
      <c r="W32" s="171" t="str">
        <f t="shared" si="10"/>
        <v>PASS</v>
      </c>
      <c r="X32" s="171" t="s">
        <v>2568</v>
      </c>
      <c r="Y32" s="171" t="s">
        <v>2895</v>
      </c>
      <c r="Z32" s="172">
        <v>1.04</v>
      </c>
      <c r="AA32" s="171" t="s">
        <v>2715</v>
      </c>
      <c r="AB32" s="171" t="s">
        <v>2576</v>
      </c>
      <c r="AC32" s="171" t="s">
        <v>2889</v>
      </c>
      <c r="AK32" s="164">
        <f>INDEX(DailyTrackingTable[Date],29)</f>
        <v>46243</v>
      </c>
      <c r="AL32" s="171" t="str">
        <f t="shared" ca="1" si="4"/>
        <v>NOT DUE</v>
      </c>
      <c r="AM32" s="173">
        <f>COUNTIFS(K2ActualCompleteness[Date],AK32,K2ActualCompleteness[Status],"COMPLETE")+COUNTIFS(K2ActualCompleteness[Date],AK32,K2ActualCompleteness[Status],"APPROVED N/A")</f>
        <v>0</v>
      </c>
      <c r="AN32" s="173">
        <f t="shared" ca="1" si="5"/>
        <v>0</v>
      </c>
      <c r="AO32" s="174" t="str">
        <f t="shared" ca="1" si="6"/>
        <v/>
      </c>
      <c r="AP32" s="171" t="str">
        <f t="shared" ca="1" si="7"/>
        <v>NOT DUE</v>
      </c>
    </row>
    <row r="33" spans="1:42" ht="14.4">
      <c r="A33" s="164">
        <f>INDEX(DailyTrackingTable[Date],4)</f>
        <v>46218</v>
      </c>
      <c r="B33" s="159" t="str">
        <f>INDEX(K2CostCategories[Cost Category ID],6)</f>
        <v>ACCOM</v>
      </c>
      <c r="C33" s="159" t="str">
        <f>INDEX(K2CostCategories[Display Name],6)</f>
        <v>Accommodation</v>
      </c>
      <c r="D33" s="159" t="str">
        <f>INDEX(K2CostCategories[Actual Header],6)</f>
        <v>Accommodation Actual</v>
      </c>
      <c r="E33" s="159" t="str">
        <f>INDEX(K2CostCategories[Actual Mode],6)</f>
        <v>MANUAL</v>
      </c>
      <c r="F33" s="161"/>
      <c r="G33" s="159" t="str">
        <f ca="1">IF(K2ActualCompleteness[[#This Row],[Date]]&gt;K2_ControlAsOfDate,"NOT DUE",IF(AND(K2ActualCompleteness[[#This Row],[Date]]=K2_ControlAsOfDate,MOD(NOW(),1)&lt;K2_DailyCloseTime),"OPEN","DUE"))</f>
        <v>DUE</v>
      </c>
      <c r="H33" s="159"/>
      <c r="I33" s="159"/>
      <c r="J33" s="159" t="str">
        <f>INDEX(K2CostCategories[Owner],6)</f>
        <v>Shutdown Manager</v>
      </c>
      <c r="K33" s="163"/>
      <c r="L33" s="159" t="s">
        <v>2770</v>
      </c>
      <c r="M33" s="160">
        <f ca="1">IF(K2ActualCompleteness[[#This Row],[Status]]="MISSING",MAX(0,24*(NOW()-(K2ActualCompleteness[[#This Row],[Date]]+K2_DailyCloseTime))),0)</f>
        <v>266.86016111110803</v>
      </c>
      <c r="N33" s="159" t="s">
        <v>2896</v>
      </c>
      <c r="Q33" s="171" t="s">
        <v>2722</v>
      </c>
      <c r="R33" s="171" t="s">
        <v>2887</v>
      </c>
      <c r="S33" s="173">
        <f>SUMIFS(BulkEquipmentTable[Qty On Site],BulkEquipmentTable[Storage Unit],"Cement Rubbish Chutes",BulkEquipmentTable[Equipment Type],"Rubbish Chute Top Hopper")</f>
        <v>8</v>
      </c>
      <c r="T33" s="173">
        <f>'Dashboard Data'!N17</f>
        <v>8</v>
      </c>
      <c r="U33" s="173">
        <f t="shared" si="9"/>
        <v>0</v>
      </c>
      <c r="V33" s="173">
        <v>0</v>
      </c>
      <c r="W33" s="171" t="str">
        <f t="shared" si="10"/>
        <v>PASS</v>
      </c>
      <c r="X33" s="171" t="s">
        <v>2568</v>
      </c>
      <c r="Y33" s="171" t="s">
        <v>2897</v>
      </c>
      <c r="Z33" s="172">
        <v>1.04</v>
      </c>
      <c r="AA33" s="171" t="s">
        <v>2715</v>
      </c>
      <c r="AB33" s="171" t="s">
        <v>2576</v>
      </c>
      <c r="AC33" s="171" t="s">
        <v>2889</v>
      </c>
      <c r="AK33" s="164">
        <f>INDEX(DailyTrackingTable[Date],30)</f>
        <v>46244</v>
      </c>
      <c r="AL33" s="171" t="str">
        <f t="shared" ca="1" si="4"/>
        <v>NOT DUE</v>
      </c>
      <c r="AM33" s="173">
        <f>COUNTIFS(K2ActualCompleteness[Date],AK33,K2ActualCompleteness[Status],"COMPLETE")+COUNTIFS(K2ActualCompleteness[Date],AK33,K2ActualCompleteness[Status],"APPROVED N/A")</f>
        <v>0</v>
      </c>
      <c r="AN33" s="173">
        <f t="shared" ca="1" si="5"/>
        <v>0</v>
      </c>
      <c r="AO33" s="174" t="str">
        <f t="shared" ca="1" si="6"/>
        <v/>
      </c>
      <c r="AP33" s="171" t="str">
        <f t="shared" ca="1" si="7"/>
        <v>NOT DUE</v>
      </c>
    </row>
    <row r="34" spans="1:42" ht="14.4">
      <c r="A34" s="164">
        <f>INDEX(DailyTrackingTable[Date],4)</f>
        <v>46218</v>
      </c>
      <c r="B34" s="159" t="str">
        <f>INDEX(K2CostCategories[Cost Category ID],7)</f>
        <v>TRANSPORT</v>
      </c>
      <c r="C34" s="159" t="str">
        <f>INDEX(K2CostCategories[Display Name],7)</f>
        <v>Transport</v>
      </c>
      <c r="D34" s="159" t="str">
        <f>INDEX(K2CostCategories[Actual Header],7)</f>
        <v>Transport Actual</v>
      </c>
      <c r="E34" s="159" t="str">
        <f>INDEX(K2CostCategories[Actual Mode],7)</f>
        <v>MANUAL</v>
      </c>
      <c r="F34" s="161"/>
      <c r="G34" s="159" t="str">
        <f ca="1">IF(K2ActualCompleteness[[#This Row],[Date]]&gt;K2_ControlAsOfDate,"NOT DUE",IF(AND(K2ActualCompleteness[[#This Row],[Date]]=K2_ControlAsOfDate,MOD(NOW(),1)&lt;K2_DailyCloseTime),"OPEN","DUE"))</f>
        <v>DUE</v>
      </c>
      <c r="H34" s="159"/>
      <c r="I34" s="159"/>
      <c r="J34" s="159" t="str">
        <f>INDEX(K2CostCategories[Owner],7)</f>
        <v>Commercial Manager</v>
      </c>
      <c r="K34" s="163"/>
      <c r="L34" s="159" t="s">
        <v>2770</v>
      </c>
      <c r="M34" s="160">
        <f ca="1">IF(K2ActualCompleteness[[#This Row],[Status]]="MISSING",MAX(0,24*(NOW()-(K2ActualCompleteness[[#This Row],[Date]]+K2_DailyCloseTime))),0)</f>
        <v>266.86016111110803</v>
      </c>
      <c r="N34" s="159" t="s">
        <v>2898</v>
      </c>
      <c r="Q34" s="171" t="s">
        <v>2705</v>
      </c>
      <c r="R34" s="171" t="s">
        <v>2379</v>
      </c>
      <c r="S34" s="173">
        <f>SUMIFS(BulkEquipmentTable[Qty On Site],BulkEquipmentTable[Storage Unit],"Radios",BulkEquipmentTable[Equipment Type],"Two-Way Radio")</f>
        <v>72</v>
      </c>
      <c r="T34" s="173">
        <f>'Dashboard Data'!N10</f>
        <v>72</v>
      </c>
      <c r="U34" s="173">
        <f t="shared" si="9"/>
        <v>0</v>
      </c>
      <c r="V34" s="173">
        <v>0</v>
      </c>
      <c r="W34" s="171" t="str">
        <f t="shared" si="10"/>
        <v>PASS</v>
      </c>
      <c r="X34" s="171" t="s">
        <v>2568</v>
      </c>
      <c r="Y34" s="171" t="s">
        <v>2899</v>
      </c>
      <c r="Z34" s="172">
        <v>12.81</v>
      </c>
      <c r="AA34" s="171" t="s">
        <v>2709</v>
      </c>
      <c r="AB34" s="171" t="s">
        <v>2552</v>
      </c>
      <c r="AC34" s="171" t="s">
        <v>2900</v>
      </c>
      <c r="AK34" s="164">
        <f>INDEX(DailyTrackingTable[Date],31)</f>
        <v>46245</v>
      </c>
      <c r="AL34" s="171" t="str">
        <f t="shared" ca="1" si="4"/>
        <v>NOT DUE</v>
      </c>
      <c r="AM34" s="173">
        <f>COUNTIFS(K2ActualCompleteness[Date],AK34,K2ActualCompleteness[Status],"COMPLETE")+COUNTIFS(K2ActualCompleteness[Date],AK34,K2ActualCompleteness[Status],"APPROVED N/A")</f>
        <v>0</v>
      </c>
      <c r="AN34" s="173">
        <f t="shared" ca="1" si="5"/>
        <v>0</v>
      </c>
      <c r="AO34" s="174" t="str">
        <f t="shared" ca="1" si="6"/>
        <v/>
      </c>
      <c r="AP34" s="171" t="str">
        <f t="shared" ca="1" si="7"/>
        <v>NOT DUE</v>
      </c>
    </row>
    <row r="35" spans="1:42" ht="14.4">
      <c r="A35" s="164">
        <f>INDEX(DailyTrackingTable[Date],4)</f>
        <v>46218</v>
      </c>
      <c r="B35" s="159" t="str">
        <f>INDEX(K2CostCategories[Cost Category ID],8)</f>
        <v>DAMAGE</v>
      </c>
      <c r="C35" s="159" t="str">
        <f>INDEX(K2CostCategories[Display Name],8)</f>
        <v>Damage Recovery</v>
      </c>
      <c r="D35" s="159" t="str">
        <f>INDEX(K2CostCategories[Actual Header],8)</f>
        <v>Damage Recovery Actual</v>
      </c>
      <c r="E35" s="159" t="str">
        <f>INDEX(K2CostCategories[Actual Mode],8)</f>
        <v>MANUAL</v>
      </c>
      <c r="F35" s="161"/>
      <c r="G35" s="159" t="str">
        <f ca="1">IF(K2ActualCompleteness[[#This Row],[Date]]&gt;K2_ControlAsOfDate,"NOT DUE",IF(AND(K2ActualCompleteness[[#This Row],[Date]]=K2_ControlAsOfDate,MOD(NOW(),1)&lt;K2_DailyCloseTime),"OPEN","DUE"))</f>
        <v>DUE</v>
      </c>
      <c r="H35" s="159"/>
      <c r="I35" s="159"/>
      <c r="J35" s="159" t="str">
        <f>INDEX(K2CostCategories[Owner],8)</f>
        <v>Commercial Manager</v>
      </c>
      <c r="K35" s="163"/>
      <c r="L35" s="159" t="s">
        <v>2770</v>
      </c>
      <c r="M35" s="160">
        <f ca="1">IF(K2ActualCompleteness[[#This Row],[Status]]="MISSING",MAX(0,24*(NOW()-(K2ActualCompleteness[[#This Row],[Date]]+K2_DailyCloseTime))),0)</f>
        <v>266.86016111110803</v>
      </c>
      <c r="N35" s="159" t="s">
        <v>2901</v>
      </c>
      <c r="Q35" s="171" t="s">
        <v>2699</v>
      </c>
      <c r="R35" s="171" t="s">
        <v>2379</v>
      </c>
      <c r="S35" s="173">
        <f>SUMIFS(BulkEquipmentTable[Qty On Site],BulkEquipmentTable[Storage Unit],"Radios",BulkEquipmentTable[Equipment Type],"Radio Battery")</f>
        <v>0</v>
      </c>
      <c r="T35" s="173">
        <f>'Dashboard Data'!N11</f>
        <v>104</v>
      </c>
      <c r="U35" s="173">
        <f t="shared" si="9"/>
        <v>104</v>
      </c>
      <c r="V35" s="173">
        <v>0</v>
      </c>
      <c r="W35" s="171" t="str">
        <f t="shared" si="10"/>
        <v>CHECK</v>
      </c>
      <c r="X35" s="171" t="s">
        <v>2568</v>
      </c>
      <c r="Y35" s="171" t="s">
        <v>2902</v>
      </c>
      <c r="Z35" s="172">
        <v>0</v>
      </c>
      <c r="AA35" s="171" t="s">
        <v>2703</v>
      </c>
      <c r="AB35" s="171" t="s">
        <v>2576</v>
      </c>
      <c r="AC35" s="171" t="s">
        <v>2903</v>
      </c>
      <c r="AK35" s="164">
        <f>INDEX(DailyTrackingTable[Date],32)</f>
        <v>46246</v>
      </c>
      <c r="AL35" s="171" t="str">
        <f t="shared" ca="1" si="4"/>
        <v>NOT DUE</v>
      </c>
      <c r="AM35" s="173">
        <f>COUNTIFS(K2ActualCompleteness[Date],AK35,K2ActualCompleteness[Status],"COMPLETE")+COUNTIFS(K2ActualCompleteness[Date],AK35,K2ActualCompleteness[Status],"APPROVED N/A")</f>
        <v>0</v>
      </c>
      <c r="AN35" s="173">
        <f t="shared" ca="1" si="5"/>
        <v>0</v>
      </c>
      <c r="AO35" s="174" t="str">
        <f t="shared" ca="1" si="6"/>
        <v/>
      </c>
      <c r="AP35" s="171" t="str">
        <f t="shared" ca="1" si="7"/>
        <v>NOT DUE</v>
      </c>
    </row>
    <row r="36" spans="1:42" ht="14.4">
      <c r="A36" s="164">
        <f>INDEX(DailyTrackingTable[Date],5)</f>
        <v>46219</v>
      </c>
      <c r="B36" s="159" t="str">
        <f>INDEX(K2CostCategories[Cost Category ID],1)</f>
        <v>PLANT</v>
      </c>
      <c r="C36" s="159" t="str">
        <f>INDEX(K2CostCategories[Display Name],1)</f>
        <v>Plant Equipment</v>
      </c>
      <c r="D36" s="159" t="str">
        <f>INDEX(K2CostCategories[Actual Header],1)</f>
        <v>Plant Equipment Hire Actual</v>
      </c>
      <c r="E36" s="159" t="str">
        <f>INDEX(K2CostCategories[Actual Mode],1)</f>
        <v>AUTO</v>
      </c>
      <c r="F36" s="161"/>
      <c r="G36" s="159" t="str">
        <f ca="1">IF(K2ActualCompleteness[[#This Row],[Date]]&gt;K2_ControlAsOfDate,"NOT DUE",IF(AND(K2ActualCompleteness[[#This Row],[Date]]=K2_ControlAsOfDate,MOD(NOW(),1)&lt;K2_DailyCloseTime),"OPEN","DUE"))</f>
        <v>DUE</v>
      </c>
      <c r="H36" s="159"/>
      <c r="I36" s="159"/>
      <c r="J36" s="159" t="str">
        <f>INDEX(K2CostCategories[Owner],1)</f>
        <v>Plant Coordinator</v>
      </c>
      <c r="K36" s="163"/>
      <c r="L36" s="159" t="s">
        <v>2770</v>
      </c>
      <c r="M36" s="160">
        <f ca="1">IF(K2ActualCompleteness[[#This Row],[Status]]="MISSING",MAX(0,24*(NOW()-(K2ActualCompleteness[[#This Row],[Date]]+K2_DailyCloseTime))),0)</f>
        <v>242.86016111110803</v>
      </c>
      <c r="N36" s="159" t="s">
        <v>2904</v>
      </c>
      <c r="Q36" s="171" t="s">
        <v>2723</v>
      </c>
      <c r="R36" s="171" t="s">
        <v>2380</v>
      </c>
      <c r="S36" s="173">
        <f>SUMIFS(BulkEquipmentTable[Qty On Site],BulkEquipmentTable[Storage Unit],"Gas Monitors",BulkEquipmentTable[Equipment Type],"Multi-Gas Detector")</f>
        <v>30</v>
      </c>
      <c r="T36" s="173">
        <f>'Dashboard Data'!N12</f>
        <v>30</v>
      </c>
      <c r="U36" s="173">
        <f t="shared" si="9"/>
        <v>0</v>
      </c>
      <c r="V36" s="173">
        <v>0</v>
      </c>
      <c r="W36" s="171" t="str">
        <f t="shared" si="10"/>
        <v>PASS</v>
      </c>
      <c r="X36" s="171" t="s">
        <v>2568</v>
      </c>
      <c r="Y36" s="171" t="s">
        <v>2905</v>
      </c>
      <c r="Z36" s="172">
        <v>29.75</v>
      </c>
      <c r="AA36" s="171" t="s">
        <v>2709</v>
      </c>
      <c r="AB36" s="171" t="s">
        <v>2552</v>
      </c>
      <c r="AC36" s="171" t="s">
        <v>2906</v>
      </c>
      <c r="AK36" s="164">
        <f>INDEX(DailyTrackingTable[Date],33)</f>
        <v>46247</v>
      </c>
      <c r="AL36" s="171" t="str">
        <f t="shared" ca="1" si="4"/>
        <v>NOT DUE</v>
      </c>
      <c r="AM36" s="173">
        <f>COUNTIFS(K2ActualCompleteness[Date],AK36,K2ActualCompleteness[Status],"COMPLETE")+COUNTIFS(K2ActualCompleteness[Date],AK36,K2ActualCompleteness[Status],"APPROVED N/A")</f>
        <v>0</v>
      </c>
      <c r="AN36" s="173">
        <f t="shared" ca="1" si="5"/>
        <v>0</v>
      </c>
      <c r="AO36" s="174" t="str">
        <f t="shared" ca="1" si="6"/>
        <v/>
      </c>
      <c r="AP36" s="171" t="str">
        <f t="shared" ca="1" si="7"/>
        <v>NOT DUE</v>
      </c>
    </row>
    <row r="37" spans="1:42" ht="14.4">
      <c r="A37" s="164">
        <f>INDEX(DailyTrackingTable[Date],5)</f>
        <v>46219</v>
      </c>
      <c r="B37" s="159" t="str">
        <f>INDEX(K2CostCategories[Cost Category ID],2)</f>
        <v>TOOLING</v>
      </c>
      <c r="C37" s="159" t="str">
        <f>INDEX(K2CostCategories[Display Name],2)</f>
        <v>Tooling Hire</v>
      </c>
      <c r="D37" s="159" t="str">
        <f>INDEX(K2CostCategories[Actual Header],2)</f>
        <v>Tooling Hire Actual</v>
      </c>
      <c r="E37" s="159" t="str">
        <f>INDEX(K2CostCategories[Actual Mode],2)</f>
        <v>AUTO</v>
      </c>
      <c r="F37" s="161"/>
      <c r="G37" s="159" t="str">
        <f ca="1">IF(K2ActualCompleteness[[#This Row],[Date]]&gt;K2_ControlAsOfDate,"NOT DUE",IF(AND(K2ActualCompleteness[[#This Row],[Date]]=K2_ControlAsOfDate,MOD(NOW(),1)&lt;K2_DailyCloseTime),"OPEN","DUE"))</f>
        <v>DUE</v>
      </c>
      <c r="H37" s="159"/>
      <c r="I37" s="159"/>
      <c r="J37" s="159" t="str">
        <f>INDEX(K2CostCategories[Owner],2)</f>
        <v>Toolstore Supervisor</v>
      </c>
      <c r="K37" s="163"/>
      <c r="L37" s="159" t="s">
        <v>2770</v>
      </c>
      <c r="M37" s="160">
        <f ca="1">IF(K2ActualCompleteness[[#This Row],[Status]]="MISSING",MAX(0,24*(NOW()-(K2ActualCompleteness[[#This Row],[Date]]+K2_DailyCloseTime))),0)</f>
        <v>242.86016111110803</v>
      </c>
      <c r="N37" s="159" t="s">
        <v>2907</v>
      </c>
      <c r="AK37" s="164">
        <f>INDEX(DailyTrackingTable[Date],34)</f>
        <v>46248</v>
      </c>
      <c r="AL37" s="171" t="str">
        <f t="shared" ca="1" si="4"/>
        <v>NOT DUE</v>
      </c>
      <c r="AM37" s="173">
        <f>COUNTIFS(K2ActualCompleteness[Date],AK37,K2ActualCompleteness[Status],"COMPLETE")+COUNTIFS(K2ActualCompleteness[Date],AK37,K2ActualCompleteness[Status],"APPROVED N/A")</f>
        <v>0</v>
      </c>
      <c r="AN37" s="173">
        <f t="shared" ca="1" si="5"/>
        <v>0</v>
      </c>
      <c r="AO37" s="174" t="str">
        <f t="shared" ca="1" si="6"/>
        <v/>
      </c>
      <c r="AP37" s="171" t="str">
        <f t="shared" ca="1" si="7"/>
        <v>NOT DUE</v>
      </c>
    </row>
    <row r="38" spans="1:42" ht="14.4">
      <c r="A38" s="164">
        <f>INDEX(DailyTrackingTable[Date],5)</f>
        <v>46219</v>
      </c>
      <c r="B38" s="159" t="str">
        <f>INDEX(K2CostCategories[Cost Category ID],3)</f>
        <v>RADIO</v>
      </c>
      <c r="C38" s="159" t="str">
        <f>INDEX(K2CostCategories[Display Name],3)</f>
        <v>Radio Family</v>
      </c>
      <c r="D38" s="159" t="str">
        <f>INDEX(K2CostCategories[Actual Header],3)</f>
        <v>Radio Hire Actual</v>
      </c>
      <c r="E38" s="159" t="str">
        <f>INDEX(K2CostCategories[Actual Mode],3)</f>
        <v>AUTO_COMBINED</v>
      </c>
      <c r="F38" s="161"/>
      <c r="G38" s="159" t="str">
        <f ca="1">IF(K2ActualCompleteness[[#This Row],[Date]]&gt;K2_ControlAsOfDate,"NOT DUE",IF(AND(K2ActualCompleteness[[#This Row],[Date]]=K2_ControlAsOfDate,MOD(NOW(),1)&lt;K2_DailyCloseTime),"OPEN","DUE"))</f>
        <v>DUE</v>
      </c>
      <c r="H38" s="159"/>
      <c r="I38" s="159"/>
      <c r="J38" s="159" t="str">
        <f>INDEX(K2CostCategories[Owner],3)</f>
        <v>Toolstore Supervisor</v>
      </c>
      <c r="K38" s="163"/>
      <c r="L38" s="159" t="s">
        <v>2770</v>
      </c>
      <c r="M38" s="160">
        <f ca="1">IF(K2ActualCompleteness[[#This Row],[Status]]="MISSING",MAX(0,24*(NOW()-(K2ActualCompleteness[[#This Row],[Date]]+K2_DailyCloseTime))),0)</f>
        <v>242.86016111110803</v>
      </c>
      <c r="N38" s="159" t="s">
        <v>2908</v>
      </c>
      <c r="AK38" s="164">
        <f>INDEX(DailyTrackingTable[Date],35)</f>
        <v>46249</v>
      </c>
      <c r="AL38" s="171" t="str">
        <f t="shared" ca="1" si="4"/>
        <v>NOT DUE</v>
      </c>
      <c r="AM38" s="173">
        <f>COUNTIFS(K2ActualCompleteness[Date],AK38,K2ActualCompleteness[Status],"COMPLETE")+COUNTIFS(K2ActualCompleteness[Date],AK38,K2ActualCompleteness[Status],"APPROVED N/A")</f>
        <v>0</v>
      </c>
      <c r="AN38" s="173">
        <f t="shared" ca="1" si="5"/>
        <v>0</v>
      </c>
      <c r="AO38" s="174" t="str">
        <f t="shared" ca="1" si="6"/>
        <v/>
      </c>
      <c r="AP38" s="171" t="str">
        <f t="shared" ca="1" si="7"/>
        <v>NOT DUE</v>
      </c>
    </row>
    <row r="39" spans="1:42" ht="14.4">
      <c r="A39" s="164">
        <f>INDEX(DailyTrackingTable[Date],5)</f>
        <v>46219</v>
      </c>
      <c r="B39" s="159" t="str">
        <f>INDEX(K2CostCategories[Cost Category ID],4)</f>
        <v>GAS</v>
      </c>
      <c r="C39" s="159" t="str">
        <f>INDEX(K2CostCategories[Display Name],4)</f>
        <v>Gas Monitors</v>
      </c>
      <c r="D39" s="159" t="str">
        <f>INDEX(K2CostCategories[Actual Header],4)</f>
        <v>Gas Monitor Hire Actual</v>
      </c>
      <c r="E39" s="159" t="str">
        <f>INDEX(K2CostCategories[Actual Mode],4)</f>
        <v>AUTO</v>
      </c>
      <c r="F39" s="161"/>
      <c r="G39" s="159" t="str">
        <f ca="1">IF(K2ActualCompleteness[[#This Row],[Date]]&gt;K2_ControlAsOfDate,"NOT DUE",IF(AND(K2ActualCompleteness[[#This Row],[Date]]=K2_ControlAsOfDate,MOD(NOW(),1)&lt;K2_DailyCloseTime),"OPEN","DUE"))</f>
        <v>DUE</v>
      </c>
      <c r="H39" s="159"/>
      <c r="I39" s="159"/>
      <c r="J39" s="159" t="str">
        <f>INDEX(K2CostCategories[Owner],4)</f>
        <v>Toolstore Supervisor</v>
      </c>
      <c r="K39" s="163"/>
      <c r="L39" s="159" t="s">
        <v>2770</v>
      </c>
      <c r="M39" s="160">
        <f ca="1">IF(K2ActualCompleteness[[#This Row],[Status]]="MISSING",MAX(0,24*(NOW()-(K2ActualCompleteness[[#This Row],[Date]]+K2_DailyCloseTime))),0)</f>
        <v>242.86016111110803</v>
      </c>
      <c r="N39" s="159" t="s">
        <v>2909</v>
      </c>
    </row>
    <row r="40" spans="1:42" ht="14.4">
      <c r="A40" s="164">
        <f>INDEX(DailyTrackingTable[Date],5)</f>
        <v>46219</v>
      </c>
      <c r="B40" s="159" t="str">
        <f>INDEX(K2CostCategories[Cost Category ID],5)</f>
        <v>LABOUR</v>
      </c>
      <c r="C40" s="159" t="str">
        <f>INDEX(K2CostCategories[Display Name],5)</f>
        <v>Personnel / Labour</v>
      </c>
      <c r="D40" s="159" t="str">
        <f>INDEX(K2CostCategories[Actual Header],5)</f>
        <v>Personnel / Labour Actual</v>
      </c>
      <c r="E40" s="159" t="str">
        <f>INDEX(K2CostCategories[Actual Mode],5)</f>
        <v>MANUAL</v>
      </c>
      <c r="F40" s="161"/>
      <c r="G40" s="159" t="str">
        <f ca="1">IF(K2ActualCompleteness[[#This Row],[Date]]&gt;K2_ControlAsOfDate,"NOT DUE",IF(AND(K2ActualCompleteness[[#This Row],[Date]]=K2_ControlAsOfDate,MOD(NOW(),1)&lt;K2_DailyCloseTime),"OPEN","DUE"))</f>
        <v>DUE</v>
      </c>
      <c r="H40" s="159"/>
      <c r="I40" s="159"/>
      <c r="J40" s="159" t="str">
        <f>INDEX(K2CostCategories[Owner],5)</f>
        <v>Shutdown Manager</v>
      </c>
      <c r="K40" s="163"/>
      <c r="L40" s="159" t="s">
        <v>2770</v>
      </c>
      <c r="M40" s="160">
        <f ca="1">IF(K2ActualCompleteness[[#This Row],[Status]]="MISSING",MAX(0,24*(NOW()-(K2ActualCompleteness[[#This Row],[Date]]+K2_DailyCloseTime))),0)</f>
        <v>242.86016111110803</v>
      </c>
      <c r="N40" s="159" t="s">
        <v>2910</v>
      </c>
      <c r="AK40" s="170" t="s">
        <v>2911</v>
      </c>
      <c r="AL40" s="174">
        <f ca="1">IFERROR(SUMIFS(K2DailyCompleteness[Complete / Approved],K2DailyCompleteness[Day State],"DUE")/SUMIFS(K2DailyCompleteness[Required],K2DailyCompleteness[Day State],"DUE"),0)</f>
        <v>0</v>
      </c>
    </row>
    <row r="41" spans="1:42" ht="14.4">
      <c r="A41" s="164">
        <f>INDEX(DailyTrackingTable[Date],5)</f>
        <v>46219</v>
      </c>
      <c r="B41" s="159" t="str">
        <f>INDEX(K2CostCategories[Cost Category ID],6)</f>
        <v>ACCOM</v>
      </c>
      <c r="C41" s="159" t="str">
        <f>INDEX(K2CostCategories[Display Name],6)</f>
        <v>Accommodation</v>
      </c>
      <c r="D41" s="159" t="str">
        <f>INDEX(K2CostCategories[Actual Header],6)</f>
        <v>Accommodation Actual</v>
      </c>
      <c r="E41" s="159" t="str">
        <f>INDEX(K2CostCategories[Actual Mode],6)</f>
        <v>MANUAL</v>
      </c>
      <c r="F41" s="161"/>
      <c r="G41" s="159" t="str">
        <f ca="1">IF(K2ActualCompleteness[[#This Row],[Date]]&gt;K2_ControlAsOfDate,"NOT DUE",IF(AND(K2ActualCompleteness[[#This Row],[Date]]=K2_ControlAsOfDate,MOD(NOW(),1)&lt;K2_DailyCloseTime),"OPEN","DUE"))</f>
        <v>DUE</v>
      </c>
      <c r="H41" s="159"/>
      <c r="I41" s="159"/>
      <c r="J41" s="159" t="str">
        <f>INDEX(K2CostCategories[Owner],6)</f>
        <v>Shutdown Manager</v>
      </c>
      <c r="K41" s="163"/>
      <c r="L41" s="159" t="s">
        <v>2770</v>
      </c>
      <c r="M41" s="160">
        <f ca="1">IF(K2ActualCompleteness[[#This Row],[Status]]="MISSING",MAX(0,24*(NOW()-(K2ActualCompleteness[[#This Row],[Date]]+K2_DailyCloseTime))),0)</f>
        <v>242.86016111110803</v>
      </c>
      <c r="N41" s="159" t="s">
        <v>2912</v>
      </c>
      <c r="AK41" s="170" t="s">
        <v>2913</v>
      </c>
      <c r="AL41" s="173">
        <f>COUNTIF(K2ActualCompleteness[Status],"MISSING")</f>
        <v>40</v>
      </c>
    </row>
    <row r="42" spans="1:42" ht="14.4">
      <c r="A42" s="164">
        <f>INDEX(DailyTrackingTable[Date],5)</f>
        <v>46219</v>
      </c>
      <c r="B42" s="159" t="str">
        <f>INDEX(K2CostCategories[Cost Category ID],7)</f>
        <v>TRANSPORT</v>
      </c>
      <c r="C42" s="159" t="str">
        <f>INDEX(K2CostCategories[Display Name],7)</f>
        <v>Transport</v>
      </c>
      <c r="D42" s="159" t="str">
        <f>INDEX(K2CostCategories[Actual Header],7)</f>
        <v>Transport Actual</v>
      </c>
      <c r="E42" s="159" t="str">
        <f>INDEX(K2CostCategories[Actual Mode],7)</f>
        <v>MANUAL</v>
      </c>
      <c r="F42" s="161"/>
      <c r="G42" s="159" t="str">
        <f ca="1">IF(K2ActualCompleteness[[#This Row],[Date]]&gt;K2_ControlAsOfDate,"NOT DUE",IF(AND(K2ActualCompleteness[[#This Row],[Date]]=K2_ControlAsOfDate,MOD(NOW(),1)&lt;K2_DailyCloseTime),"OPEN","DUE"))</f>
        <v>DUE</v>
      </c>
      <c r="H42" s="159"/>
      <c r="I42" s="159"/>
      <c r="J42" s="159" t="str">
        <f>INDEX(K2CostCategories[Owner],7)</f>
        <v>Commercial Manager</v>
      </c>
      <c r="K42" s="163"/>
      <c r="L42" s="159" t="s">
        <v>2770</v>
      </c>
      <c r="M42" s="160">
        <f ca="1">IF(K2ActualCompleteness[[#This Row],[Status]]="MISSING",MAX(0,24*(NOW()-(K2ActualCompleteness[[#This Row],[Date]]+K2_DailyCloseTime))),0)</f>
        <v>242.86016111110803</v>
      </c>
      <c r="N42" s="159" t="s">
        <v>2914</v>
      </c>
    </row>
    <row r="43" spans="1:42" ht="14.4">
      <c r="A43" s="164">
        <f>INDEX(DailyTrackingTable[Date],5)</f>
        <v>46219</v>
      </c>
      <c r="B43" s="159" t="str">
        <f>INDEX(K2CostCategories[Cost Category ID],8)</f>
        <v>DAMAGE</v>
      </c>
      <c r="C43" s="159" t="str">
        <f>INDEX(K2CostCategories[Display Name],8)</f>
        <v>Damage Recovery</v>
      </c>
      <c r="D43" s="159" t="str">
        <f>INDEX(K2CostCategories[Actual Header],8)</f>
        <v>Damage Recovery Actual</v>
      </c>
      <c r="E43" s="159" t="str">
        <f>INDEX(K2CostCategories[Actual Mode],8)</f>
        <v>MANUAL</v>
      </c>
      <c r="F43" s="161"/>
      <c r="G43" s="159" t="str">
        <f ca="1">IF(K2ActualCompleteness[[#This Row],[Date]]&gt;K2_ControlAsOfDate,"NOT DUE",IF(AND(K2ActualCompleteness[[#This Row],[Date]]=K2_ControlAsOfDate,MOD(NOW(),1)&lt;K2_DailyCloseTime),"OPEN","DUE"))</f>
        <v>DUE</v>
      </c>
      <c r="H43" s="159"/>
      <c r="I43" s="159"/>
      <c r="J43" s="159" t="str">
        <f>INDEX(K2CostCategories[Owner],8)</f>
        <v>Commercial Manager</v>
      </c>
      <c r="K43" s="163"/>
      <c r="L43" s="159" t="s">
        <v>2770</v>
      </c>
      <c r="M43" s="160">
        <f ca="1">IF(K2ActualCompleteness[[#This Row],[Status]]="MISSING",MAX(0,24*(NOW()-(K2ActualCompleteness[[#This Row],[Date]]+K2_DailyCloseTime))),0)</f>
        <v>242.86016111110803</v>
      </c>
      <c r="N43" s="159" t="s">
        <v>2915</v>
      </c>
    </row>
    <row r="44" spans="1:42" ht="14.4">
      <c r="A44" s="164">
        <f>INDEX(DailyTrackingTable[Date],6)</f>
        <v>46220</v>
      </c>
      <c r="B44" s="159" t="str">
        <f>INDEX(K2CostCategories[Cost Category ID],1)</f>
        <v>PLANT</v>
      </c>
      <c r="C44" s="159" t="str">
        <f>INDEX(K2CostCategories[Display Name],1)</f>
        <v>Plant Equipment</v>
      </c>
      <c r="D44" s="159" t="str">
        <f>INDEX(K2CostCategories[Actual Header],1)</f>
        <v>Plant Equipment Hire Actual</v>
      </c>
      <c r="E44" s="159" t="str">
        <f>INDEX(K2CostCategories[Actual Mode],1)</f>
        <v>AUTO</v>
      </c>
      <c r="F44" s="161"/>
      <c r="G44" s="159" t="str">
        <f ca="1">IF(K2ActualCompleteness[[#This Row],[Date]]&gt;K2_ControlAsOfDate,"NOT DUE",IF(AND(K2ActualCompleteness[[#This Row],[Date]]=K2_ControlAsOfDate,MOD(NOW(),1)&lt;K2_DailyCloseTime),"OPEN","DUE"))</f>
        <v>DUE</v>
      </c>
      <c r="H44" s="159"/>
      <c r="I44" s="159"/>
      <c r="J44" s="159" t="str">
        <f>INDEX(K2CostCategories[Owner],1)</f>
        <v>Plant Coordinator</v>
      </c>
      <c r="K44" s="163"/>
      <c r="L44" s="159" t="s">
        <v>2916</v>
      </c>
      <c r="M44" s="160">
        <f ca="1">IF(K2ActualCompleteness[[#This Row],[Status]]="MISSING",MAX(0,24*(NOW()-(K2ActualCompleteness[[#This Row],[Date]]+K2_DailyCloseTime))),0)</f>
        <v>0</v>
      </c>
      <c r="N44" s="159" t="s">
        <v>2276</v>
      </c>
    </row>
    <row r="45" spans="1:42" ht="14.4">
      <c r="A45" s="164">
        <f>INDEX(DailyTrackingTable[Date],6)</f>
        <v>46220</v>
      </c>
      <c r="B45" s="159" t="str">
        <f>INDEX(K2CostCategories[Cost Category ID],2)</f>
        <v>TOOLING</v>
      </c>
      <c r="C45" s="159" t="str">
        <f>INDEX(K2CostCategories[Display Name],2)</f>
        <v>Tooling Hire</v>
      </c>
      <c r="D45" s="159" t="str">
        <f>INDEX(K2CostCategories[Actual Header],2)</f>
        <v>Tooling Hire Actual</v>
      </c>
      <c r="E45" s="159" t="str">
        <f>INDEX(K2CostCategories[Actual Mode],2)</f>
        <v>AUTO</v>
      </c>
      <c r="F45" s="161"/>
      <c r="G45" s="159" t="str">
        <f ca="1">IF(K2ActualCompleteness[[#This Row],[Date]]&gt;K2_ControlAsOfDate,"NOT DUE",IF(AND(K2ActualCompleteness[[#This Row],[Date]]=K2_ControlAsOfDate,MOD(NOW(),1)&lt;K2_DailyCloseTime),"OPEN","DUE"))</f>
        <v>DUE</v>
      </c>
      <c r="H45" s="159"/>
      <c r="I45" s="159"/>
      <c r="J45" s="159" t="str">
        <f>INDEX(K2CostCategories[Owner],2)</f>
        <v>Toolstore Supervisor</v>
      </c>
      <c r="K45" s="163"/>
      <c r="L45" s="159" t="s">
        <v>2916</v>
      </c>
      <c r="M45" s="160">
        <f ca="1">IF(K2ActualCompleteness[[#This Row],[Status]]="MISSING",MAX(0,24*(NOW()-(K2ActualCompleteness[[#This Row],[Date]]+K2_DailyCloseTime))),0)</f>
        <v>0</v>
      </c>
      <c r="N45" s="159" t="s">
        <v>2276</v>
      </c>
    </row>
    <row r="46" spans="1:42" ht="14.4">
      <c r="A46" s="164">
        <f>INDEX(DailyTrackingTable[Date],6)</f>
        <v>46220</v>
      </c>
      <c r="B46" s="159" t="str">
        <f>INDEX(K2CostCategories[Cost Category ID],3)</f>
        <v>RADIO</v>
      </c>
      <c r="C46" s="159" t="str">
        <f>INDEX(K2CostCategories[Display Name],3)</f>
        <v>Radio Family</v>
      </c>
      <c r="D46" s="159" t="str">
        <f>INDEX(K2CostCategories[Actual Header],3)</f>
        <v>Radio Hire Actual</v>
      </c>
      <c r="E46" s="159" t="str">
        <f>INDEX(K2CostCategories[Actual Mode],3)</f>
        <v>AUTO_COMBINED</v>
      </c>
      <c r="F46" s="161"/>
      <c r="G46" s="159" t="str">
        <f ca="1">IF(K2ActualCompleteness[[#This Row],[Date]]&gt;K2_ControlAsOfDate,"NOT DUE",IF(AND(K2ActualCompleteness[[#This Row],[Date]]=K2_ControlAsOfDate,MOD(NOW(),1)&lt;K2_DailyCloseTime),"OPEN","DUE"))</f>
        <v>DUE</v>
      </c>
      <c r="H46" s="159"/>
      <c r="I46" s="159"/>
      <c r="J46" s="159" t="str">
        <f>INDEX(K2CostCategories[Owner],3)</f>
        <v>Toolstore Supervisor</v>
      </c>
      <c r="K46" s="163"/>
      <c r="L46" s="159" t="s">
        <v>2916</v>
      </c>
      <c r="M46" s="160">
        <f ca="1">IF(K2ActualCompleteness[[#This Row],[Status]]="MISSING",MAX(0,24*(NOW()-(K2ActualCompleteness[[#This Row],[Date]]+K2_DailyCloseTime))),0)</f>
        <v>0</v>
      </c>
      <c r="N46" s="159" t="s">
        <v>2276</v>
      </c>
    </row>
    <row r="47" spans="1:42" ht="14.4">
      <c r="A47" s="164">
        <f>INDEX(DailyTrackingTable[Date],6)</f>
        <v>46220</v>
      </c>
      <c r="B47" s="159" t="str">
        <f>INDEX(K2CostCategories[Cost Category ID],4)</f>
        <v>GAS</v>
      </c>
      <c r="C47" s="159" t="str">
        <f>INDEX(K2CostCategories[Display Name],4)</f>
        <v>Gas Monitors</v>
      </c>
      <c r="D47" s="159" t="str">
        <f>INDEX(K2CostCategories[Actual Header],4)</f>
        <v>Gas Monitor Hire Actual</v>
      </c>
      <c r="E47" s="159" t="str">
        <f>INDEX(K2CostCategories[Actual Mode],4)</f>
        <v>AUTO</v>
      </c>
      <c r="F47" s="161"/>
      <c r="G47" s="159" t="str">
        <f ca="1">IF(K2ActualCompleteness[[#This Row],[Date]]&gt;K2_ControlAsOfDate,"NOT DUE",IF(AND(K2ActualCompleteness[[#This Row],[Date]]=K2_ControlAsOfDate,MOD(NOW(),1)&lt;K2_DailyCloseTime),"OPEN","DUE"))</f>
        <v>DUE</v>
      </c>
      <c r="H47" s="159"/>
      <c r="I47" s="159"/>
      <c r="J47" s="159" t="str">
        <f>INDEX(K2CostCategories[Owner],4)</f>
        <v>Toolstore Supervisor</v>
      </c>
      <c r="K47" s="163"/>
      <c r="L47" s="159" t="s">
        <v>2916</v>
      </c>
      <c r="M47" s="160">
        <f ca="1">IF(K2ActualCompleteness[[#This Row],[Status]]="MISSING",MAX(0,24*(NOW()-(K2ActualCompleteness[[#This Row],[Date]]+K2_DailyCloseTime))),0)</f>
        <v>0</v>
      </c>
      <c r="N47" s="159" t="s">
        <v>2276</v>
      </c>
    </row>
    <row r="48" spans="1:42" ht="14.4">
      <c r="A48" s="164">
        <f>INDEX(DailyTrackingTable[Date],6)</f>
        <v>46220</v>
      </c>
      <c r="B48" s="159" t="str">
        <f>INDEX(K2CostCategories[Cost Category ID],5)</f>
        <v>LABOUR</v>
      </c>
      <c r="C48" s="159" t="str">
        <f>INDEX(K2CostCategories[Display Name],5)</f>
        <v>Personnel / Labour</v>
      </c>
      <c r="D48" s="159" t="str">
        <f>INDEX(K2CostCategories[Actual Header],5)</f>
        <v>Personnel / Labour Actual</v>
      </c>
      <c r="E48" s="159" t="str">
        <f>INDEX(K2CostCategories[Actual Mode],5)</f>
        <v>MANUAL</v>
      </c>
      <c r="F48" s="161"/>
      <c r="G48" s="159" t="str">
        <f ca="1">IF(K2ActualCompleteness[[#This Row],[Date]]&gt;K2_ControlAsOfDate,"NOT DUE",IF(AND(K2ActualCompleteness[[#This Row],[Date]]=K2_ControlAsOfDate,MOD(NOW(),1)&lt;K2_DailyCloseTime),"OPEN","DUE"))</f>
        <v>DUE</v>
      </c>
      <c r="H48" s="159"/>
      <c r="I48" s="159"/>
      <c r="J48" s="159" t="str">
        <f>INDEX(K2CostCategories[Owner],5)</f>
        <v>Shutdown Manager</v>
      </c>
      <c r="K48" s="163"/>
      <c r="L48" s="159" t="s">
        <v>2916</v>
      </c>
      <c r="M48" s="160">
        <f ca="1">IF(K2ActualCompleteness[[#This Row],[Status]]="MISSING",MAX(0,24*(NOW()-(K2ActualCompleteness[[#This Row],[Date]]+K2_DailyCloseTime))),0)</f>
        <v>0</v>
      </c>
      <c r="N48" s="159" t="s">
        <v>2276</v>
      </c>
    </row>
    <row r="49" spans="1:14" ht="14.4">
      <c r="A49" s="164">
        <f>INDEX(DailyTrackingTable[Date],6)</f>
        <v>46220</v>
      </c>
      <c r="B49" s="159" t="str">
        <f>INDEX(K2CostCategories[Cost Category ID],6)</f>
        <v>ACCOM</v>
      </c>
      <c r="C49" s="159" t="str">
        <f>INDEX(K2CostCategories[Display Name],6)</f>
        <v>Accommodation</v>
      </c>
      <c r="D49" s="159" t="str">
        <f>INDEX(K2CostCategories[Actual Header],6)</f>
        <v>Accommodation Actual</v>
      </c>
      <c r="E49" s="159" t="str">
        <f>INDEX(K2CostCategories[Actual Mode],6)</f>
        <v>MANUAL</v>
      </c>
      <c r="F49" s="161"/>
      <c r="G49" s="159" t="str">
        <f ca="1">IF(K2ActualCompleteness[[#This Row],[Date]]&gt;K2_ControlAsOfDate,"NOT DUE",IF(AND(K2ActualCompleteness[[#This Row],[Date]]=K2_ControlAsOfDate,MOD(NOW(),1)&lt;K2_DailyCloseTime),"OPEN","DUE"))</f>
        <v>DUE</v>
      </c>
      <c r="H49" s="159"/>
      <c r="I49" s="159"/>
      <c r="J49" s="159" t="str">
        <f>INDEX(K2CostCategories[Owner],6)</f>
        <v>Shutdown Manager</v>
      </c>
      <c r="K49" s="163"/>
      <c r="L49" s="159" t="s">
        <v>2916</v>
      </c>
      <c r="M49" s="160">
        <f ca="1">IF(K2ActualCompleteness[[#This Row],[Status]]="MISSING",MAX(0,24*(NOW()-(K2ActualCompleteness[[#This Row],[Date]]+K2_DailyCloseTime))),0)</f>
        <v>0</v>
      </c>
      <c r="N49" s="159" t="s">
        <v>2276</v>
      </c>
    </row>
    <row r="50" spans="1:14" ht="14.4">
      <c r="A50" s="164">
        <f>INDEX(DailyTrackingTable[Date],6)</f>
        <v>46220</v>
      </c>
      <c r="B50" s="159" t="str">
        <f>INDEX(K2CostCategories[Cost Category ID],7)</f>
        <v>TRANSPORT</v>
      </c>
      <c r="C50" s="159" t="str">
        <f>INDEX(K2CostCategories[Display Name],7)</f>
        <v>Transport</v>
      </c>
      <c r="D50" s="159" t="str">
        <f>INDEX(K2CostCategories[Actual Header],7)</f>
        <v>Transport Actual</v>
      </c>
      <c r="E50" s="159" t="str">
        <f>INDEX(K2CostCategories[Actual Mode],7)</f>
        <v>MANUAL</v>
      </c>
      <c r="F50" s="161"/>
      <c r="G50" s="159" t="str">
        <f ca="1">IF(K2ActualCompleteness[[#This Row],[Date]]&gt;K2_ControlAsOfDate,"NOT DUE",IF(AND(K2ActualCompleteness[[#This Row],[Date]]=K2_ControlAsOfDate,MOD(NOW(),1)&lt;K2_DailyCloseTime),"OPEN","DUE"))</f>
        <v>DUE</v>
      </c>
      <c r="H50" s="159"/>
      <c r="I50" s="159"/>
      <c r="J50" s="159" t="str">
        <f>INDEX(K2CostCategories[Owner],7)</f>
        <v>Commercial Manager</v>
      </c>
      <c r="K50" s="163"/>
      <c r="L50" s="159" t="s">
        <v>2916</v>
      </c>
      <c r="M50" s="160">
        <f ca="1">IF(K2ActualCompleteness[[#This Row],[Status]]="MISSING",MAX(0,24*(NOW()-(K2ActualCompleteness[[#This Row],[Date]]+K2_DailyCloseTime))),0)</f>
        <v>0</v>
      </c>
      <c r="N50" s="159" t="s">
        <v>2276</v>
      </c>
    </row>
    <row r="51" spans="1:14" ht="14.4">
      <c r="A51" s="164">
        <f>INDEX(DailyTrackingTable[Date],6)</f>
        <v>46220</v>
      </c>
      <c r="B51" s="159" t="str">
        <f>INDEX(K2CostCategories[Cost Category ID],8)</f>
        <v>DAMAGE</v>
      </c>
      <c r="C51" s="159" t="str">
        <f>INDEX(K2CostCategories[Display Name],8)</f>
        <v>Damage Recovery</v>
      </c>
      <c r="D51" s="159" t="str">
        <f>INDEX(K2CostCategories[Actual Header],8)</f>
        <v>Damage Recovery Actual</v>
      </c>
      <c r="E51" s="159" t="str">
        <f>INDEX(K2CostCategories[Actual Mode],8)</f>
        <v>MANUAL</v>
      </c>
      <c r="F51" s="161"/>
      <c r="G51" s="159" t="str">
        <f ca="1">IF(K2ActualCompleteness[[#This Row],[Date]]&gt;K2_ControlAsOfDate,"NOT DUE",IF(AND(K2ActualCompleteness[[#This Row],[Date]]=K2_ControlAsOfDate,MOD(NOW(),1)&lt;K2_DailyCloseTime),"OPEN","DUE"))</f>
        <v>DUE</v>
      </c>
      <c r="H51" s="159"/>
      <c r="I51" s="159"/>
      <c r="J51" s="159" t="str">
        <f>INDEX(K2CostCategories[Owner],8)</f>
        <v>Commercial Manager</v>
      </c>
      <c r="K51" s="163"/>
      <c r="L51" s="159" t="s">
        <v>2916</v>
      </c>
      <c r="M51" s="160">
        <f ca="1">IF(K2ActualCompleteness[[#This Row],[Status]]="MISSING",MAX(0,24*(NOW()-(K2ActualCompleteness[[#This Row],[Date]]+K2_DailyCloseTime))),0)</f>
        <v>0</v>
      </c>
      <c r="N51" s="159" t="s">
        <v>2276</v>
      </c>
    </row>
    <row r="52" spans="1:14" ht="14.4">
      <c r="A52" s="164">
        <f>INDEX(DailyTrackingTable[Date],7)</f>
        <v>46221</v>
      </c>
      <c r="B52" s="159" t="str">
        <f>INDEX(K2CostCategories[Cost Category ID],1)</f>
        <v>PLANT</v>
      </c>
      <c r="C52" s="159" t="str">
        <f>INDEX(K2CostCategories[Display Name],1)</f>
        <v>Plant Equipment</v>
      </c>
      <c r="D52" s="159" t="str">
        <f>INDEX(K2CostCategories[Actual Header],1)</f>
        <v>Plant Equipment Hire Actual</v>
      </c>
      <c r="E52" s="159" t="str">
        <f>INDEX(K2CostCategories[Actual Mode],1)</f>
        <v>AUTO</v>
      </c>
      <c r="F52" s="161"/>
      <c r="G52" s="159" t="str">
        <f ca="1">IF(K2ActualCompleteness[[#This Row],[Date]]&gt;K2_ControlAsOfDate,"NOT DUE",IF(AND(K2ActualCompleteness[[#This Row],[Date]]=K2_ControlAsOfDate,MOD(NOW(),1)&lt;K2_DailyCloseTime),"OPEN","DUE"))</f>
        <v>DUE</v>
      </c>
      <c r="H52" s="159"/>
      <c r="I52" s="159"/>
      <c r="J52" s="159" t="str">
        <f>INDEX(K2CostCategories[Owner],1)</f>
        <v>Plant Coordinator</v>
      </c>
      <c r="K52" s="163"/>
      <c r="L52" s="159" t="s">
        <v>2917</v>
      </c>
      <c r="M52" s="160">
        <f ca="1">IF(K2ActualCompleteness[[#This Row],[Status]]="MISSING",MAX(0,24*(NOW()-(K2ActualCompleteness[[#This Row],[Date]]+K2_DailyCloseTime))),0)</f>
        <v>0</v>
      </c>
      <c r="N52" s="159" t="s">
        <v>2276</v>
      </c>
    </row>
    <row r="53" spans="1:14" ht="14.4">
      <c r="A53" s="164">
        <f>INDEX(DailyTrackingTable[Date],7)</f>
        <v>46221</v>
      </c>
      <c r="B53" s="159" t="str">
        <f>INDEX(K2CostCategories[Cost Category ID],2)</f>
        <v>TOOLING</v>
      </c>
      <c r="C53" s="159" t="str">
        <f>INDEX(K2CostCategories[Display Name],2)</f>
        <v>Tooling Hire</v>
      </c>
      <c r="D53" s="159" t="str">
        <f>INDEX(K2CostCategories[Actual Header],2)</f>
        <v>Tooling Hire Actual</v>
      </c>
      <c r="E53" s="159" t="str">
        <f>INDEX(K2CostCategories[Actual Mode],2)</f>
        <v>AUTO</v>
      </c>
      <c r="F53" s="161"/>
      <c r="G53" s="159" t="str">
        <f ca="1">IF(K2ActualCompleteness[[#This Row],[Date]]&gt;K2_ControlAsOfDate,"NOT DUE",IF(AND(K2ActualCompleteness[[#This Row],[Date]]=K2_ControlAsOfDate,MOD(NOW(),1)&lt;K2_DailyCloseTime),"OPEN","DUE"))</f>
        <v>DUE</v>
      </c>
      <c r="H53" s="159"/>
      <c r="I53" s="159"/>
      <c r="J53" s="159" t="str">
        <f>INDEX(K2CostCategories[Owner],2)</f>
        <v>Toolstore Supervisor</v>
      </c>
      <c r="K53" s="163"/>
      <c r="L53" s="159" t="s">
        <v>2917</v>
      </c>
      <c r="M53" s="160">
        <f ca="1">IF(K2ActualCompleteness[[#This Row],[Status]]="MISSING",MAX(0,24*(NOW()-(K2ActualCompleteness[[#This Row],[Date]]+K2_DailyCloseTime))),0)</f>
        <v>0</v>
      </c>
      <c r="N53" s="159" t="s">
        <v>2276</v>
      </c>
    </row>
    <row r="54" spans="1:14" ht="14.4">
      <c r="A54" s="164">
        <f>INDEX(DailyTrackingTable[Date],7)</f>
        <v>46221</v>
      </c>
      <c r="B54" s="159" t="str">
        <f>INDEX(K2CostCategories[Cost Category ID],3)</f>
        <v>RADIO</v>
      </c>
      <c r="C54" s="159" t="str">
        <f>INDEX(K2CostCategories[Display Name],3)</f>
        <v>Radio Family</v>
      </c>
      <c r="D54" s="159" t="str">
        <f>INDEX(K2CostCategories[Actual Header],3)</f>
        <v>Radio Hire Actual</v>
      </c>
      <c r="E54" s="159" t="str">
        <f>INDEX(K2CostCategories[Actual Mode],3)</f>
        <v>AUTO_COMBINED</v>
      </c>
      <c r="F54" s="161"/>
      <c r="G54" s="159" t="str">
        <f ca="1">IF(K2ActualCompleteness[[#This Row],[Date]]&gt;K2_ControlAsOfDate,"NOT DUE",IF(AND(K2ActualCompleteness[[#This Row],[Date]]=K2_ControlAsOfDate,MOD(NOW(),1)&lt;K2_DailyCloseTime),"OPEN","DUE"))</f>
        <v>DUE</v>
      </c>
      <c r="H54" s="159"/>
      <c r="I54" s="159"/>
      <c r="J54" s="159" t="str">
        <f>INDEX(K2CostCategories[Owner],3)</f>
        <v>Toolstore Supervisor</v>
      </c>
      <c r="K54" s="163"/>
      <c r="L54" s="159" t="s">
        <v>2917</v>
      </c>
      <c r="M54" s="160">
        <f ca="1">IF(K2ActualCompleteness[[#This Row],[Status]]="MISSING",MAX(0,24*(NOW()-(K2ActualCompleteness[[#This Row],[Date]]+K2_DailyCloseTime))),0)</f>
        <v>0</v>
      </c>
      <c r="N54" s="159" t="s">
        <v>2276</v>
      </c>
    </row>
    <row r="55" spans="1:14" ht="14.4">
      <c r="A55" s="164">
        <f>INDEX(DailyTrackingTable[Date],7)</f>
        <v>46221</v>
      </c>
      <c r="B55" s="159" t="str">
        <f>INDEX(K2CostCategories[Cost Category ID],4)</f>
        <v>GAS</v>
      </c>
      <c r="C55" s="159" t="str">
        <f>INDEX(K2CostCategories[Display Name],4)</f>
        <v>Gas Monitors</v>
      </c>
      <c r="D55" s="159" t="str">
        <f>INDEX(K2CostCategories[Actual Header],4)</f>
        <v>Gas Monitor Hire Actual</v>
      </c>
      <c r="E55" s="159" t="str">
        <f>INDEX(K2CostCategories[Actual Mode],4)</f>
        <v>AUTO</v>
      </c>
      <c r="F55" s="161"/>
      <c r="G55" s="159" t="str">
        <f ca="1">IF(K2ActualCompleteness[[#This Row],[Date]]&gt;K2_ControlAsOfDate,"NOT DUE",IF(AND(K2ActualCompleteness[[#This Row],[Date]]=K2_ControlAsOfDate,MOD(NOW(),1)&lt;K2_DailyCloseTime),"OPEN","DUE"))</f>
        <v>DUE</v>
      </c>
      <c r="H55" s="159"/>
      <c r="I55" s="159"/>
      <c r="J55" s="159" t="str">
        <f>INDEX(K2CostCategories[Owner],4)</f>
        <v>Toolstore Supervisor</v>
      </c>
      <c r="K55" s="163"/>
      <c r="L55" s="159" t="s">
        <v>2917</v>
      </c>
      <c r="M55" s="160">
        <f ca="1">IF(K2ActualCompleteness[[#This Row],[Status]]="MISSING",MAX(0,24*(NOW()-(K2ActualCompleteness[[#This Row],[Date]]+K2_DailyCloseTime))),0)</f>
        <v>0</v>
      </c>
      <c r="N55" s="159" t="s">
        <v>2276</v>
      </c>
    </row>
    <row r="56" spans="1:14" ht="14.4">
      <c r="A56" s="164">
        <f>INDEX(DailyTrackingTable[Date],7)</f>
        <v>46221</v>
      </c>
      <c r="B56" s="159" t="str">
        <f>INDEX(K2CostCategories[Cost Category ID],5)</f>
        <v>LABOUR</v>
      </c>
      <c r="C56" s="159" t="str">
        <f>INDEX(K2CostCategories[Display Name],5)</f>
        <v>Personnel / Labour</v>
      </c>
      <c r="D56" s="159" t="str">
        <f>INDEX(K2CostCategories[Actual Header],5)</f>
        <v>Personnel / Labour Actual</v>
      </c>
      <c r="E56" s="159" t="str">
        <f>INDEX(K2CostCategories[Actual Mode],5)</f>
        <v>MANUAL</v>
      </c>
      <c r="F56" s="161"/>
      <c r="G56" s="159" t="str">
        <f ca="1">IF(K2ActualCompleteness[[#This Row],[Date]]&gt;K2_ControlAsOfDate,"NOT DUE",IF(AND(K2ActualCompleteness[[#This Row],[Date]]=K2_ControlAsOfDate,MOD(NOW(),1)&lt;K2_DailyCloseTime),"OPEN","DUE"))</f>
        <v>DUE</v>
      </c>
      <c r="H56" s="159"/>
      <c r="I56" s="159"/>
      <c r="J56" s="159" t="str">
        <f>INDEX(K2CostCategories[Owner],5)</f>
        <v>Shutdown Manager</v>
      </c>
      <c r="K56" s="163"/>
      <c r="L56" s="159" t="s">
        <v>2917</v>
      </c>
      <c r="M56" s="160">
        <f ca="1">IF(K2ActualCompleteness[[#This Row],[Status]]="MISSING",MAX(0,24*(NOW()-(K2ActualCompleteness[[#This Row],[Date]]+K2_DailyCloseTime))),0)</f>
        <v>0</v>
      </c>
      <c r="N56" s="159" t="s">
        <v>2276</v>
      </c>
    </row>
    <row r="57" spans="1:14" ht="14.4">
      <c r="A57" s="164">
        <f>INDEX(DailyTrackingTable[Date],7)</f>
        <v>46221</v>
      </c>
      <c r="B57" s="159" t="str">
        <f>INDEX(K2CostCategories[Cost Category ID],6)</f>
        <v>ACCOM</v>
      </c>
      <c r="C57" s="159" t="str">
        <f>INDEX(K2CostCategories[Display Name],6)</f>
        <v>Accommodation</v>
      </c>
      <c r="D57" s="159" t="str">
        <f>INDEX(K2CostCategories[Actual Header],6)</f>
        <v>Accommodation Actual</v>
      </c>
      <c r="E57" s="159" t="str">
        <f>INDEX(K2CostCategories[Actual Mode],6)</f>
        <v>MANUAL</v>
      </c>
      <c r="F57" s="161"/>
      <c r="G57" s="159" t="str">
        <f ca="1">IF(K2ActualCompleteness[[#This Row],[Date]]&gt;K2_ControlAsOfDate,"NOT DUE",IF(AND(K2ActualCompleteness[[#This Row],[Date]]=K2_ControlAsOfDate,MOD(NOW(),1)&lt;K2_DailyCloseTime),"OPEN","DUE"))</f>
        <v>DUE</v>
      </c>
      <c r="H57" s="159"/>
      <c r="I57" s="159"/>
      <c r="J57" s="159" t="str">
        <f>INDEX(K2CostCategories[Owner],6)</f>
        <v>Shutdown Manager</v>
      </c>
      <c r="K57" s="163"/>
      <c r="L57" s="159" t="s">
        <v>2917</v>
      </c>
      <c r="M57" s="160">
        <f ca="1">IF(K2ActualCompleteness[[#This Row],[Status]]="MISSING",MAX(0,24*(NOW()-(K2ActualCompleteness[[#This Row],[Date]]+K2_DailyCloseTime))),0)</f>
        <v>0</v>
      </c>
      <c r="N57" s="159" t="s">
        <v>2276</v>
      </c>
    </row>
    <row r="58" spans="1:14" ht="14.4">
      <c r="A58" s="164">
        <f>INDEX(DailyTrackingTable[Date],7)</f>
        <v>46221</v>
      </c>
      <c r="B58" s="159" t="str">
        <f>INDEX(K2CostCategories[Cost Category ID],7)</f>
        <v>TRANSPORT</v>
      </c>
      <c r="C58" s="159" t="str">
        <f>INDEX(K2CostCategories[Display Name],7)</f>
        <v>Transport</v>
      </c>
      <c r="D58" s="159" t="str">
        <f>INDEX(K2CostCategories[Actual Header],7)</f>
        <v>Transport Actual</v>
      </c>
      <c r="E58" s="159" t="str">
        <f>INDEX(K2CostCategories[Actual Mode],7)</f>
        <v>MANUAL</v>
      </c>
      <c r="F58" s="161"/>
      <c r="G58" s="159" t="str">
        <f ca="1">IF(K2ActualCompleteness[[#This Row],[Date]]&gt;K2_ControlAsOfDate,"NOT DUE",IF(AND(K2ActualCompleteness[[#This Row],[Date]]=K2_ControlAsOfDate,MOD(NOW(),1)&lt;K2_DailyCloseTime),"OPEN","DUE"))</f>
        <v>DUE</v>
      </c>
      <c r="H58" s="159"/>
      <c r="I58" s="159"/>
      <c r="J58" s="159" t="str">
        <f>INDEX(K2CostCategories[Owner],7)</f>
        <v>Commercial Manager</v>
      </c>
      <c r="K58" s="163"/>
      <c r="L58" s="159" t="s">
        <v>2917</v>
      </c>
      <c r="M58" s="160">
        <f ca="1">IF(K2ActualCompleteness[[#This Row],[Status]]="MISSING",MAX(0,24*(NOW()-(K2ActualCompleteness[[#This Row],[Date]]+K2_DailyCloseTime))),0)</f>
        <v>0</v>
      </c>
      <c r="N58" s="159" t="s">
        <v>2276</v>
      </c>
    </row>
    <row r="59" spans="1:14" ht="14.4">
      <c r="A59" s="164">
        <f>INDEX(DailyTrackingTable[Date],7)</f>
        <v>46221</v>
      </c>
      <c r="B59" s="159" t="str">
        <f>INDEX(K2CostCategories[Cost Category ID],8)</f>
        <v>DAMAGE</v>
      </c>
      <c r="C59" s="159" t="str">
        <f>INDEX(K2CostCategories[Display Name],8)</f>
        <v>Damage Recovery</v>
      </c>
      <c r="D59" s="159" t="str">
        <f>INDEX(K2CostCategories[Actual Header],8)</f>
        <v>Damage Recovery Actual</v>
      </c>
      <c r="E59" s="159" t="str">
        <f>INDEX(K2CostCategories[Actual Mode],8)</f>
        <v>MANUAL</v>
      </c>
      <c r="F59" s="161"/>
      <c r="G59" s="159" t="str">
        <f ca="1">IF(K2ActualCompleteness[[#This Row],[Date]]&gt;K2_ControlAsOfDate,"NOT DUE",IF(AND(K2ActualCompleteness[[#This Row],[Date]]=K2_ControlAsOfDate,MOD(NOW(),1)&lt;K2_DailyCloseTime),"OPEN","DUE"))</f>
        <v>DUE</v>
      </c>
      <c r="H59" s="159"/>
      <c r="I59" s="159"/>
      <c r="J59" s="159" t="str">
        <f>INDEX(K2CostCategories[Owner],8)</f>
        <v>Commercial Manager</v>
      </c>
      <c r="K59" s="163"/>
      <c r="L59" s="159" t="s">
        <v>2917</v>
      </c>
      <c r="M59" s="160">
        <f ca="1">IF(K2ActualCompleteness[[#This Row],[Status]]="MISSING",MAX(0,24*(NOW()-(K2ActualCompleteness[[#This Row],[Date]]+K2_DailyCloseTime))),0)</f>
        <v>0</v>
      </c>
      <c r="N59" s="159" t="s">
        <v>2276</v>
      </c>
    </row>
    <row r="60" spans="1:14" ht="14.4">
      <c r="A60" s="164">
        <f>INDEX(DailyTrackingTable[Date],8)</f>
        <v>46222</v>
      </c>
      <c r="B60" s="159" t="str">
        <f>INDEX(K2CostCategories[Cost Category ID],1)</f>
        <v>PLANT</v>
      </c>
      <c r="C60" s="159" t="str">
        <f>INDEX(K2CostCategories[Display Name],1)</f>
        <v>Plant Equipment</v>
      </c>
      <c r="D60" s="159" t="str">
        <f>INDEX(K2CostCategories[Actual Header],1)</f>
        <v>Plant Equipment Hire Actual</v>
      </c>
      <c r="E60" s="159" t="str">
        <f>INDEX(K2CostCategories[Actual Mode],1)</f>
        <v>AUTO</v>
      </c>
      <c r="F60" s="161"/>
      <c r="G60" s="159" t="str">
        <f ca="1">IF(K2ActualCompleteness[[#This Row],[Date]]&gt;K2_ControlAsOfDate,"NOT DUE",IF(AND(K2ActualCompleteness[[#This Row],[Date]]=K2_ControlAsOfDate,MOD(NOW(),1)&lt;K2_DailyCloseTime),"OPEN","DUE"))</f>
        <v>DUE</v>
      </c>
      <c r="H60" s="159"/>
      <c r="I60" s="159"/>
      <c r="J60" s="159" t="str">
        <f>INDEX(K2CostCategories[Owner],1)</f>
        <v>Plant Coordinator</v>
      </c>
      <c r="K60" s="163"/>
      <c r="L60" s="159" t="s">
        <v>2917</v>
      </c>
      <c r="M60" s="160">
        <f ca="1">IF(K2ActualCompleteness[[#This Row],[Status]]="MISSING",MAX(0,24*(NOW()-(K2ActualCompleteness[[#This Row],[Date]]+K2_DailyCloseTime))),0)</f>
        <v>0</v>
      </c>
      <c r="N60" s="159" t="s">
        <v>2276</v>
      </c>
    </row>
    <row r="61" spans="1:14" ht="14.4">
      <c r="A61" s="164">
        <f>INDEX(DailyTrackingTable[Date],8)</f>
        <v>46222</v>
      </c>
      <c r="B61" s="159" t="str">
        <f>INDEX(K2CostCategories[Cost Category ID],2)</f>
        <v>TOOLING</v>
      </c>
      <c r="C61" s="159" t="str">
        <f>INDEX(K2CostCategories[Display Name],2)</f>
        <v>Tooling Hire</v>
      </c>
      <c r="D61" s="159" t="str">
        <f>INDEX(K2CostCategories[Actual Header],2)</f>
        <v>Tooling Hire Actual</v>
      </c>
      <c r="E61" s="159" t="str">
        <f>INDEX(K2CostCategories[Actual Mode],2)</f>
        <v>AUTO</v>
      </c>
      <c r="F61" s="161"/>
      <c r="G61" s="159" t="str">
        <f ca="1">IF(K2ActualCompleteness[[#This Row],[Date]]&gt;K2_ControlAsOfDate,"NOT DUE",IF(AND(K2ActualCompleteness[[#This Row],[Date]]=K2_ControlAsOfDate,MOD(NOW(),1)&lt;K2_DailyCloseTime),"OPEN","DUE"))</f>
        <v>DUE</v>
      </c>
      <c r="H61" s="159"/>
      <c r="I61" s="159"/>
      <c r="J61" s="159" t="str">
        <f>INDEX(K2CostCategories[Owner],2)</f>
        <v>Toolstore Supervisor</v>
      </c>
      <c r="K61" s="163"/>
      <c r="L61" s="159" t="s">
        <v>2917</v>
      </c>
      <c r="M61" s="160">
        <f ca="1">IF(K2ActualCompleteness[[#This Row],[Status]]="MISSING",MAX(0,24*(NOW()-(K2ActualCompleteness[[#This Row],[Date]]+K2_DailyCloseTime))),0)</f>
        <v>0</v>
      </c>
      <c r="N61" s="159" t="s">
        <v>2276</v>
      </c>
    </row>
    <row r="62" spans="1:14" ht="14.4">
      <c r="A62" s="164">
        <f>INDEX(DailyTrackingTable[Date],8)</f>
        <v>46222</v>
      </c>
      <c r="B62" s="159" t="str">
        <f>INDEX(K2CostCategories[Cost Category ID],3)</f>
        <v>RADIO</v>
      </c>
      <c r="C62" s="159" t="str">
        <f>INDEX(K2CostCategories[Display Name],3)</f>
        <v>Radio Family</v>
      </c>
      <c r="D62" s="159" t="str">
        <f>INDEX(K2CostCategories[Actual Header],3)</f>
        <v>Radio Hire Actual</v>
      </c>
      <c r="E62" s="159" t="str">
        <f>INDEX(K2CostCategories[Actual Mode],3)</f>
        <v>AUTO_COMBINED</v>
      </c>
      <c r="F62" s="161"/>
      <c r="G62" s="159" t="str">
        <f ca="1">IF(K2ActualCompleteness[[#This Row],[Date]]&gt;K2_ControlAsOfDate,"NOT DUE",IF(AND(K2ActualCompleteness[[#This Row],[Date]]=K2_ControlAsOfDate,MOD(NOW(),1)&lt;K2_DailyCloseTime),"OPEN","DUE"))</f>
        <v>DUE</v>
      </c>
      <c r="H62" s="159"/>
      <c r="I62" s="159"/>
      <c r="J62" s="159" t="str">
        <f>INDEX(K2CostCategories[Owner],3)</f>
        <v>Toolstore Supervisor</v>
      </c>
      <c r="K62" s="163"/>
      <c r="L62" s="159" t="s">
        <v>2917</v>
      </c>
      <c r="M62" s="160">
        <f ca="1">IF(K2ActualCompleteness[[#This Row],[Status]]="MISSING",MAX(0,24*(NOW()-(K2ActualCompleteness[[#This Row],[Date]]+K2_DailyCloseTime))),0)</f>
        <v>0</v>
      </c>
      <c r="N62" s="159" t="s">
        <v>2276</v>
      </c>
    </row>
    <row r="63" spans="1:14" ht="14.4">
      <c r="A63" s="164">
        <f>INDEX(DailyTrackingTable[Date],8)</f>
        <v>46222</v>
      </c>
      <c r="B63" s="159" t="str">
        <f>INDEX(K2CostCategories[Cost Category ID],4)</f>
        <v>GAS</v>
      </c>
      <c r="C63" s="159" t="str">
        <f>INDEX(K2CostCategories[Display Name],4)</f>
        <v>Gas Monitors</v>
      </c>
      <c r="D63" s="159" t="str">
        <f>INDEX(K2CostCategories[Actual Header],4)</f>
        <v>Gas Monitor Hire Actual</v>
      </c>
      <c r="E63" s="159" t="str">
        <f>INDEX(K2CostCategories[Actual Mode],4)</f>
        <v>AUTO</v>
      </c>
      <c r="F63" s="161"/>
      <c r="G63" s="159" t="str">
        <f ca="1">IF(K2ActualCompleteness[[#This Row],[Date]]&gt;K2_ControlAsOfDate,"NOT DUE",IF(AND(K2ActualCompleteness[[#This Row],[Date]]=K2_ControlAsOfDate,MOD(NOW(),1)&lt;K2_DailyCloseTime),"OPEN","DUE"))</f>
        <v>DUE</v>
      </c>
      <c r="H63" s="159"/>
      <c r="I63" s="159"/>
      <c r="J63" s="159" t="str">
        <f>INDEX(K2CostCategories[Owner],4)</f>
        <v>Toolstore Supervisor</v>
      </c>
      <c r="K63" s="163"/>
      <c r="L63" s="159" t="s">
        <v>2917</v>
      </c>
      <c r="M63" s="160">
        <f ca="1">IF(K2ActualCompleteness[[#This Row],[Status]]="MISSING",MAX(0,24*(NOW()-(K2ActualCompleteness[[#This Row],[Date]]+K2_DailyCloseTime))),0)</f>
        <v>0</v>
      </c>
      <c r="N63" s="159" t="s">
        <v>2276</v>
      </c>
    </row>
    <row r="64" spans="1:14" ht="14.4">
      <c r="A64" s="164">
        <f>INDEX(DailyTrackingTable[Date],8)</f>
        <v>46222</v>
      </c>
      <c r="B64" s="159" t="str">
        <f>INDEX(K2CostCategories[Cost Category ID],5)</f>
        <v>LABOUR</v>
      </c>
      <c r="C64" s="159" t="str">
        <f>INDEX(K2CostCategories[Display Name],5)</f>
        <v>Personnel / Labour</v>
      </c>
      <c r="D64" s="159" t="str">
        <f>INDEX(K2CostCategories[Actual Header],5)</f>
        <v>Personnel / Labour Actual</v>
      </c>
      <c r="E64" s="159" t="str">
        <f>INDEX(K2CostCategories[Actual Mode],5)</f>
        <v>MANUAL</v>
      </c>
      <c r="F64" s="161"/>
      <c r="G64" s="159" t="str">
        <f ca="1">IF(K2ActualCompleteness[[#This Row],[Date]]&gt;K2_ControlAsOfDate,"NOT DUE",IF(AND(K2ActualCompleteness[[#This Row],[Date]]=K2_ControlAsOfDate,MOD(NOW(),1)&lt;K2_DailyCloseTime),"OPEN","DUE"))</f>
        <v>DUE</v>
      </c>
      <c r="H64" s="159"/>
      <c r="I64" s="159"/>
      <c r="J64" s="159" t="str">
        <f>INDEX(K2CostCategories[Owner],5)</f>
        <v>Shutdown Manager</v>
      </c>
      <c r="K64" s="163"/>
      <c r="L64" s="159" t="s">
        <v>2917</v>
      </c>
      <c r="M64" s="160">
        <f ca="1">IF(K2ActualCompleteness[[#This Row],[Status]]="MISSING",MAX(0,24*(NOW()-(K2ActualCompleteness[[#This Row],[Date]]+K2_DailyCloseTime))),0)</f>
        <v>0</v>
      </c>
      <c r="N64" s="159" t="s">
        <v>2276</v>
      </c>
    </row>
    <row r="65" spans="1:14" ht="14.4">
      <c r="A65" s="164">
        <f>INDEX(DailyTrackingTable[Date],8)</f>
        <v>46222</v>
      </c>
      <c r="B65" s="159" t="str">
        <f>INDEX(K2CostCategories[Cost Category ID],6)</f>
        <v>ACCOM</v>
      </c>
      <c r="C65" s="159" t="str">
        <f>INDEX(K2CostCategories[Display Name],6)</f>
        <v>Accommodation</v>
      </c>
      <c r="D65" s="159" t="str">
        <f>INDEX(K2CostCategories[Actual Header],6)</f>
        <v>Accommodation Actual</v>
      </c>
      <c r="E65" s="159" t="str">
        <f>INDEX(K2CostCategories[Actual Mode],6)</f>
        <v>MANUAL</v>
      </c>
      <c r="F65" s="161"/>
      <c r="G65" s="159" t="str">
        <f ca="1">IF(K2ActualCompleteness[[#This Row],[Date]]&gt;K2_ControlAsOfDate,"NOT DUE",IF(AND(K2ActualCompleteness[[#This Row],[Date]]=K2_ControlAsOfDate,MOD(NOW(),1)&lt;K2_DailyCloseTime),"OPEN","DUE"))</f>
        <v>DUE</v>
      </c>
      <c r="H65" s="159"/>
      <c r="I65" s="159"/>
      <c r="J65" s="159" t="str">
        <f>INDEX(K2CostCategories[Owner],6)</f>
        <v>Shutdown Manager</v>
      </c>
      <c r="K65" s="163"/>
      <c r="L65" s="159" t="s">
        <v>2917</v>
      </c>
      <c r="M65" s="160">
        <f ca="1">IF(K2ActualCompleteness[[#This Row],[Status]]="MISSING",MAX(0,24*(NOW()-(K2ActualCompleteness[[#This Row],[Date]]+K2_DailyCloseTime))),0)</f>
        <v>0</v>
      </c>
      <c r="N65" s="159" t="s">
        <v>2276</v>
      </c>
    </row>
    <row r="66" spans="1:14" ht="14.4">
      <c r="A66" s="164">
        <f>INDEX(DailyTrackingTable[Date],8)</f>
        <v>46222</v>
      </c>
      <c r="B66" s="159" t="str">
        <f>INDEX(K2CostCategories[Cost Category ID],7)</f>
        <v>TRANSPORT</v>
      </c>
      <c r="C66" s="159" t="str">
        <f>INDEX(K2CostCategories[Display Name],7)</f>
        <v>Transport</v>
      </c>
      <c r="D66" s="159" t="str">
        <f>INDEX(K2CostCategories[Actual Header],7)</f>
        <v>Transport Actual</v>
      </c>
      <c r="E66" s="159" t="str">
        <f>INDEX(K2CostCategories[Actual Mode],7)</f>
        <v>MANUAL</v>
      </c>
      <c r="F66" s="161"/>
      <c r="G66" s="159" t="str">
        <f ca="1">IF(K2ActualCompleteness[[#This Row],[Date]]&gt;K2_ControlAsOfDate,"NOT DUE",IF(AND(K2ActualCompleteness[[#This Row],[Date]]=K2_ControlAsOfDate,MOD(NOW(),1)&lt;K2_DailyCloseTime),"OPEN","DUE"))</f>
        <v>DUE</v>
      </c>
      <c r="H66" s="159"/>
      <c r="I66" s="159"/>
      <c r="J66" s="159" t="str">
        <f>INDEX(K2CostCategories[Owner],7)</f>
        <v>Commercial Manager</v>
      </c>
      <c r="K66" s="163"/>
      <c r="L66" s="159" t="s">
        <v>2917</v>
      </c>
      <c r="M66" s="160">
        <f ca="1">IF(K2ActualCompleteness[[#This Row],[Status]]="MISSING",MAX(0,24*(NOW()-(K2ActualCompleteness[[#This Row],[Date]]+K2_DailyCloseTime))),0)</f>
        <v>0</v>
      </c>
      <c r="N66" s="159" t="s">
        <v>2276</v>
      </c>
    </row>
    <row r="67" spans="1:14" ht="14.4">
      <c r="A67" s="164">
        <f>INDEX(DailyTrackingTable[Date],8)</f>
        <v>46222</v>
      </c>
      <c r="B67" s="159" t="str">
        <f>INDEX(K2CostCategories[Cost Category ID],8)</f>
        <v>DAMAGE</v>
      </c>
      <c r="C67" s="159" t="str">
        <f>INDEX(K2CostCategories[Display Name],8)</f>
        <v>Damage Recovery</v>
      </c>
      <c r="D67" s="159" t="str">
        <f>INDEX(K2CostCategories[Actual Header],8)</f>
        <v>Damage Recovery Actual</v>
      </c>
      <c r="E67" s="159" t="str">
        <f>INDEX(K2CostCategories[Actual Mode],8)</f>
        <v>MANUAL</v>
      </c>
      <c r="F67" s="161"/>
      <c r="G67" s="159" t="str">
        <f ca="1">IF(K2ActualCompleteness[[#This Row],[Date]]&gt;K2_ControlAsOfDate,"NOT DUE",IF(AND(K2ActualCompleteness[[#This Row],[Date]]=K2_ControlAsOfDate,MOD(NOW(),1)&lt;K2_DailyCloseTime),"OPEN","DUE"))</f>
        <v>DUE</v>
      </c>
      <c r="H67" s="159"/>
      <c r="I67" s="159"/>
      <c r="J67" s="159" t="str">
        <f>INDEX(K2CostCategories[Owner],8)</f>
        <v>Commercial Manager</v>
      </c>
      <c r="K67" s="163"/>
      <c r="L67" s="159" t="s">
        <v>2917</v>
      </c>
      <c r="M67" s="160">
        <f ca="1">IF(K2ActualCompleteness[[#This Row],[Status]]="MISSING",MAX(0,24*(NOW()-(K2ActualCompleteness[[#This Row],[Date]]+K2_DailyCloseTime))),0)</f>
        <v>0</v>
      </c>
      <c r="N67" s="159" t="s">
        <v>2276</v>
      </c>
    </row>
    <row r="68" spans="1:14" ht="14.4">
      <c r="A68" s="164">
        <f>INDEX(DailyTrackingTable[Date],9)</f>
        <v>46223</v>
      </c>
      <c r="B68" s="159" t="str">
        <f>INDEX(K2CostCategories[Cost Category ID],1)</f>
        <v>PLANT</v>
      </c>
      <c r="C68" s="159" t="str">
        <f>INDEX(K2CostCategories[Display Name],1)</f>
        <v>Plant Equipment</v>
      </c>
      <c r="D68" s="159" t="str">
        <f>INDEX(K2CostCategories[Actual Header],1)</f>
        <v>Plant Equipment Hire Actual</v>
      </c>
      <c r="E68" s="159" t="str">
        <f>INDEX(K2CostCategories[Actual Mode],1)</f>
        <v>AUTO</v>
      </c>
      <c r="F68" s="161"/>
      <c r="G68" s="159" t="str">
        <f ca="1">IF(K2ActualCompleteness[[#This Row],[Date]]&gt;K2_ControlAsOfDate,"NOT DUE",IF(AND(K2ActualCompleteness[[#This Row],[Date]]=K2_ControlAsOfDate,MOD(NOW(),1)&lt;K2_DailyCloseTime),"OPEN","DUE"))</f>
        <v>DUE</v>
      </c>
      <c r="H68" s="159"/>
      <c r="I68" s="159"/>
      <c r="J68" s="159" t="str">
        <f>INDEX(K2CostCategories[Owner],1)</f>
        <v>Plant Coordinator</v>
      </c>
      <c r="K68" s="163"/>
      <c r="L68" s="159" t="s">
        <v>2917</v>
      </c>
      <c r="M68" s="160">
        <f ca="1">IF(K2ActualCompleteness[[#This Row],[Status]]="MISSING",MAX(0,24*(NOW()-(K2ActualCompleteness[[#This Row],[Date]]+K2_DailyCloseTime))),0)</f>
        <v>0</v>
      </c>
      <c r="N68" s="159" t="s">
        <v>2276</v>
      </c>
    </row>
    <row r="69" spans="1:14" ht="14.4">
      <c r="A69" s="164">
        <f>INDEX(DailyTrackingTable[Date],9)</f>
        <v>46223</v>
      </c>
      <c r="B69" s="159" t="str">
        <f>INDEX(K2CostCategories[Cost Category ID],2)</f>
        <v>TOOLING</v>
      </c>
      <c r="C69" s="159" t="str">
        <f>INDEX(K2CostCategories[Display Name],2)</f>
        <v>Tooling Hire</v>
      </c>
      <c r="D69" s="159" t="str">
        <f>INDEX(K2CostCategories[Actual Header],2)</f>
        <v>Tooling Hire Actual</v>
      </c>
      <c r="E69" s="159" t="str">
        <f>INDEX(K2CostCategories[Actual Mode],2)</f>
        <v>AUTO</v>
      </c>
      <c r="F69" s="161"/>
      <c r="G69" s="159" t="str">
        <f ca="1">IF(K2ActualCompleteness[[#This Row],[Date]]&gt;K2_ControlAsOfDate,"NOT DUE",IF(AND(K2ActualCompleteness[[#This Row],[Date]]=K2_ControlAsOfDate,MOD(NOW(),1)&lt;K2_DailyCloseTime),"OPEN","DUE"))</f>
        <v>DUE</v>
      </c>
      <c r="H69" s="159"/>
      <c r="I69" s="159"/>
      <c r="J69" s="159" t="str">
        <f>INDEX(K2CostCategories[Owner],2)</f>
        <v>Toolstore Supervisor</v>
      </c>
      <c r="K69" s="163"/>
      <c r="L69" s="159" t="s">
        <v>2917</v>
      </c>
      <c r="M69" s="160">
        <f ca="1">IF(K2ActualCompleteness[[#This Row],[Status]]="MISSING",MAX(0,24*(NOW()-(K2ActualCompleteness[[#This Row],[Date]]+K2_DailyCloseTime))),0)</f>
        <v>0</v>
      </c>
      <c r="N69" s="159" t="s">
        <v>2276</v>
      </c>
    </row>
    <row r="70" spans="1:14" ht="14.4">
      <c r="A70" s="164">
        <f>INDEX(DailyTrackingTable[Date],9)</f>
        <v>46223</v>
      </c>
      <c r="B70" s="159" t="str">
        <f>INDEX(K2CostCategories[Cost Category ID],3)</f>
        <v>RADIO</v>
      </c>
      <c r="C70" s="159" t="str">
        <f>INDEX(K2CostCategories[Display Name],3)</f>
        <v>Radio Family</v>
      </c>
      <c r="D70" s="159" t="str">
        <f>INDEX(K2CostCategories[Actual Header],3)</f>
        <v>Radio Hire Actual</v>
      </c>
      <c r="E70" s="159" t="str">
        <f>INDEX(K2CostCategories[Actual Mode],3)</f>
        <v>AUTO_COMBINED</v>
      </c>
      <c r="F70" s="161"/>
      <c r="G70" s="159" t="str">
        <f ca="1">IF(K2ActualCompleteness[[#This Row],[Date]]&gt;K2_ControlAsOfDate,"NOT DUE",IF(AND(K2ActualCompleteness[[#This Row],[Date]]=K2_ControlAsOfDate,MOD(NOW(),1)&lt;K2_DailyCloseTime),"OPEN","DUE"))</f>
        <v>DUE</v>
      </c>
      <c r="H70" s="159"/>
      <c r="I70" s="159"/>
      <c r="J70" s="159" t="str">
        <f>INDEX(K2CostCategories[Owner],3)</f>
        <v>Toolstore Supervisor</v>
      </c>
      <c r="K70" s="163"/>
      <c r="L70" s="159" t="s">
        <v>2917</v>
      </c>
      <c r="M70" s="160">
        <f ca="1">IF(K2ActualCompleteness[[#This Row],[Status]]="MISSING",MAX(0,24*(NOW()-(K2ActualCompleteness[[#This Row],[Date]]+K2_DailyCloseTime))),0)</f>
        <v>0</v>
      </c>
      <c r="N70" s="159" t="s">
        <v>2276</v>
      </c>
    </row>
    <row r="71" spans="1:14" ht="14.4">
      <c r="A71" s="164">
        <f>INDEX(DailyTrackingTable[Date],9)</f>
        <v>46223</v>
      </c>
      <c r="B71" s="159" t="str">
        <f>INDEX(K2CostCategories[Cost Category ID],4)</f>
        <v>GAS</v>
      </c>
      <c r="C71" s="159" t="str">
        <f>INDEX(K2CostCategories[Display Name],4)</f>
        <v>Gas Monitors</v>
      </c>
      <c r="D71" s="159" t="str">
        <f>INDEX(K2CostCategories[Actual Header],4)</f>
        <v>Gas Monitor Hire Actual</v>
      </c>
      <c r="E71" s="159" t="str">
        <f>INDEX(K2CostCategories[Actual Mode],4)</f>
        <v>AUTO</v>
      </c>
      <c r="F71" s="161"/>
      <c r="G71" s="159" t="str">
        <f ca="1">IF(K2ActualCompleteness[[#This Row],[Date]]&gt;K2_ControlAsOfDate,"NOT DUE",IF(AND(K2ActualCompleteness[[#This Row],[Date]]=K2_ControlAsOfDate,MOD(NOW(),1)&lt;K2_DailyCloseTime),"OPEN","DUE"))</f>
        <v>DUE</v>
      </c>
      <c r="H71" s="159"/>
      <c r="I71" s="159"/>
      <c r="J71" s="159" t="str">
        <f>INDEX(K2CostCategories[Owner],4)</f>
        <v>Toolstore Supervisor</v>
      </c>
      <c r="K71" s="163"/>
      <c r="L71" s="159" t="s">
        <v>2917</v>
      </c>
      <c r="M71" s="160">
        <f ca="1">IF(K2ActualCompleteness[[#This Row],[Status]]="MISSING",MAX(0,24*(NOW()-(K2ActualCompleteness[[#This Row],[Date]]+K2_DailyCloseTime))),0)</f>
        <v>0</v>
      </c>
      <c r="N71" s="159" t="s">
        <v>2276</v>
      </c>
    </row>
    <row r="72" spans="1:14" ht="14.4">
      <c r="A72" s="164">
        <f>INDEX(DailyTrackingTable[Date],9)</f>
        <v>46223</v>
      </c>
      <c r="B72" s="159" t="str">
        <f>INDEX(K2CostCategories[Cost Category ID],5)</f>
        <v>LABOUR</v>
      </c>
      <c r="C72" s="159" t="str">
        <f>INDEX(K2CostCategories[Display Name],5)</f>
        <v>Personnel / Labour</v>
      </c>
      <c r="D72" s="159" t="str">
        <f>INDEX(K2CostCategories[Actual Header],5)</f>
        <v>Personnel / Labour Actual</v>
      </c>
      <c r="E72" s="159" t="str">
        <f>INDEX(K2CostCategories[Actual Mode],5)</f>
        <v>MANUAL</v>
      </c>
      <c r="F72" s="161"/>
      <c r="G72" s="159" t="str">
        <f ca="1">IF(K2ActualCompleteness[[#This Row],[Date]]&gt;K2_ControlAsOfDate,"NOT DUE",IF(AND(K2ActualCompleteness[[#This Row],[Date]]=K2_ControlAsOfDate,MOD(NOW(),1)&lt;K2_DailyCloseTime),"OPEN","DUE"))</f>
        <v>DUE</v>
      </c>
      <c r="H72" s="159"/>
      <c r="I72" s="159"/>
      <c r="J72" s="159" t="str">
        <f>INDEX(K2CostCategories[Owner],5)</f>
        <v>Shutdown Manager</v>
      </c>
      <c r="K72" s="163"/>
      <c r="L72" s="159" t="s">
        <v>2917</v>
      </c>
      <c r="M72" s="160">
        <f ca="1">IF(K2ActualCompleteness[[#This Row],[Status]]="MISSING",MAX(0,24*(NOW()-(K2ActualCompleteness[[#This Row],[Date]]+K2_DailyCloseTime))),0)</f>
        <v>0</v>
      </c>
      <c r="N72" s="159" t="s">
        <v>2276</v>
      </c>
    </row>
    <row r="73" spans="1:14" ht="14.4">
      <c r="A73" s="164">
        <f>INDEX(DailyTrackingTable[Date],9)</f>
        <v>46223</v>
      </c>
      <c r="B73" s="159" t="str">
        <f>INDEX(K2CostCategories[Cost Category ID],6)</f>
        <v>ACCOM</v>
      </c>
      <c r="C73" s="159" t="str">
        <f>INDEX(K2CostCategories[Display Name],6)</f>
        <v>Accommodation</v>
      </c>
      <c r="D73" s="159" t="str">
        <f>INDEX(K2CostCategories[Actual Header],6)</f>
        <v>Accommodation Actual</v>
      </c>
      <c r="E73" s="159" t="str">
        <f>INDEX(K2CostCategories[Actual Mode],6)</f>
        <v>MANUAL</v>
      </c>
      <c r="F73" s="161"/>
      <c r="G73" s="159" t="str">
        <f ca="1">IF(K2ActualCompleteness[[#This Row],[Date]]&gt;K2_ControlAsOfDate,"NOT DUE",IF(AND(K2ActualCompleteness[[#This Row],[Date]]=K2_ControlAsOfDate,MOD(NOW(),1)&lt;K2_DailyCloseTime),"OPEN","DUE"))</f>
        <v>DUE</v>
      </c>
      <c r="H73" s="159"/>
      <c r="I73" s="159"/>
      <c r="J73" s="159" t="str">
        <f>INDEX(K2CostCategories[Owner],6)</f>
        <v>Shutdown Manager</v>
      </c>
      <c r="K73" s="163"/>
      <c r="L73" s="159" t="s">
        <v>2917</v>
      </c>
      <c r="M73" s="160">
        <f ca="1">IF(K2ActualCompleteness[[#This Row],[Status]]="MISSING",MAX(0,24*(NOW()-(K2ActualCompleteness[[#This Row],[Date]]+K2_DailyCloseTime))),0)</f>
        <v>0</v>
      </c>
      <c r="N73" s="159" t="s">
        <v>2276</v>
      </c>
    </row>
    <row r="74" spans="1:14" ht="14.4">
      <c r="A74" s="164">
        <f>INDEX(DailyTrackingTable[Date],9)</f>
        <v>46223</v>
      </c>
      <c r="B74" s="159" t="str">
        <f>INDEX(K2CostCategories[Cost Category ID],7)</f>
        <v>TRANSPORT</v>
      </c>
      <c r="C74" s="159" t="str">
        <f>INDEX(K2CostCategories[Display Name],7)</f>
        <v>Transport</v>
      </c>
      <c r="D74" s="159" t="str">
        <f>INDEX(K2CostCategories[Actual Header],7)</f>
        <v>Transport Actual</v>
      </c>
      <c r="E74" s="159" t="str">
        <f>INDEX(K2CostCategories[Actual Mode],7)</f>
        <v>MANUAL</v>
      </c>
      <c r="F74" s="161"/>
      <c r="G74" s="159" t="str">
        <f ca="1">IF(K2ActualCompleteness[[#This Row],[Date]]&gt;K2_ControlAsOfDate,"NOT DUE",IF(AND(K2ActualCompleteness[[#This Row],[Date]]=K2_ControlAsOfDate,MOD(NOW(),1)&lt;K2_DailyCloseTime),"OPEN","DUE"))</f>
        <v>DUE</v>
      </c>
      <c r="H74" s="159"/>
      <c r="I74" s="159"/>
      <c r="J74" s="159" t="str">
        <f>INDEX(K2CostCategories[Owner],7)</f>
        <v>Commercial Manager</v>
      </c>
      <c r="K74" s="163"/>
      <c r="L74" s="159" t="s">
        <v>2917</v>
      </c>
      <c r="M74" s="160">
        <f ca="1">IF(K2ActualCompleteness[[#This Row],[Status]]="MISSING",MAX(0,24*(NOW()-(K2ActualCompleteness[[#This Row],[Date]]+K2_DailyCloseTime))),0)</f>
        <v>0</v>
      </c>
      <c r="N74" s="159" t="s">
        <v>2276</v>
      </c>
    </row>
    <row r="75" spans="1:14" ht="14.4">
      <c r="A75" s="164">
        <f>INDEX(DailyTrackingTable[Date],9)</f>
        <v>46223</v>
      </c>
      <c r="B75" s="159" t="str">
        <f>INDEX(K2CostCategories[Cost Category ID],8)</f>
        <v>DAMAGE</v>
      </c>
      <c r="C75" s="159" t="str">
        <f>INDEX(K2CostCategories[Display Name],8)</f>
        <v>Damage Recovery</v>
      </c>
      <c r="D75" s="159" t="str">
        <f>INDEX(K2CostCategories[Actual Header],8)</f>
        <v>Damage Recovery Actual</v>
      </c>
      <c r="E75" s="159" t="str">
        <f>INDEX(K2CostCategories[Actual Mode],8)</f>
        <v>MANUAL</v>
      </c>
      <c r="F75" s="161"/>
      <c r="G75" s="159" t="str">
        <f ca="1">IF(K2ActualCompleteness[[#This Row],[Date]]&gt;K2_ControlAsOfDate,"NOT DUE",IF(AND(K2ActualCompleteness[[#This Row],[Date]]=K2_ControlAsOfDate,MOD(NOW(),1)&lt;K2_DailyCloseTime),"OPEN","DUE"))</f>
        <v>DUE</v>
      </c>
      <c r="H75" s="159"/>
      <c r="I75" s="159"/>
      <c r="J75" s="159" t="str">
        <f>INDEX(K2CostCategories[Owner],8)</f>
        <v>Commercial Manager</v>
      </c>
      <c r="K75" s="163"/>
      <c r="L75" s="159" t="s">
        <v>2917</v>
      </c>
      <c r="M75" s="160">
        <f ca="1">IF(K2ActualCompleteness[[#This Row],[Status]]="MISSING",MAX(0,24*(NOW()-(K2ActualCompleteness[[#This Row],[Date]]+K2_DailyCloseTime))),0)</f>
        <v>0</v>
      </c>
      <c r="N75" s="159" t="s">
        <v>2276</v>
      </c>
    </row>
    <row r="76" spans="1:14" ht="14.4">
      <c r="A76" s="164">
        <f>INDEX(DailyTrackingTable[Date],10)</f>
        <v>46224</v>
      </c>
      <c r="B76" s="159" t="str">
        <f>INDEX(K2CostCategories[Cost Category ID],1)</f>
        <v>PLANT</v>
      </c>
      <c r="C76" s="159" t="str">
        <f>INDEX(K2CostCategories[Display Name],1)</f>
        <v>Plant Equipment</v>
      </c>
      <c r="D76" s="159" t="str">
        <f>INDEX(K2CostCategories[Actual Header],1)</f>
        <v>Plant Equipment Hire Actual</v>
      </c>
      <c r="E76" s="159" t="str">
        <f>INDEX(K2CostCategories[Actual Mode],1)</f>
        <v>AUTO</v>
      </c>
      <c r="F76" s="161"/>
      <c r="G76" s="159" t="str">
        <f ca="1">IF(K2ActualCompleteness[[#This Row],[Date]]&gt;K2_ControlAsOfDate,"NOT DUE",IF(AND(K2ActualCompleteness[[#This Row],[Date]]=K2_ControlAsOfDate,MOD(NOW(),1)&lt;K2_DailyCloseTime),"OPEN","DUE"))</f>
        <v>DUE</v>
      </c>
      <c r="H76" s="159"/>
      <c r="I76" s="159"/>
      <c r="J76" s="159" t="str">
        <f>INDEX(K2CostCategories[Owner],1)</f>
        <v>Plant Coordinator</v>
      </c>
      <c r="K76" s="163"/>
      <c r="L76" s="159" t="s">
        <v>2917</v>
      </c>
      <c r="M76" s="160">
        <f ca="1">IF(K2ActualCompleteness[[#This Row],[Status]]="MISSING",MAX(0,24*(NOW()-(K2ActualCompleteness[[#This Row],[Date]]+K2_DailyCloseTime))),0)</f>
        <v>0</v>
      </c>
      <c r="N76" s="159" t="s">
        <v>2276</v>
      </c>
    </row>
    <row r="77" spans="1:14" ht="14.4">
      <c r="A77" s="164">
        <f>INDEX(DailyTrackingTable[Date],10)</f>
        <v>46224</v>
      </c>
      <c r="B77" s="159" t="str">
        <f>INDEX(K2CostCategories[Cost Category ID],2)</f>
        <v>TOOLING</v>
      </c>
      <c r="C77" s="159" t="str">
        <f>INDEX(K2CostCategories[Display Name],2)</f>
        <v>Tooling Hire</v>
      </c>
      <c r="D77" s="159" t="str">
        <f>INDEX(K2CostCategories[Actual Header],2)</f>
        <v>Tooling Hire Actual</v>
      </c>
      <c r="E77" s="159" t="str">
        <f>INDEX(K2CostCategories[Actual Mode],2)</f>
        <v>AUTO</v>
      </c>
      <c r="F77" s="161"/>
      <c r="G77" s="159" t="str">
        <f ca="1">IF(K2ActualCompleteness[[#This Row],[Date]]&gt;K2_ControlAsOfDate,"NOT DUE",IF(AND(K2ActualCompleteness[[#This Row],[Date]]=K2_ControlAsOfDate,MOD(NOW(),1)&lt;K2_DailyCloseTime),"OPEN","DUE"))</f>
        <v>DUE</v>
      </c>
      <c r="H77" s="159"/>
      <c r="I77" s="159"/>
      <c r="J77" s="159" t="str">
        <f>INDEX(K2CostCategories[Owner],2)</f>
        <v>Toolstore Supervisor</v>
      </c>
      <c r="K77" s="163"/>
      <c r="L77" s="159" t="s">
        <v>2917</v>
      </c>
      <c r="M77" s="160">
        <f ca="1">IF(K2ActualCompleteness[[#This Row],[Status]]="MISSING",MAX(0,24*(NOW()-(K2ActualCompleteness[[#This Row],[Date]]+K2_DailyCloseTime))),0)</f>
        <v>0</v>
      </c>
      <c r="N77" s="159" t="s">
        <v>2276</v>
      </c>
    </row>
    <row r="78" spans="1:14" ht="14.4">
      <c r="A78" s="164">
        <f>INDEX(DailyTrackingTable[Date],10)</f>
        <v>46224</v>
      </c>
      <c r="B78" s="159" t="str">
        <f>INDEX(K2CostCategories[Cost Category ID],3)</f>
        <v>RADIO</v>
      </c>
      <c r="C78" s="159" t="str">
        <f>INDEX(K2CostCategories[Display Name],3)</f>
        <v>Radio Family</v>
      </c>
      <c r="D78" s="159" t="str">
        <f>INDEX(K2CostCategories[Actual Header],3)</f>
        <v>Radio Hire Actual</v>
      </c>
      <c r="E78" s="159" t="str">
        <f>INDEX(K2CostCategories[Actual Mode],3)</f>
        <v>AUTO_COMBINED</v>
      </c>
      <c r="F78" s="161"/>
      <c r="G78" s="159" t="str">
        <f ca="1">IF(K2ActualCompleteness[[#This Row],[Date]]&gt;K2_ControlAsOfDate,"NOT DUE",IF(AND(K2ActualCompleteness[[#This Row],[Date]]=K2_ControlAsOfDate,MOD(NOW(),1)&lt;K2_DailyCloseTime),"OPEN","DUE"))</f>
        <v>DUE</v>
      </c>
      <c r="H78" s="159"/>
      <c r="I78" s="159"/>
      <c r="J78" s="159" t="str">
        <f>INDEX(K2CostCategories[Owner],3)</f>
        <v>Toolstore Supervisor</v>
      </c>
      <c r="K78" s="163"/>
      <c r="L78" s="159" t="s">
        <v>2917</v>
      </c>
      <c r="M78" s="160">
        <f ca="1">IF(K2ActualCompleteness[[#This Row],[Status]]="MISSING",MAX(0,24*(NOW()-(K2ActualCompleteness[[#This Row],[Date]]+K2_DailyCloseTime))),0)</f>
        <v>0</v>
      </c>
      <c r="N78" s="159" t="s">
        <v>2276</v>
      </c>
    </row>
    <row r="79" spans="1:14" ht="14.4">
      <c r="A79" s="164">
        <f>INDEX(DailyTrackingTable[Date],10)</f>
        <v>46224</v>
      </c>
      <c r="B79" s="159" t="str">
        <f>INDEX(K2CostCategories[Cost Category ID],4)</f>
        <v>GAS</v>
      </c>
      <c r="C79" s="159" t="str">
        <f>INDEX(K2CostCategories[Display Name],4)</f>
        <v>Gas Monitors</v>
      </c>
      <c r="D79" s="159" t="str">
        <f>INDEX(K2CostCategories[Actual Header],4)</f>
        <v>Gas Monitor Hire Actual</v>
      </c>
      <c r="E79" s="159" t="str">
        <f>INDEX(K2CostCategories[Actual Mode],4)</f>
        <v>AUTO</v>
      </c>
      <c r="F79" s="161"/>
      <c r="G79" s="159" t="str">
        <f ca="1">IF(K2ActualCompleteness[[#This Row],[Date]]&gt;K2_ControlAsOfDate,"NOT DUE",IF(AND(K2ActualCompleteness[[#This Row],[Date]]=K2_ControlAsOfDate,MOD(NOW(),1)&lt;K2_DailyCloseTime),"OPEN","DUE"))</f>
        <v>DUE</v>
      </c>
      <c r="H79" s="159"/>
      <c r="I79" s="159"/>
      <c r="J79" s="159" t="str">
        <f>INDEX(K2CostCategories[Owner],4)</f>
        <v>Toolstore Supervisor</v>
      </c>
      <c r="K79" s="163"/>
      <c r="L79" s="159" t="s">
        <v>2917</v>
      </c>
      <c r="M79" s="160">
        <f ca="1">IF(K2ActualCompleteness[[#This Row],[Status]]="MISSING",MAX(0,24*(NOW()-(K2ActualCompleteness[[#This Row],[Date]]+K2_DailyCloseTime))),0)</f>
        <v>0</v>
      </c>
      <c r="N79" s="159" t="s">
        <v>2276</v>
      </c>
    </row>
    <row r="80" spans="1:14" ht="14.4">
      <c r="A80" s="164">
        <f>INDEX(DailyTrackingTable[Date],10)</f>
        <v>46224</v>
      </c>
      <c r="B80" s="159" t="str">
        <f>INDEX(K2CostCategories[Cost Category ID],5)</f>
        <v>LABOUR</v>
      </c>
      <c r="C80" s="159" t="str">
        <f>INDEX(K2CostCategories[Display Name],5)</f>
        <v>Personnel / Labour</v>
      </c>
      <c r="D80" s="159" t="str">
        <f>INDEX(K2CostCategories[Actual Header],5)</f>
        <v>Personnel / Labour Actual</v>
      </c>
      <c r="E80" s="159" t="str">
        <f>INDEX(K2CostCategories[Actual Mode],5)</f>
        <v>MANUAL</v>
      </c>
      <c r="F80" s="161"/>
      <c r="G80" s="159" t="str">
        <f ca="1">IF(K2ActualCompleteness[[#This Row],[Date]]&gt;K2_ControlAsOfDate,"NOT DUE",IF(AND(K2ActualCompleteness[[#This Row],[Date]]=K2_ControlAsOfDate,MOD(NOW(),1)&lt;K2_DailyCloseTime),"OPEN","DUE"))</f>
        <v>DUE</v>
      </c>
      <c r="H80" s="159"/>
      <c r="I80" s="159"/>
      <c r="J80" s="159" t="str">
        <f>INDEX(K2CostCategories[Owner],5)</f>
        <v>Shutdown Manager</v>
      </c>
      <c r="K80" s="163"/>
      <c r="L80" s="159" t="s">
        <v>2917</v>
      </c>
      <c r="M80" s="160">
        <f ca="1">IF(K2ActualCompleteness[[#This Row],[Status]]="MISSING",MAX(0,24*(NOW()-(K2ActualCompleteness[[#This Row],[Date]]+K2_DailyCloseTime))),0)</f>
        <v>0</v>
      </c>
      <c r="N80" s="159" t="s">
        <v>2276</v>
      </c>
    </row>
    <row r="81" spans="1:14" ht="14.4">
      <c r="A81" s="164">
        <f>INDEX(DailyTrackingTable[Date],10)</f>
        <v>46224</v>
      </c>
      <c r="B81" s="159" t="str">
        <f>INDEX(K2CostCategories[Cost Category ID],6)</f>
        <v>ACCOM</v>
      </c>
      <c r="C81" s="159" t="str">
        <f>INDEX(K2CostCategories[Display Name],6)</f>
        <v>Accommodation</v>
      </c>
      <c r="D81" s="159" t="str">
        <f>INDEX(K2CostCategories[Actual Header],6)</f>
        <v>Accommodation Actual</v>
      </c>
      <c r="E81" s="159" t="str">
        <f>INDEX(K2CostCategories[Actual Mode],6)</f>
        <v>MANUAL</v>
      </c>
      <c r="F81" s="161"/>
      <c r="G81" s="159" t="str">
        <f ca="1">IF(K2ActualCompleteness[[#This Row],[Date]]&gt;K2_ControlAsOfDate,"NOT DUE",IF(AND(K2ActualCompleteness[[#This Row],[Date]]=K2_ControlAsOfDate,MOD(NOW(),1)&lt;K2_DailyCloseTime),"OPEN","DUE"))</f>
        <v>DUE</v>
      </c>
      <c r="H81" s="159"/>
      <c r="I81" s="159"/>
      <c r="J81" s="159" t="str">
        <f>INDEX(K2CostCategories[Owner],6)</f>
        <v>Shutdown Manager</v>
      </c>
      <c r="K81" s="163"/>
      <c r="L81" s="159" t="s">
        <v>2917</v>
      </c>
      <c r="M81" s="160">
        <f ca="1">IF(K2ActualCompleteness[[#This Row],[Status]]="MISSING",MAX(0,24*(NOW()-(K2ActualCompleteness[[#This Row],[Date]]+K2_DailyCloseTime))),0)</f>
        <v>0</v>
      </c>
      <c r="N81" s="159" t="s">
        <v>2276</v>
      </c>
    </row>
    <row r="82" spans="1:14" ht="14.4">
      <c r="A82" s="164">
        <f>INDEX(DailyTrackingTable[Date],10)</f>
        <v>46224</v>
      </c>
      <c r="B82" s="159" t="str">
        <f>INDEX(K2CostCategories[Cost Category ID],7)</f>
        <v>TRANSPORT</v>
      </c>
      <c r="C82" s="159" t="str">
        <f>INDEX(K2CostCategories[Display Name],7)</f>
        <v>Transport</v>
      </c>
      <c r="D82" s="159" t="str">
        <f>INDEX(K2CostCategories[Actual Header],7)</f>
        <v>Transport Actual</v>
      </c>
      <c r="E82" s="159" t="str">
        <f>INDEX(K2CostCategories[Actual Mode],7)</f>
        <v>MANUAL</v>
      </c>
      <c r="F82" s="161"/>
      <c r="G82" s="159" t="str">
        <f ca="1">IF(K2ActualCompleteness[[#This Row],[Date]]&gt;K2_ControlAsOfDate,"NOT DUE",IF(AND(K2ActualCompleteness[[#This Row],[Date]]=K2_ControlAsOfDate,MOD(NOW(),1)&lt;K2_DailyCloseTime),"OPEN","DUE"))</f>
        <v>DUE</v>
      </c>
      <c r="H82" s="159"/>
      <c r="I82" s="159"/>
      <c r="J82" s="159" t="str">
        <f>INDEX(K2CostCategories[Owner],7)</f>
        <v>Commercial Manager</v>
      </c>
      <c r="K82" s="163"/>
      <c r="L82" s="159" t="s">
        <v>2917</v>
      </c>
      <c r="M82" s="160">
        <f ca="1">IF(K2ActualCompleteness[[#This Row],[Status]]="MISSING",MAX(0,24*(NOW()-(K2ActualCompleteness[[#This Row],[Date]]+K2_DailyCloseTime))),0)</f>
        <v>0</v>
      </c>
      <c r="N82" s="159" t="s">
        <v>2276</v>
      </c>
    </row>
    <row r="83" spans="1:14" ht="14.4">
      <c r="A83" s="164">
        <f>INDEX(DailyTrackingTable[Date],10)</f>
        <v>46224</v>
      </c>
      <c r="B83" s="159" t="str">
        <f>INDEX(K2CostCategories[Cost Category ID],8)</f>
        <v>DAMAGE</v>
      </c>
      <c r="C83" s="159" t="str">
        <f>INDEX(K2CostCategories[Display Name],8)</f>
        <v>Damage Recovery</v>
      </c>
      <c r="D83" s="159" t="str">
        <f>INDEX(K2CostCategories[Actual Header],8)</f>
        <v>Damage Recovery Actual</v>
      </c>
      <c r="E83" s="159" t="str">
        <f>INDEX(K2CostCategories[Actual Mode],8)</f>
        <v>MANUAL</v>
      </c>
      <c r="F83" s="161"/>
      <c r="G83" s="159" t="str">
        <f ca="1">IF(K2ActualCompleteness[[#This Row],[Date]]&gt;K2_ControlAsOfDate,"NOT DUE",IF(AND(K2ActualCompleteness[[#This Row],[Date]]=K2_ControlAsOfDate,MOD(NOW(),1)&lt;K2_DailyCloseTime),"OPEN","DUE"))</f>
        <v>DUE</v>
      </c>
      <c r="H83" s="159"/>
      <c r="I83" s="159"/>
      <c r="J83" s="159" t="str">
        <f>INDEX(K2CostCategories[Owner],8)</f>
        <v>Commercial Manager</v>
      </c>
      <c r="K83" s="163"/>
      <c r="L83" s="159" t="s">
        <v>2917</v>
      </c>
      <c r="M83" s="160">
        <f ca="1">IF(K2ActualCompleteness[[#This Row],[Status]]="MISSING",MAX(0,24*(NOW()-(K2ActualCompleteness[[#This Row],[Date]]+K2_DailyCloseTime))),0)</f>
        <v>0</v>
      </c>
      <c r="N83" s="159" t="s">
        <v>2276</v>
      </c>
    </row>
    <row r="84" spans="1:14" ht="14.4">
      <c r="A84" s="164">
        <f>INDEX(DailyTrackingTable[Date],11)</f>
        <v>46225</v>
      </c>
      <c r="B84" s="159" t="str">
        <f>INDEX(K2CostCategories[Cost Category ID],1)</f>
        <v>PLANT</v>
      </c>
      <c r="C84" s="159" t="str">
        <f>INDEX(K2CostCategories[Display Name],1)</f>
        <v>Plant Equipment</v>
      </c>
      <c r="D84" s="159" t="str">
        <f>INDEX(K2CostCategories[Actual Header],1)</f>
        <v>Plant Equipment Hire Actual</v>
      </c>
      <c r="E84" s="159" t="str">
        <f>INDEX(K2CostCategories[Actual Mode],1)</f>
        <v>AUTO</v>
      </c>
      <c r="F84" s="161"/>
      <c r="G84" s="159" t="str">
        <f ca="1">IF(K2ActualCompleteness[[#This Row],[Date]]&gt;K2_ControlAsOfDate,"NOT DUE",IF(AND(K2ActualCompleteness[[#This Row],[Date]]=K2_ControlAsOfDate,MOD(NOW(),1)&lt;K2_DailyCloseTime),"OPEN","DUE"))</f>
        <v>DUE</v>
      </c>
      <c r="H84" s="159"/>
      <c r="I84" s="159"/>
      <c r="J84" s="159" t="str">
        <f>INDEX(K2CostCategories[Owner],1)</f>
        <v>Plant Coordinator</v>
      </c>
      <c r="K84" s="163"/>
      <c r="L84" s="159" t="s">
        <v>2917</v>
      </c>
      <c r="M84" s="160">
        <f ca="1">IF(K2ActualCompleteness[[#This Row],[Status]]="MISSING",MAX(0,24*(NOW()-(K2ActualCompleteness[[#This Row],[Date]]+K2_DailyCloseTime))),0)</f>
        <v>0</v>
      </c>
      <c r="N84" s="159" t="s">
        <v>2276</v>
      </c>
    </row>
    <row r="85" spans="1:14" ht="14.4">
      <c r="A85" s="164">
        <f>INDEX(DailyTrackingTable[Date],11)</f>
        <v>46225</v>
      </c>
      <c r="B85" s="159" t="str">
        <f>INDEX(K2CostCategories[Cost Category ID],2)</f>
        <v>TOOLING</v>
      </c>
      <c r="C85" s="159" t="str">
        <f>INDEX(K2CostCategories[Display Name],2)</f>
        <v>Tooling Hire</v>
      </c>
      <c r="D85" s="159" t="str">
        <f>INDEX(K2CostCategories[Actual Header],2)</f>
        <v>Tooling Hire Actual</v>
      </c>
      <c r="E85" s="159" t="str">
        <f>INDEX(K2CostCategories[Actual Mode],2)</f>
        <v>AUTO</v>
      </c>
      <c r="F85" s="161"/>
      <c r="G85" s="159" t="str">
        <f ca="1">IF(K2ActualCompleteness[[#This Row],[Date]]&gt;K2_ControlAsOfDate,"NOT DUE",IF(AND(K2ActualCompleteness[[#This Row],[Date]]=K2_ControlAsOfDate,MOD(NOW(),1)&lt;K2_DailyCloseTime),"OPEN","DUE"))</f>
        <v>DUE</v>
      </c>
      <c r="H85" s="159"/>
      <c r="I85" s="159"/>
      <c r="J85" s="159" t="str">
        <f>INDEX(K2CostCategories[Owner],2)</f>
        <v>Toolstore Supervisor</v>
      </c>
      <c r="K85" s="163"/>
      <c r="L85" s="159" t="s">
        <v>2917</v>
      </c>
      <c r="M85" s="160">
        <f ca="1">IF(K2ActualCompleteness[[#This Row],[Status]]="MISSING",MAX(0,24*(NOW()-(K2ActualCompleteness[[#This Row],[Date]]+K2_DailyCloseTime))),0)</f>
        <v>0</v>
      </c>
      <c r="N85" s="159" t="s">
        <v>2276</v>
      </c>
    </row>
    <row r="86" spans="1:14" ht="14.4">
      <c r="A86" s="164">
        <f>INDEX(DailyTrackingTable[Date],11)</f>
        <v>46225</v>
      </c>
      <c r="B86" s="159" t="str">
        <f>INDEX(K2CostCategories[Cost Category ID],3)</f>
        <v>RADIO</v>
      </c>
      <c r="C86" s="159" t="str">
        <f>INDEX(K2CostCategories[Display Name],3)</f>
        <v>Radio Family</v>
      </c>
      <c r="D86" s="159" t="str">
        <f>INDEX(K2CostCategories[Actual Header],3)</f>
        <v>Radio Hire Actual</v>
      </c>
      <c r="E86" s="159" t="str">
        <f>INDEX(K2CostCategories[Actual Mode],3)</f>
        <v>AUTO_COMBINED</v>
      </c>
      <c r="F86" s="161"/>
      <c r="G86" s="159" t="str">
        <f ca="1">IF(K2ActualCompleteness[[#This Row],[Date]]&gt;K2_ControlAsOfDate,"NOT DUE",IF(AND(K2ActualCompleteness[[#This Row],[Date]]=K2_ControlAsOfDate,MOD(NOW(),1)&lt;K2_DailyCloseTime),"OPEN","DUE"))</f>
        <v>DUE</v>
      </c>
      <c r="H86" s="159"/>
      <c r="I86" s="159"/>
      <c r="J86" s="159" t="str">
        <f>INDEX(K2CostCategories[Owner],3)</f>
        <v>Toolstore Supervisor</v>
      </c>
      <c r="K86" s="163"/>
      <c r="L86" s="159" t="s">
        <v>2917</v>
      </c>
      <c r="M86" s="160">
        <f ca="1">IF(K2ActualCompleteness[[#This Row],[Status]]="MISSING",MAX(0,24*(NOW()-(K2ActualCompleteness[[#This Row],[Date]]+K2_DailyCloseTime))),0)</f>
        <v>0</v>
      </c>
      <c r="N86" s="159" t="s">
        <v>2276</v>
      </c>
    </row>
    <row r="87" spans="1:14" ht="14.4">
      <c r="A87" s="164">
        <f>INDEX(DailyTrackingTable[Date],11)</f>
        <v>46225</v>
      </c>
      <c r="B87" s="159" t="str">
        <f>INDEX(K2CostCategories[Cost Category ID],4)</f>
        <v>GAS</v>
      </c>
      <c r="C87" s="159" t="str">
        <f>INDEX(K2CostCategories[Display Name],4)</f>
        <v>Gas Monitors</v>
      </c>
      <c r="D87" s="159" t="str">
        <f>INDEX(K2CostCategories[Actual Header],4)</f>
        <v>Gas Monitor Hire Actual</v>
      </c>
      <c r="E87" s="159" t="str">
        <f>INDEX(K2CostCategories[Actual Mode],4)</f>
        <v>AUTO</v>
      </c>
      <c r="F87" s="161"/>
      <c r="G87" s="159" t="str">
        <f ca="1">IF(K2ActualCompleteness[[#This Row],[Date]]&gt;K2_ControlAsOfDate,"NOT DUE",IF(AND(K2ActualCompleteness[[#This Row],[Date]]=K2_ControlAsOfDate,MOD(NOW(),1)&lt;K2_DailyCloseTime),"OPEN","DUE"))</f>
        <v>DUE</v>
      </c>
      <c r="H87" s="159"/>
      <c r="I87" s="159"/>
      <c r="J87" s="159" t="str">
        <f>INDEX(K2CostCategories[Owner],4)</f>
        <v>Toolstore Supervisor</v>
      </c>
      <c r="K87" s="163"/>
      <c r="L87" s="159" t="s">
        <v>2917</v>
      </c>
      <c r="M87" s="160">
        <f ca="1">IF(K2ActualCompleteness[[#This Row],[Status]]="MISSING",MAX(0,24*(NOW()-(K2ActualCompleteness[[#This Row],[Date]]+K2_DailyCloseTime))),0)</f>
        <v>0</v>
      </c>
      <c r="N87" s="159" t="s">
        <v>2276</v>
      </c>
    </row>
    <row r="88" spans="1:14" ht="14.4">
      <c r="A88" s="164">
        <f>INDEX(DailyTrackingTable[Date],11)</f>
        <v>46225</v>
      </c>
      <c r="B88" s="159" t="str">
        <f>INDEX(K2CostCategories[Cost Category ID],5)</f>
        <v>LABOUR</v>
      </c>
      <c r="C88" s="159" t="str">
        <f>INDEX(K2CostCategories[Display Name],5)</f>
        <v>Personnel / Labour</v>
      </c>
      <c r="D88" s="159" t="str">
        <f>INDEX(K2CostCategories[Actual Header],5)</f>
        <v>Personnel / Labour Actual</v>
      </c>
      <c r="E88" s="159" t="str">
        <f>INDEX(K2CostCategories[Actual Mode],5)</f>
        <v>MANUAL</v>
      </c>
      <c r="F88" s="161"/>
      <c r="G88" s="159" t="str">
        <f ca="1">IF(K2ActualCompleteness[[#This Row],[Date]]&gt;K2_ControlAsOfDate,"NOT DUE",IF(AND(K2ActualCompleteness[[#This Row],[Date]]=K2_ControlAsOfDate,MOD(NOW(),1)&lt;K2_DailyCloseTime),"OPEN","DUE"))</f>
        <v>DUE</v>
      </c>
      <c r="H88" s="159"/>
      <c r="I88" s="159"/>
      <c r="J88" s="159" t="str">
        <f>INDEX(K2CostCategories[Owner],5)</f>
        <v>Shutdown Manager</v>
      </c>
      <c r="K88" s="163"/>
      <c r="L88" s="159" t="s">
        <v>2917</v>
      </c>
      <c r="M88" s="160">
        <f ca="1">IF(K2ActualCompleteness[[#This Row],[Status]]="MISSING",MAX(0,24*(NOW()-(K2ActualCompleteness[[#This Row],[Date]]+K2_DailyCloseTime))),0)</f>
        <v>0</v>
      </c>
      <c r="N88" s="159" t="s">
        <v>2276</v>
      </c>
    </row>
    <row r="89" spans="1:14" ht="14.4">
      <c r="A89" s="164">
        <f>INDEX(DailyTrackingTable[Date],11)</f>
        <v>46225</v>
      </c>
      <c r="B89" s="159" t="str">
        <f>INDEX(K2CostCategories[Cost Category ID],6)</f>
        <v>ACCOM</v>
      </c>
      <c r="C89" s="159" t="str">
        <f>INDEX(K2CostCategories[Display Name],6)</f>
        <v>Accommodation</v>
      </c>
      <c r="D89" s="159" t="str">
        <f>INDEX(K2CostCategories[Actual Header],6)</f>
        <v>Accommodation Actual</v>
      </c>
      <c r="E89" s="159" t="str">
        <f>INDEX(K2CostCategories[Actual Mode],6)</f>
        <v>MANUAL</v>
      </c>
      <c r="F89" s="161"/>
      <c r="G89" s="159" t="str">
        <f ca="1">IF(K2ActualCompleteness[[#This Row],[Date]]&gt;K2_ControlAsOfDate,"NOT DUE",IF(AND(K2ActualCompleteness[[#This Row],[Date]]=K2_ControlAsOfDate,MOD(NOW(),1)&lt;K2_DailyCloseTime),"OPEN","DUE"))</f>
        <v>DUE</v>
      </c>
      <c r="H89" s="159"/>
      <c r="I89" s="159"/>
      <c r="J89" s="159" t="str">
        <f>INDEX(K2CostCategories[Owner],6)</f>
        <v>Shutdown Manager</v>
      </c>
      <c r="K89" s="163"/>
      <c r="L89" s="159" t="s">
        <v>2917</v>
      </c>
      <c r="M89" s="160">
        <f ca="1">IF(K2ActualCompleteness[[#This Row],[Status]]="MISSING",MAX(0,24*(NOW()-(K2ActualCompleteness[[#This Row],[Date]]+K2_DailyCloseTime))),0)</f>
        <v>0</v>
      </c>
      <c r="N89" s="159" t="s">
        <v>2276</v>
      </c>
    </row>
    <row r="90" spans="1:14" ht="14.4">
      <c r="A90" s="164">
        <f>INDEX(DailyTrackingTable[Date],11)</f>
        <v>46225</v>
      </c>
      <c r="B90" s="159" t="str">
        <f>INDEX(K2CostCategories[Cost Category ID],7)</f>
        <v>TRANSPORT</v>
      </c>
      <c r="C90" s="159" t="str">
        <f>INDEX(K2CostCategories[Display Name],7)</f>
        <v>Transport</v>
      </c>
      <c r="D90" s="159" t="str">
        <f>INDEX(K2CostCategories[Actual Header],7)</f>
        <v>Transport Actual</v>
      </c>
      <c r="E90" s="159" t="str">
        <f>INDEX(K2CostCategories[Actual Mode],7)</f>
        <v>MANUAL</v>
      </c>
      <c r="F90" s="161"/>
      <c r="G90" s="159" t="str">
        <f ca="1">IF(K2ActualCompleteness[[#This Row],[Date]]&gt;K2_ControlAsOfDate,"NOT DUE",IF(AND(K2ActualCompleteness[[#This Row],[Date]]=K2_ControlAsOfDate,MOD(NOW(),1)&lt;K2_DailyCloseTime),"OPEN","DUE"))</f>
        <v>DUE</v>
      </c>
      <c r="H90" s="159"/>
      <c r="I90" s="159"/>
      <c r="J90" s="159" t="str">
        <f>INDEX(K2CostCategories[Owner],7)</f>
        <v>Commercial Manager</v>
      </c>
      <c r="K90" s="163"/>
      <c r="L90" s="159" t="s">
        <v>2917</v>
      </c>
      <c r="M90" s="160">
        <f ca="1">IF(K2ActualCompleteness[[#This Row],[Status]]="MISSING",MAX(0,24*(NOW()-(K2ActualCompleteness[[#This Row],[Date]]+K2_DailyCloseTime))),0)</f>
        <v>0</v>
      </c>
      <c r="N90" s="159" t="s">
        <v>2276</v>
      </c>
    </row>
    <row r="91" spans="1:14" ht="14.4">
      <c r="A91" s="164">
        <f>INDEX(DailyTrackingTable[Date],11)</f>
        <v>46225</v>
      </c>
      <c r="B91" s="159" t="str">
        <f>INDEX(K2CostCategories[Cost Category ID],8)</f>
        <v>DAMAGE</v>
      </c>
      <c r="C91" s="159" t="str">
        <f>INDEX(K2CostCategories[Display Name],8)</f>
        <v>Damage Recovery</v>
      </c>
      <c r="D91" s="159" t="str">
        <f>INDEX(K2CostCategories[Actual Header],8)</f>
        <v>Damage Recovery Actual</v>
      </c>
      <c r="E91" s="159" t="str">
        <f>INDEX(K2CostCategories[Actual Mode],8)</f>
        <v>MANUAL</v>
      </c>
      <c r="F91" s="161"/>
      <c r="G91" s="159" t="str">
        <f ca="1">IF(K2ActualCompleteness[[#This Row],[Date]]&gt;K2_ControlAsOfDate,"NOT DUE",IF(AND(K2ActualCompleteness[[#This Row],[Date]]=K2_ControlAsOfDate,MOD(NOW(),1)&lt;K2_DailyCloseTime),"OPEN","DUE"))</f>
        <v>DUE</v>
      </c>
      <c r="H91" s="159"/>
      <c r="I91" s="159"/>
      <c r="J91" s="159" t="str">
        <f>INDEX(K2CostCategories[Owner],8)</f>
        <v>Commercial Manager</v>
      </c>
      <c r="K91" s="163"/>
      <c r="L91" s="159" t="s">
        <v>2917</v>
      </c>
      <c r="M91" s="160">
        <f ca="1">IF(K2ActualCompleteness[[#This Row],[Status]]="MISSING",MAX(0,24*(NOW()-(K2ActualCompleteness[[#This Row],[Date]]+K2_DailyCloseTime))),0)</f>
        <v>0</v>
      </c>
      <c r="N91" s="159" t="s">
        <v>2276</v>
      </c>
    </row>
    <row r="92" spans="1:14" ht="14.4">
      <c r="A92" s="164">
        <f>INDEX(DailyTrackingTable[Date],12)</f>
        <v>46226</v>
      </c>
      <c r="B92" s="159" t="str">
        <f>INDEX(K2CostCategories[Cost Category ID],1)</f>
        <v>PLANT</v>
      </c>
      <c r="C92" s="159" t="str">
        <f>INDEX(K2CostCategories[Display Name],1)</f>
        <v>Plant Equipment</v>
      </c>
      <c r="D92" s="159" t="str">
        <f>INDEX(K2CostCategories[Actual Header],1)</f>
        <v>Plant Equipment Hire Actual</v>
      </c>
      <c r="E92" s="159" t="str">
        <f>INDEX(K2CostCategories[Actual Mode],1)</f>
        <v>AUTO</v>
      </c>
      <c r="F92" s="161"/>
      <c r="G92" s="159" t="str">
        <f ca="1">IF(K2ActualCompleteness[[#This Row],[Date]]&gt;K2_ControlAsOfDate,"NOT DUE",IF(AND(K2ActualCompleteness[[#This Row],[Date]]=K2_ControlAsOfDate,MOD(NOW(),1)&lt;K2_DailyCloseTime),"OPEN","DUE"))</f>
        <v>DUE</v>
      </c>
      <c r="H92" s="159"/>
      <c r="I92" s="159"/>
      <c r="J92" s="159" t="str">
        <f>INDEX(K2CostCategories[Owner],1)</f>
        <v>Plant Coordinator</v>
      </c>
      <c r="K92" s="163"/>
      <c r="L92" s="159" t="s">
        <v>2917</v>
      </c>
      <c r="M92" s="160">
        <f ca="1">IF(K2ActualCompleteness[[#This Row],[Status]]="MISSING",MAX(0,24*(NOW()-(K2ActualCompleteness[[#This Row],[Date]]+K2_DailyCloseTime))),0)</f>
        <v>0</v>
      </c>
      <c r="N92" s="159" t="s">
        <v>2276</v>
      </c>
    </row>
    <row r="93" spans="1:14" ht="14.4">
      <c r="A93" s="164">
        <f>INDEX(DailyTrackingTable[Date],12)</f>
        <v>46226</v>
      </c>
      <c r="B93" s="159" t="str">
        <f>INDEX(K2CostCategories[Cost Category ID],2)</f>
        <v>TOOLING</v>
      </c>
      <c r="C93" s="159" t="str">
        <f>INDEX(K2CostCategories[Display Name],2)</f>
        <v>Tooling Hire</v>
      </c>
      <c r="D93" s="159" t="str">
        <f>INDEX(K2CostCategories[Actual Header],2)</f>
        <v>Tooling Hire Actual</v>
      </c>
      <c r="E93" s="159" t="str">
        <f>INDEX(K2CostCategories[Actual Mode],2)</f>
        <v>AUTO</v>
      </c>
      <c r="F93" s="161"/>
      <c r="G93" s="159" t="str">
        <f ca="1">IF(K2ActualCompleteness[[#This Row],[Date]]&gt;K2_ControlAsOfDate,"NOT DUE",IF(AND(K2ActualCompleteness[[#This Row],[Date]]=K2_ControlAsOfDate,MOD(NOW(),1)&lt;K2_DailyCloseTime),"OPEN","DUE"))</f>
        <v>DUE</v>
      </c>
      <c r="H93" s="159"/>
      <c r="I93" s="159"/>
      <c r="J93" s="159" t="str">
        <f>INDEX(K2CostCategories[Owner],2)</f>
        <v>Toolstore Supervisor</v>
      </c>
      <c r="K93" s="163"/>
      <c r="L93" s="159" t="s">
        <v>2917</v>
      </c>
      <c r="M93" s="160">
        <f ca="1">IF(K2ActualCompleteness[[#This Row],[Status]]="MISSING",MAX(0,24*(NOW()-(K2ActualCompleteness[[#This Row],[Date]]+K2_DailyCloseTime))),0)</f>
        <v>0</v>
      </c>
      <c r="N93" s="159" t="s">
        <v>2276</v>
      </c>
    </row>
    <row r="94" spans="1:14" ht="14.4">
      <c r="A94" s="164">
        <f>INDEX(DailyTrackingTable[Date],12)</f>
        <v>46226</v>
      </c>
      <c r="B94" s="159" t="str">
        <f>INDEX(K2CostCategories[Cost Category ID],3)</f>
        <v>RADIO</v>
      </c>
      <c r="C94" s="159" t="str">
        <f>INDEX(K2CostCategories[Display Name],3)</f>
        <v>Radio Family</v>
      </c>
      <c r="D94" s="159" t="str">
        <f>INDEX(K2CostCategories[Actual Header],3)</f>
        <v>Radio Hire Actual</v>
      </c>
      <c r="E94" s="159" t="str">
        <f>INDEX(K2CostCategories[Actual Mode],3)</f>
        <v>AUTO_COMBINED</v>
      </c>
      <c r="F94" s="161"/>
      <c r="G94" s="159" t="str">
        <f ca="1">IF(K2ActualCompleteness[[#This Row],[Date]]&gt;K2_ControlAsOfDate,"NOT DUE",IF(AND(K2ActualCompleteness[[#This Row],[Date]]=K2_ControlAsOfDate,MOD(NOW(),1)&lt;K2_DailyCloseTime),"OPEN","DUE"))</f>
        <v>DUE</v>
      </c>
      <c r="H94" s="159"/>
      <c r="I94" s="159"/>
      <c r="J94" s="159" t="str">
        <f>INDEX(K2CostCategories[Owner],3)</f>
        <v>Toolstore Supervisor</v>
      </c>
      <c r="K94" s="163"/>
      <c r="L94" s="159" t="s">
        <v>2917</v>
      </c>
      <c r="M94" s="160">
        <f ca="1">IF(K2ActualCompleteness[[#This Row],[Status]]="MISSING",MAX(0,24*(NOW()-(K2ActualCompleteness[[#This Row],[Date]]+K2_DailyCloseTime))),0)</f>
        <v>0</v>
      </c>
      <c r="N94" s="159" t="s">
        <v>2276</v>
      </c>
    </row>
    <row r="95" spans="1:14" ht="14.4">
      <c r="A95" s="164">
        <f>INDEX(DailyTrackingTable[Date],12)</f>
        <v>46226</v>
      </c>
      <c r="B95" s="159" t="str">
        <f>INDEX(K2CostCategories[Cost Category ID],4)</f>
        <v>GAS</v>
      </c>
      <c r="C95" s="159" t="str">
        <f>INDEX(K2CostCategories[Display Name],4)</f>
        <v>Gas Monitors</v>
      </c>
      <c r="D95" s="159" t="str">
        <f>INDEX(K2CostCategories[Actual Header],4)</f>
        <v>Gas Monitor Hire Actual</v>
      </c>
      <c r="E95" s="159" t="str">
        <f>INDEX(K2CostCategories[Actual Mode],4)</f>
        <v>AUTO</v>
      </c>
      <c r="F95" s="161"/>
      <c r="G95" s="159" t="str">
        <f ca="1">IF(K2ActualCompleteness[[#This Row],[Date]]&gt;K2_ControlAsOfDate,"NOT DUE",IF(AND(K2ActualCompleteness[[#This Row],[Date]]=K2_ControlAsOfDate,MOD(NOW(),1)&lt;K2_DailyCloseTime),"OPEN","DUE"))</f>
        <v>DUE</v>
      </c>
      <c r="H95" s="159"/>
      <c r="I95" s="159"/>
      <c r="J95" s="159" t="str">
        <f>INDEX(K2CostCategories[Owner],4)</f>
        <v>Toolstore Supervisor</v>
      </c>
      <c r="K95" s="163"/>
      <c r="L95" s="159" t="s">
        <v>2917</v>
      </c>
      <c r="M95" s="160">
        <f ca="1">IF(K2ActualCompleteness[[#This Row],[Status]]="MISSING",MAX(0,24*(NOW()-(K2ActualCompleteness[[#This Row],[Date]]+K2_DailyCloseTime))),0)</f>
        <v>0</v>
      </c>
      <c r="N95" s="159" t="s">
        <v>2276</v>
      </c>
    </row>
    <row r="96" spans="1:14" ht="14.4">
      <c r="A96" s="164">
        <f>INDEX(DailyTrackingTable[Date],12)</f>
        <v>46226</v>
      </c>
      <c r="B96" s="159" t="str">
        <f>INDEX(K2CostCategories[Cost Category ID],5)</f>
        <v>LABOUR</v>
      </c>
      <c r="C96" s="159" t="str">
        <f>INDEX(K2CostCategories[Display Name],5)</f>
        <v>Personnel / Labour</v>
      </c>
      <c r="D96" s="159" t="str">
        <f>INDEX(K2CostCategories[Actual Header],5)</f>
        <v>Personnel / Labour Actual</v>
      </c>
      <c r="E96" s="159" t="str">
        <f>INDEX(K2CostCategories[Actual Mode],5)</f>
        <v>MANUAL</v>
      </c>
      <c r="F96" s="161"/>
      <c r="G96" s="159" t="str">
        <f ca="1">IF(K2ActualCompleteness[[#This Row],[Date]]&gt;K2_ControlAsOfDate,"NOT DUE",IF(AND(K2ActualCompleteness[[#This Row],[Date]]=K2_ControlAsOfDate,MOD(NOW(),1)&lt;K2_DailyCloseTime),"OPEN","DUE"))</f>
        <v>DUE</v>
      </c>
      <c r="H96" s="159"/>
      <c r="I96" s="159"/>
      <c r="J96" s="159" t="str">
        <f>INDEX(K2CostCategories[Owner],5)</f>
        <v>Shutdown Manager</v>
      </c>
      <c r="K96" s="163"/>
      <c r="L96" s="159" t="s">
        <v>2917</v>
      </c>
      <c r="M96" s="160">
        <f ca="1">IF(K2ActualCompleteness[[#This Row],[Status]]="MISSING",MAX(0,24*(NOW()-(K2ActualCompleteness[[#This Row],[Date]]+K2_DailyCloseTime))),0)</f>
        <v>0</v>
      </c>
      <c r="N96" s="159" t="s">
        <v>2276</v>
      </c>
    </row>
    <row r="97" spans="1:14" ht="14.4">
      <c r="A97" s="164">
        <f>INDEX(DailyTrackingTable[Date],12)</f>
        <v>46226</v>
      </c>
      <c r="B97" s="159" t="str">
        <f>INDEX(K2CostCategories[Cost Category ID],6)</f>
        <v>ACCOM</v>
      </c>
      <c r="C97" s="159" t="str">
        <f>INDEX(K2CostCategories[Display Name],6)</f>
        <v>Accommodation</v>
      </c>
      <c r="D97" s="159" t="str">
        <f>INDEX(K2CostCategories[Actual Header],6)</f>
        <v>Accommodation Actual</v>
      </c>
      <c r="E97" s="159" t="str">
        <f>INDEX(K2CostCategories[Actual Mode],6)</f>
        <v>MANUAL</v>
      </c>
      <c r="F97" s="161"/>
      <c r="G97" s="159" t="str">
        <f ca="1">IF(K2ActualCompleteness[[#This Row],[Date]]&gt;K2_ControlAsOfDate,"NOT DUE",IF(AND(K2ActualCompleteness[[#This Row],[Date]]=K2_ControlAsOfDate,MOD(NOW(),1)&lt;K2_DailyCloseTime),"OPEN","DUE"))</f>
        <v>DUE</v>
      </c>
      <c r="H97" s="159"/>
      <c r="I97" s="159"/>
      <c r="J97" s="159" t="str">
        <f>INDEX(K2CostCategories[Owner],6)</f>
        <v>Shutdown Manager</v>
      </c>
      <c r="K97" s="163"/>
      <c r="L97" s="159" t="s">
        <v>2917</v>
      </c>
      <c r="M97" s="160">
        <f ca="1">IF(K2ActualCompleteness[[#This Row],[Status]]="MISSING",MAX(0,24*(NOW()-(K2ActualCompleteness[[#This Row],[Date]]+K2_DailyCloseTime))),0)</f>
        <v>0</v>
      </c>
      <c r="N97" s="159" t="s">
        <v>2276</v>
      </c>
    </row>
    <row r="98" spans="1:14" ht="14.4">
      <c r="A98" s="164">
        <f>INDEX(DailyTrackingTable[Date],12)</f>
        <v>46226</v>
      </c>
      <c r="B98" s="159" t="str">
        <f>INDEX(K2CostCategories[Cost Category ID],7)</f>
        <v>TRANSPORT</v>
      </c>
      <c r="C98" s="159" t="str">
        <f>INDEX(K2CostCategories[Display Name],7)</f>
        <v>Transport</v>
      </c>
      <c r="D98" s="159" t="str">
        <f>INDEX(K2CostCategories[Actual Header],7)</f>
        <v>Transport Actual</v>
      </c>
      <c r="E98" s="159" t="str">
        <f>INDEX(K2CostCategories[Actual Mode],7)</f>
        <v>MANUAL</v>
      </c>
      <c r="F98" s="161"/>
      <c r="G98" s="159" t="str">
        <f ca="1">IF(K2ActualCompleteness[[#This Row],[Date]]&gt;K2_ControlAsOfDate,"NOT DUE",IF(AND(K2ActualCompleteness[[#This Row],[Date]]=K2_ControlAsOfDate,MOD(NOW(),1)&lt;K2_DailyCloseTime),"OPEN","DUE"))</f>
        <v>DUE</v>
      </c>
      <c r="H98" s="159"/>
      <c r="I98" s="159"/>
      <c r="J98" s="159" t="str">
        <f>INDEX(K2CostCategories[Owner],7)</f>
        <v>Commercial Manager</v>
      </c>
      <c r="K98" s="163"/>
      <c r="L98" s="159" t="s">
        <v>2917</v>
      </c>
      <c r="M98" s="160">
        <f ca="1">IF(K2ActualCompleteness[[#This Row],[Status]]="MISSING",MAX(0,24*(NOW()-(K2ActualCompleteness[[#This Row],[Date]]+K2_DailyCloseTime))),0)</f>
        <v>0</v>
      </c>
      <c r="N98" s="159" t="s">
        <v>2276</v>
      </c>
    </row>
    <row r="99" spans="1:14" ht="14.4">
      <c r="A99" s="164">
        <f>INDEX(DailyTrackingTable[Date],12)</f>
        <v>46226</v>
      </c>
      <c r="B99" s="159" t="str">
        <f>INDEX(K2CostCategories[Cost Category ID],8)</f>
        <v>DAMAGE</v>
      </c>
      <c r="C99" s="159" t="str">
        <f>INDEX(K2CostCategories[Display Name],8)</f>
        <v>Damage Recovery</v>
      </c>
      <c r="D99" s="159" t="str">
        <f>INDEX(K2CostCategories[Actual Header],8)</f>
        <v>Damage Recovery Actual</v>
      </c>
      <c r="E99" s="159" t="str">
        <f>INDEX(K2CostCategories[Actual Mode],8)</f>
        <v>MANUAL</v>
      </c>
      <c r="F99" s="161"/>
      <c r="G99" s="159" t="str">
        <f ca="1">IF(K2ActualCompleteness[[#This Row],[Date]]&gt;K2_ControlAsOfDate,"NOT DUE",IF(AND(K2ActualCompleteness[[#This Row],[Date]]=K2_ControlAsOfDate,MOD(NOW(),1)&lt;K2_DailyCloseTime),"OPEN","DUE"))</f>
        <v>DUE</v>
      </c>
      <c r="H99" s="159"/>
      <c r="I99" s="159"/>
      <c r="J99" s="159" t="str">
        <f>INDEX(K2CostCategories[Owner],8)</f>
        <v>Commercial Manager</v>
      </c>
      <c r="K99" s="163"/>
      <c r="L99" s="159" t="s">
        <v>2917</v>
      </c>
      <c r="M99" s="160">
        <f ca="1">IF(K2ActualCompleteness[[#This Row],[Status]]="MISSING",MAX(0,24*(NOW()-(K2ActualCompleteness[[#This Row],[Date]]+K2_DailyCloseTime))),0)</f>
        <v>0</v>
      </c>
      <c r="N99" s="159" t="s">
        <v>2276</v>
      </c>
    </row>
    <row r="100" spans="1:14" ht="14.4">
      <c r="A100" s="164">
        <f>INDEX(DailyTrackingTable[Date],13)</f>
        <v>46227</v>
      </c>
      <c r="B100" s="159" t="str">
        <f>INDEX(K2CostCategories[Cost Category ID],1)</f>
        <v>PLANT</v>
      </c>
      <c r="C100" s="159" t="str">
        <f>INDEX(K2CostCategories[Display Name],1)</f>
        <v>Plant Equipment</v>
      </c>
      <c r="D100" s="159" t="str">
        <f>INDEX(K2CostCategories[Actual Header],1)</f>
        <v>Plant Equipment Hire Actual</v>
      </c>
      <c r="E100" s="159" t="str">
        <f>INDEX(K2CostCategories[Actual Mode],1)</f>
        <v>AUTO</v>
      </c>
      <c r="F100" s="161"/>
      <c r="G100" s="159" t="str">
        <f ca="1">IF(K2ActualCompleteness[[#This Row],[Date]]&gt;K2_ControlAsOfDate,"NOT DUE",IF(AND(K2ActualCompleteness[[#This Row],[Date]]=K2_ControlAsOfDate,MOD(NOW(),1)&lt;K2_DailyCloseTime),"OPEN","DUE"))</f>
        <v>DUE</v>
      </c>
      <c r="H100" s="159"/>
      <c r="I100" s="159"/>
      <c r="J100" s="159" t="str">
        <f>INDEX(K2CostCategories[Owner],1)</f>
        <v>Plant Coordinator</v>
      </c>
      <c r="K100" s="163"/>
      <c r="L100" s="159" t="s">
        <v>2917</v>
      </c>
      <c r="M100" s="160">
        <f ca="1">IF(K2ActualCompleteness[[#This Row],[Status]]="MISSING",MAX(0,24*(NOW()-(K2ActualCompleteness[[#This Row],[Date]]+K2_DailyCloseTime))),0)</f>
        <v>0</v>
      </c>
      <c r="N100" s="159" t="s">
        <v>2276</v>
      </c>
    </row>
    <row r="101" spans="1:14" ht="14.4">
      <c r="A101" s="164">
        <f>INDEX(DailyTrackingTable[Date],13)</f>
        <v>46227</v>
      </c>
      <c r="B101" s="159" t="str">
        <f>INDEX(K2CostCategories[Cost Category ID],2)</f>
        <v>TOOLING</v>
      </c>
      <c r="C101" s="159" t="str">
        <f>INDEX(K2CostCategories[Display Name],2)</f>
        <v>Tooling Hire</v>
      </c>
      <c r="D101" s="159" t="str">
        <f>INDEX(K2CostCategories[Actual Header],2)</f>
        <v>Tooling Hire Actual</v>
      </c>
      <c r="E101" s="159" t="str">
        <f>INDEX(K2CostCategories[Actual Mode],2)</f>
        <v>AUTO</v>
      </c>
      <c r="F101" s="161"/>
      <c r="G101" s="159" t="str">
        <f ca="1">IF(K2ActualCompleteness[[#This Row],[Date]]&gt;K2_ControlAsOfDate,"NOT DUE",IF(AND(K2ActualCompleteness[[#This Row],[Date]]=K2_ControlAsOfDate,MOD(NOW(),1)&lt;K2_DailyCloseTime),"OPEN","DUE"))</f>
        <v>DUE</v>
      </c>
      <c r="H101" s="159"/>
      <c r="I101" s="159"/>
      <c r="J101" s="159" t="str">
        <f>INDEX(K2CostCategories[Owner],2)</f>
        <v>Toolstore Supervisor</v>
      </c>
      <c r="K101" s="163"/>
      <c r="L101" s="159" t="s">
        <v>2917</v>
      </c>
      <c r="M101" s="160">
        <f ca="1">IF(K2ActualCompleteness[[#This Row],[Status]]="MISSING",MAX(0,24*(NOW()-(K2ActualCompleteness[[#This Row],[Date]]+K2_DailyCloseTime))),0)</f>
        <v>0</v>
      </c>
      <c r="N101" s="159" t="s">
        <v>2276</v>
      </c>
    </row>
    <row r="102" spans="1:14" ht="14.4">
      <c r="A102" s="164">
        <f>INDEX(DailyTrackingTable[Date],13)</f>
        <v>46227</v>
      </c>
      <c r="B102" s="159" t="str">
        <f>INDEX(K2CostCategories[Cost Category ID],3)</f>
        <v>RADIO</v>
      </c>
      <c r="C102" s="159" t="str">
        <f>INDEX(K2CostCategories[Display Name],3)</f>
        <v>Radio Family</v>
      </c>
      <c r="D102" s="159" t="str">
        <f>INDEX(K2CostCategories[Actual Header],3)</f>
        <v>Radio Hire Actual</v>
      </c>
      <c r="E102" s="159" t="str">
        <f>INDEX(K2CostCategories[Actual Mode],3)</f>
        <v>AUTO_COMBINED</v>
      </c>
      <c r="F102" s="161"/>
      <c r="G102" s="159" t="str">
        <f ca="1">IF(K2ActualCompleteness[[#This Row],[Date]]&gt;K2_ControlAsOfDate,"NOT DUE",IF(AND(K2ActualCompleteness[[#This Row],[Date]]=K2_ControlAsOfDate,MOD(NOW(),1)&lt;K2_DailyCloseTime),"OPEN","DUE"))</f>
        <v>DUE</v>
      </c>
      <c r="H102" s="159"/>
      <c r="I102" s="159"/>
      <c r="J102" s="159" t="str">
        <f>INDEX(K2CostCategories[Owner],3)</f>
        <v>Toolstore Supervisor</v>
      </c>
      <c r="K102" s="163"/>
      <c r="L102" s="159" t="s">
        <v>2917</v>
      </c>
      <c r="M102" s="160">
        <f ca="1">IF(K2ActualCompleteness[[#This Row],[Status]]="MISSING",MAX(0,24*(NOW()-(K2ActualCompleteness[[#This Row],[Date]]+K2_DailyCloseTime))),0)</f>
        <v>0</v>
      </c>
      <c r="N102" s="159" t="s">
        <v>2276</v>
      </c>
    </row>
    <row r="103" spans="1:14" ht="14.4">
      <c r="A103" s="164">
        <f>INDEX(DailyTrackingTable[Date],13)</f>
        <v>46227</v>
      </c>
      <c r="B103" s="159" t="str">
        <f>INDEX(K2CostCategories[Cost Category ID],4)</f>
        <v>GAS</v>
      </c>
      <c r="C103" s="159" t="str">
        <f>INDEX(K2CostCategories[Display Name],4)</f>
        <v>Gas Monitors</v>
      </c>
      <c r="D103" s="159" t="str">
        <f>INDEX(K2CostCategories[Actual Header],4)</f>
        <v>Gas Monitor Hire Actual</v>
      </c>
      <c r="E103" s="159" t="str">
        <f>INDEX(K2CostCategories[Actual Mode],4)</f>
        <v>AUTO</v>
      </c>
      <c r="F103" s="161"/>
      <c r="G103" s="159" t="str">
        <f ca="1">IF(K2ActualCompleteness[[#This Row],[Date]]&gt;K2_ControlAsOfDate,"NOT DUE",IF(AND(K2ActualCompleteness[[#This Row],[Date]]=K2_ControlAsOfDate,MOD(NOW(),1)&lt;K2_DailyCloseTime),"OPEN","DUE"))</f>
        <v>DUE</v>
      </c>
      <c r="H103" s="159"/>
      <c r="I103" s="159"/>
      <c r="J103" s="159" t="str">
        <f>INDEX(K2CostCategories[Owner],4)</f>
        <v>Toolstore Supervisor</v>
      </c>
      <c r="K103" s="163"/>
      <c r="L103" s="159" t="s">
        <v>2917</v>
      </c>
      <c r="M103" s="160">
        <f ca="1">IF(K2ActualCompleteness[[#This Row],[Status]]="MISSING",MAX(0,24*(NOW()-(K2ActualCompleteness[[#This Row],[Date]]+K2_DailyCloseTime))),0)</f>
        <v>0</v>
      </c>
      <c r="N103" s="159" t="s">
        <v>2276</v>
      </c>
    </row>
    <row r="104" spans="1:14" ht="14.4">
      <c r="A104" s="164">
        <f>INDEX(DailyTrackingTable[Date],13)</f>
        <v>46227</v>
      </c>
      <c r="B104" s="159" t="str">
        <f>INDEX(K2CostCategories[Cost Category ID],5)</f>
        <v>LABOUR</v>
      </c>
      <c r="C104" s="159" t="str">
        <f>INDEX(K2CostCategories[Display Name],5)</f>
        <v>Personnel / Labour</v>
      </c>
      <c r="D104" s="159" t="str">
        <f>INDEX(K2CostCategories[Actual Header],5)</f>
        <v>Personnel / Labour Actual</v>
      </c>
      <c r="E104" s="159" t="str">
        <f>INDEX(K2CostCategories[Actual Mode],5)</f>
        <v>MANUAL</v>
      </c>
      <c r="F104" s="161"/>
      <c r="G104" s="159" t="str">
        <f ca="1">IF(K2ActualCompleteness[[#This Row],[Date]]&gt;K2_ControlAsOfDate,"NOT DUE",IF(AND(K2ActualCompleteness[[#This Row],[Date]]=K2_ControlAsOfDate,MOD(NOW(),1)&lt;K2_DailyCloseTime),"OPEN","DUE"))</f>
        <v>DUE</v>
      </c>
      <c r="H104" s="159"/>
      <c r="I104" s="159"/>
      <c r="J104" s="159" t="str">
        <f>INDEX(K2CostCategories[Owner],5)</f>
        <v>Shutdown Manager</v>
      </c>
      <c r="K104" s="163"/>
      <c r="L104" s="159" t="s">
        <v>2917</v>
      </c>
      <c r="M104" s="160">
        <f ca="1">IF(K2ActualCompleteness[[#This Row],[Status]]="MISSING",MAX(0,24*(NOW()-(K2ActualCompleteness[[#This Row],[Date]]+K2_DailyCloseTime))),0)</f>
        <v>0</v>
      </c>
      <c r="N104" s="159" t="s">
        <v>2276</v>
      </c>
    </row>
    <row r="105" spans="1:14" ht="14.4">
      <c r="A105" s="164">
        <f>INDEX(DailyTrackingTable[Date],13)</f>
        <v>46227</v>
      </c>
      <c r="B105" s="159" t="str">
        <f>INDEX(K2CostCategories[Cost Category ID],6)</f>
        <v>ACCOM</v>
      </c>
      <c r="C105" s="159" t="str">
        <f>INDEX(K2CostCategories[Display Name],6)</f>
        <v>Accommodation</v>
      </c>
      <c r="D105" s="159" t="str">
        <f>INDEX(K2CostCategories[Actual Header],6)</f>
        <v>Accommodation Actual</v>
      </c>
      <c r="E105" s="159" t="str">
        <f>INDEX(K2CostCategories[Actual Mode],6)</f>
        <v>MANUAL</v>
      </c>
      <c r="F105" s="161"/>
      <c r="G105" s="159" t="str">
        <f ca="1">IF(K2ActualCompleteness[[#This Row],[Date]]&gt;K2_ControlAsOfDate,"NOT DUE",IF(AND(K2ActualCompleteness[[#This Row],[Date]]=K2_ControlAsOfDate,MOD(NOW(),1)&lt;K2_DailyCloseTime),"OPEN","DUE"))</f>
        <v>DUE</v>
      </c>
      <c r="H105" s="159"/>
      <c r="I105" s="159"/>
      <c r="J105" s="159" t="str">
        <f>INDEX(K2CostCategories[Owner],6)</f>
        <v>Shutdown Manager</v>
      </c>
      <c r="K105" s="163"/>
      <c r="L105" s="159" t="s">
        <v>2917</v>
      </c>
      <c r="M105" s="160">
        <f ca="1">IF(K2ActualCompleteness[[#This Row],[Status]]="MISSING",MAX(0,24*(NOW()-(K2ActualCompleteness[[#This Row],[Date]]+K2_DailyCloseTime))),0)</f>
        <v>0</v>
      </c>
      <c r="N105" s="159" t="s">
        <v>2276</v>
      </c>
    </row>
    <row r="106" spans="1:14" ht="14.4">
      <c r="A106" s="164">
        <f>INDEX(DailyTrackingTable[Date],13)</f>
        <v>46227</v>
      </c>
      <c r="B106" s="159" t="str">
        <f>INDEX(K2CostCategories[Cost Category ID],7)</f>
        <v>TRANSPORT</v>
      </c>
      <c r="C106" s="159" t="str">
        <f>INDEX(K2CostCategories[Display Name],7)</f>
        <v>Transport</v>
      </c>
      <c r="D106" s="159" t="str">
        <f>INDEX(K2CostCategories[Actual Header],7)</f>
        <v>Transport Actual</v>
      </c>
      <c r="E106" s="159" t="str">
        <f>INDEX(K2CostCategories[Actual Mode],7)</f>
        <v>MANUAL</v>
      </c>
      <c r="F106" s="161"/>
      <c r="G106" s="159" t="str">
        <f ca="1">IF(K2ActualCompleteness[[#This Row],[Date]]&gt;K2_ControlAsOfDate,"NOT DUE",IF(AND(K2ActualCompleteness[[#This Row],[Date]]=K2_ControlAsOfDate,MOD(NOW(),1)&lt;K2_DailyCloseTime),"OPEN","DUE"))</f>
        <v>DUE</v>
      </c>
      <c r="H106" s="159"/>
      <c r="I106" s="159"/>
      <c r="J106" s="159" t="str">
        <f>INDEX(K2CostCategories[Owner],7)</f>
        <v>Commercial Manager</v>
      </c>
      <c r="K106" s="163"/>
      <c r="L106" s="159" t="s">
        <v>2917</v>
      </c>
      <c r="M106" s="160">
        <f ca="1">IF(K2ActualCompleteness[[#This Row],[Status]]="MISSING",MAX(0,24*(NOW()-(K2ActualCompleteness[[#This Row],[Date]]+K2_DailyCloseTime))),0)</f>
        <v>0</v>
      </c>
      <c r="N106" s="159" t="s">
        <v>2276</v>
      </c>
    </row>
    <row r="107" spans="1:14" ht="14.4">
      <c r="A107" s="164">
        <f>INDEX(DailyTrackingTable[Date],13)</f>
        <v>46227</v>
      </c>
      <c r="B107" s="159" t="str">
        <f>INDEX(K2CostCategories[Cost Category ID],8)</f>
        <v>DAMAGE</v>
      </c>
      <c r="C107" s="159" t="str">
        <f>INDEX(K2CostCategories[Display Name],8)</f>
        <v>Damage Recovery</v>
      </c>
      <c r="D107" s="159" t="str">
        <f>INDEX(K2CostCategories[Actual Header],8)</f>
        <v>Damage Recovery Actual</v>
      </c>
      <c r="E107" s="159" t="str">
        <f>INDEX(K2CostCategories[Actual Mode],8)</f>
        <v>MANUAL</v>
      </c>
      <c r="F107" s="161"/>
      <c r="G107" s="159" t="str">
        <f ca="1">IF(K2ActualCompleteness[[#This Row],[Date]]&gt;K2_ControlAsOfDate,"NOT DUE",IF(AND(K2ActualCompleteness[[#This Row],[Date]]=K2_ControlAsOfDate,MOD(NOW(),1)&lt;K2_DailyCloseTime),"OPEN","DUE"))</f>
        <v>DUE</v>
      </c>
      <c r="H107" s="159"/>
      <c r="I107" s="159"/>
      <c r="J107" s="159" t="str">
        <f>INDEX(K2CostCategories[Owner],8)</f>
        <v>Commercial Manager</v>
      </c>
      <c r="K107" s="163"/>
      <c r="L107" s="159" t="s">
        <v>2917</v>
      </c>
      <c r="M107" s="160">
        <f ca="1">IF(K2ActualCompleteness[[#This Row],[Status]]="MISSING",MAX(0,24*(NOW()-(K2ActualCompleteness[[#This Row],[Date]]+K2_DailyCloseTime))),0)</f>
        <v>0</v>
      </c>
      <c r="N107" s="159" t="s">
        <v>2276</v>
      </c>
    </row>
    <row r="108" spans="1:14" ht="14.4">
      <c r="A108" s="164">
        <f>INDEX(DailyTrackingTable[Date],14)</f>
        <v>46228</v>
      </c>
      <c r="B108" s="159" t="str">
        <f>INDEX(K2CostCategories[Cost Category ID],1)</f>
        <v>PLANT</v>
      </c>
      <c r="C108" s="159" t="str">
        <f>INDEX(K2CostCategories[Display Name],1)</f>
        <v>Plant Equipment</v>
      </c>
      <c r="D108" s="159" t="str">
        <f>INDEX(K2CostCategories[Actual Header],1)</f>
        <v>Plant Equipment Hire Actual</v>
      </c>
      <c r="E108" s="159" t="str">
        <f>INDEX(K2CostCategories[Actual Mode],1)</f>
        <v>AUTO</v>
      </c>
      <c r="F108" s="161"/>
      <c r="G108" s="159" t="str">
        <f ca="1">IF(K2ActualCompleteness[[#This Row],[Date]]&gt;K2_ControlAsOfDate,"NOT DUE",IF(AND(K2ActualCompleteness[[#This Row],[Date]]=K2_ControlAsOfDate,MOD(NOW(),1)&lt;K2_DailyCloseTime),"OPEN","DUE"))</f>
        <v>DUE</v>
      </c>
      <c r="H108" s="159"/>
      <c r="I108" s="159"/>
      <c r="J108" s="159" t="str">
        <f>INDEX(K2CostCategories[Owner],1)</f>
        <v>Plant Coordinator</v>
      </c>
      <c r="K108" s="163"/>
      <c r="L108" s="159" t="s">
        <v>2917</v>
      </c>
      <c r="M108" s="160">
        <f ca="1">IF(K2ActualCompleteness[[#This Row],[Status]]="MISSING",MAX(0,24*(NOW()-(K2ActualCompleteness[[#This Row],[Date]]+K2_DailyCloseTime))),0)</f>
        <v>0</v>
      </c>
      <c r="N108" s="159" t="s">
        <v>2276</v>
      </c>
    </row>
    <row r="109" spans="1:14" ht="14.4">
      <c r="A109" s="164">
        <f>INDEX(DailyTrackingTable[Date],14)</f>
        <v>46228</v>
      </c>
      <c r="B109" s="159" t="str">
        <f>INDEX(K2CostCategories[Cost Category ID],2)</f>
        <v>TOOLING</v>
      </c>
      <c r="C109" s="159" t="str">
        <f>INDEX(K2CostCategories[Display Name],2)</f>
        <v>Tooling Hire</v>
      </c>
      <c r="D109" s="159" t="str">
        <f>INDEX(K2CostCategories[Actual Header],2)</f>
        <v>Tooling Hire Actual</v>
      </c>
      <c r="E109" s="159" t="str">
        <f>INDEX(K2CostCategories[Actual Mode],2)</f>
        <v>AUTO</v>
      </c>
      <c r="F109" s="161"/>
      <c r="G109" s="159" t="str">
        <f ca="1">IF(K2ActualCompleteness[[#This Row],[Date]]&gt;K2_ControlAsOfDate,"NOT DUE",IF(AND(K2ActualCompleteness[[#This Row],[Date]]=K2_ControlAsOfDate,MOD(NOW(),1)&lt;K2_DailyCloseTime),"OPEN","DUE"))</f>
        <v>DUE</v>
      </c>
      <c r="H109" s="159"/>
      <c r="I109" s="159"/>
      <c r="J109" s="159" t="str">
        <f>INDEX(K2CostCategories[Owner],2)</f>
        <v>Toolstore Supervisor</v>
      </c>
      <c r="K109" s="163"/>
      <c r="L109" s="159" t="s">
        <v>2917</v>
      </c>
      <c r="M109" s="160">
        <f ca="1">IF(K2ActualCompleteness[[#This Row],[Status]]="MISSING",MAX(0,24*(NOW()-(K2ActualCompleteness[[#This Row],[Date]]+K2_DailyCloseTime))),0)</f>
        <v>0</v>
      </c>
      <c r="N109" s="159" t="s">
        <v>2276</v>
      </c>
    </row>
    <row r="110" spans="1:14" ht="14.4">
      <c r="A110" s="164">
        <f>INDEX(DailyTrackingTable[Date],14)</f>
        <v>46228</v>
      </c>
      <c r="B110" s="159" t="str">
        <f>INDEX(K2CostCategories[Cost Category ID],3)</f>
        <v>RADIO</v>
      </c>
      <c r="C110" s="159" t="str">
        <f>INDEX(K2CostCategories[Display Name],3)</f>
        <v>Radio Family</v>
      </c>
      <c r="D110" s="159" t="str">
        <f>INDEX(K2CostCategories[Actual Header],3)</f>
        <v>Radio Hire Actual</v>
      </c>
      <c r="E110" s="159" t="str">
        <f>INDEX(K2CostCategories[Actual Mode],3)</f>
        <v>AUTO_COMBINED</v>
      </c>
      <c r="F110" s="161"/>
      <c r="G110" s="159" t="str">
        <f ca="1">IF(K2ActualCompleteness[[#This Row],[Date]]&gt;K2_ControlAsOfDate,"NOT DUE",IF(AND(K2ActualCompleteness[[#This Row],[Date]]=K2_ControlAsOfDate,MOD(NOW(),1)&lt;K2_DailyCloseTime),"OPEN","DUE"))</f>
        <v>DUE</v>
      </c>
      <c r="H110" s="159"/>
      <c r="I110" s="159"/>
      <c r="J110" s="159" t="str">
        <f>INDEX(K2CostCategories[Owner],3)</f>
        <v>Toolstore Supervisor</v>
      </c>
      <c r="K110" s="163"/>
      <c r="L110" s="159" t="s">
        <v>2917</v>
      </c>
      <c r="M110" s="160">
        <f ca="1">IF(K2ActualCompleteness[[#This Row],[Status]]="MISSING",MAX(0,24*(NOW()-(K2ActualCompleteness[[#This Row],[Date]]+K2_DailyCloseTime))),0)</f>
        <v>0</v>
      </c>
      <c r="N110" s="159" t="s">
        <v>2276</v>
      </c>
    </row>
    <row r="111" spans="1:14" ht="14.4">
      <c r="A111" s="164">
        <f>INDEX(DailyTrackingTable[Date],14)</f>
        <v>46228</v>
      </c>
      <c r="B111" s="159" t="str">
        <f>INDEX(K2CostCategories[Cost Category ID],4)</f>
        <v>GAS</v>
      </c>
      <c r="C111" s="159" t="str">
        <f>INDEX(K2CostCategories[Display Name],4)</f>
        <v>Gas Monitors</v>
      </c>
      <c r="D111" s="159" t="str">
        <f>INDEX(K2CostCategories[Actual Header],4)</f>
        <v>Gas Monitor Hire Actual</v>
      </c>
      <c r="E111" s="159" t="str">
        <f>INDEX(K2CostCategories[Actual Mode],4)</f>
        <v>AUTO</v>
      </c>
      <c r="F111" s="161"/>
      <c r="G111" s="159" t="str">
        <f ca="1">IF(K2ActualCompleteness[[#This Row],[Date]]&gt;K2_ControlAsOfDate,"NOT DUE",IF(AND(K2ActualCompleteness[[#This Row],[Date]]=K2_ControlAsOfDate,MOD(NOW(),1)&lt;K2_DailyCloseTime),"OPEN","DUE"))</f>
        <v>DUE</v>
      </c>
      <c r="H111" s="159"/>
      <c r="I111" s="159"/>
      <c r="J111" s="159" t="str">
        <f>INDEX(K2CostCategories[Owner],4)</f>
        <v>Toolstore Supervisor</v>
      </c>
      <c r="K111" s="163"/>
      <c r="L111" s="159" t="s">
        <v>2917</v>
      </c>
      <c r="M111" s="160">
        <f ca="1">IF(K2ActualCompleteness[[#This Row],[Status]]="MISSING",MAX(0,24*(NOW()-(K2ActualCompleteness[[#This Row],[Date]]+K2_DailyCloseTime))),0)</f>
        <v>0</v>
      </c>
      <c r="N111" s="159" t="s">
        <v>2276</v>
      </c>
    </row>
    <row r="112" spans="1:14" ht="14.4">
      <c r="A112" s="164">
        <f>INDEX(DailyTrackingTable[Date],14)</f>
        <v>46228</v>
      </c>
      <c r="B112" s="159" t="str">
        <f>INDEX(K2CostCategories[Cost Category ID],5)</f>
        <v>LABOUR</v>
      </c>
      <c r="C112" s="159" t="str">
        <f>INDEX(K2CostCategories[Display Name],5)</f>
        <v>Personnel / Labour</v>
      </c>
      <c r="D112" s="159" t="str">
        <f>INDEX(K2CostCategories[Actual Header],5)</f>
        <v>Personnel / Labour Actual</v>
      </c>
      <c r="E112" s="159" t="str">
        <f>INDEX(K2CostCategories[Actual Mode],5)</f>
        <v>MANUAL</v>
      </c>
      <c r="F112" s="161"/>
      <c r="G112" s="159" t="str">
        <f ca="1">IF(K2ActualCompleteness[[#This Row],[Date]]&gt;K2_ControlAsOfDate,"NOT DUE",IF(AND(K2ActualCompleteness[[#This Row],[Date]]=K2_ControlAsOfDate,MOD(NOW(),1)&lt;K2_DailyCloseTime),"OPEN","DUE"))</f>
        <v>DUE</v>
      </c>
      <c r="H112" s="159"/>
      <c r="I112" s="159"/>
      <c r="J112" s="159" t="str">
        <f>INDEX(K2CostCategories[Owner],5)</f>
        <v>Shutdown Manager</v>
      </c>
      <c r="K112" s="163"/>
      <c r="L112" s="159" t="s">
        <v>2917</v>
      </c>
      <c r="M112" s="160">
        <f ca="1">IF(K2ActualCompleteness[[#This Row],[Status]]="MISSING",MAX(0,24*(NOW()-(K2ActualCompleteness[[#This Row],[Date]]+K2_DailyCloseTime))),0)</f>
        <v>0</v>
      </c>
      <c r="N112" s="159" t="s">
        <v>2276</v>
      </c>
    </row>
    <row r="113" spans="1:14" ht="14.4">
      <c r="A113" s="164">
        <f>INDEX(DailyTrackingTable[Date],14)</f>
        <v>46228</v>
      </c>
      <c r="B113" s="159" t="str">
        <f>INDEX(K2CostCategories[Cost Category ID],6)</f>
        <v>ACCOM</v>
      </c>
      <c r="C113" s="159" t="str">
        <f>INDEX(K2CostCategories[Display Name],6)</f>
        <v>Accommodation</v>
      </c>
      <c r="D113" s="159" t="str">
        <f>INDEX(K2CostCategories[Actual Header],6)</f>
        <v>Accommodation Actual</v>
      </c>
      <c r="E113" s="159" t="str">
        <f>INDEX(K2CostCategories[Actual Mode],6)</f>
        <v>MANUAL</v>
      </c>
      <c r="F113" s="161"/>
      <c r="G113" s="159" t="str">
        <f ca="1">IF(K2ActualCompleteness[[#This Row],[Date]]&gt;K2_ControlAsOfDate,"NOT DUE",IF(AND(K2ActualCompleteness[[#This Row],[Date]]=K2_ControlAsOfDate,MOD(NOW(),1)&lt;K2_DailyCloseTime),"OPEN","DUE"))</f>
        <v>DUE</v>
      </c>
      <c r="H113" s="159"/>
      <c r="I113" s="159"/>
      <c r="J113" s="159" t="str">
        <f>INDEX(K2CostCategories[Owner],6)</f>
        <v>Shutdown Manager</v>
      </c>
      <c r="K113" s="163"/>
      <c r="L113" s="159" t="s">
        <v>2917</v>
      </c>
      <c r="M113" s="160">
        <f ca="1">IF(K2ActualCompleteness[[#This Row],[Status]]="MISSING",MAX(0,24*(NOW()-(K2ActualCompleteness[[#This Row],[Date]]+K2_DailyCloseTime))),0)</f>
        <v>0</v>
      </c>
      <c r="N113" s="159" t="s">
        <v>2276</v>
      </c>
    </row>
    <row r="114" spans="1:14" ht="14.4">
      <c r="A114" s="164">
        <f>INDEX(DailyTrackingTable[Date],14)</f>
        <v>46228</v>
      </c>
      <c r="B114" s="159" t="str">
        <f>INDEX(K2CostCategories[Cost Category ID],7)</f>
        <v>TRANSPORT</v>
      </c>
      <c r="C114" s="159" t="str">
        <f>INDEX(K2CostCategories[Display Name],7)</f>
        <v>Transport</v>
      </c>
      <c r="D114" s="159" t="str">
        <f>INDEX(K2CostCategories[Actual Header],7)</f>
        <v>Transport Actual</v>
      </c>
      <c r="E114" s="159" t="str">
        <f>INDEX(K2CostCategories[Actual Mode],7)</f>
        <v>MANUAL</v>
      </c>
      <c r="F114" s="161"/>
      <c r="G114" s="159" t="str">
        <f ca="1">IF(K2ActualCompleteness[[#This Row],[Date]]&gt;K2_ControlAsOfDate,"NOT DUE",IF(AND(K2ActualCompleteness[[#This Row],[Date]]=K2_ControlAsOfDate,MOD(NOW(),1)&lt;K2_DailyCloseTime),"OPEN","DUE"))</f>
        <v>DUE</v>
      </c>
      <c r="H114" s="159"/>
      <c r="I114" s="159"/>
      <c r="J114" s="159" t="str">
        <f>INDEX(K2CostCategories[Owner],7)</f>
        <v>Commercial Manager</v>
      </c>
      <c r="K114" s="163"/>
      <c r="L114" s="159" t="s">
        <v>2917</v>
      </c>
      <c r="M114" s="160">
        <f ca="1">IF(K2ActualCompleteness[[#This Row],[Status]]="MISSING",MAX(0,24*(NOW()-(K2ActualCompleteness[[#This Row],[Date]]+K2_DailyCloseTime))),0)</f>
        <v>0</v>
      </c>
      <c r="N114" s="159" t="s">
        <v>2276</v>
      </c>
    </row>
    <row r="115" spans="1:14" ht="14.4">
      <c r="A115" s="164">
        <f>INDEX(DailyTrackingTable[Date],14)</f>
        <v>46228</v>
      </c>
      <c r="B115" s="159" t="str">
        <f>INDEX(K2CostCategories[Cost Category ID],8)</f>
        <v>DAMAGE</v>
      </c>
      <c r="C115" s="159" t="str">
        <f>INDEX(K2CostCategories[Display Name],8)</f>
        <v>Damage Recovery</v>
      </c>
      <c r="D115" s="159" t="str">
        <f>INDEX(K2CostCategories[Actual Header],8)</f>
        <v>Damage Recovery Actual</v>
      </c>
      <c r="E115" s="159" t="str">
        <f>INDEX(K2CostCategories[Actual Mode],8)</f>
        <v>MANUAL</v>
      </c>
      <c r="F115" s="161"/>
      <c r="G115" s="159" t="str">
        <f ca="1">IF(K2ActualCompleteness[[#This Row],[Date]]&gt;K2_ControlAsOfDate,"NOT DUE",IF(AND(K2ActualCompleteness[[#This Row],[Date]]=K2_ControlAsOfDate,MOD(NOW(),1)&lt;K2_DailyCloseTime),"OPEN","DUE"))</f>
        <v>DUE</v>
      </c>
      <c r="H115" s="159"/>
      <c r="I115" s="159"/>
      <c r="J115" s="159" t="str">
        <f>INDEX(K2CostCategories[Owner],8)</f>
        <v>Commercial Manager</v>
      </c>
      <c r="K115" s="163"/>
      <c r="L115" s="159" t="s">
        <v>2917</v>
      </c>
      <c r="M115" s="160">
        <f ca="1">IF(K2ActualCompleteness[[#This Row],[Status]]="MISSING",MAX(0,24*(NOW()-(K2ActualCompleteness[[#This Row],[Date]]+K2_DailyCloseTime))),0)</f>
        <v>0</v>
      </c>
      <c r="N115" s="159" t="s">
        <v>2276</v>
      </c>
    </row>
    <row r="116" spans="1:14" ht="14.4">
      <c r="A116" s="164">
        <f>INDEX(DailyTrackingTable[Date],15)</f>
        <v>46229</v>
      </c>
      <c r="B116" s="159" t="str">
        <f>INDEX(K2CostCategories[Cost Category ID],1)</f>
        <v>PLANT</v>
      </c>
      <c r="C116" s="159" t="str">
        <f>INDEX(K2CostCategories[Display Name],1)</f>
        <v>Plant Equipment</v>
      </c>
      <c r="D116" s="159" t="str">
        <f>INDEX(K2CostCategories[Actual Header],1)</f>
        <v>Plant Equipment Hire Actual</v>
      </c>
      <c r="E116" s="159" t="str">
        <f>INDEX(K2CostCategories[Actual Mode],1)</f>
        <v>AUTO</v>
      </c>
      <c r="F116" s="161"/>
      <c r="G116" s="159" t="str">
        <f ca="1">IF(K2ActualCompleteness[[#This Row],[Date]]&gt;K2_ControlAsOfDate,"NOT DUE",IF(AND(K2ActualCompleteness[[#This Row],[Date]]=K2_ControlAsOfDate,MOD(NOW(),1)&lt;K2_DailyCloseTime),"OPEN","DUE"))</f>
        <v>DUE</v>
      </c>
      <c r="H116" s="159"/>
      <c r="I116" s="159"/>
      <c r="J116" s="159" t="str">
        <f>INDEX(K2CostCategories[Owner],1)</f>
        <v>Plant Coordinator</v>
      </c>
      <c r="K116" s="163"/>
      <c r="L116" s="159" t="s">
        <v>2917</v>
      </c>
      <c r="M116" s="160">
        <f ca="1">IF(K2ActualCompleteness[[#This Row],[Status]]="MISSING",MAX(0,24*(NOW()-(K2ActualCompleteness[[#This Row],[Date]]+K2_DailyCloseTime))),0)</f>
        <v>0</v>
      </c>
      <c r="N116" s="159" t="s">
        <v>2276</v>
      </c>
    </row>
    <row r="117" spans="1:14" ht="14.4">
      <c r="A117" s="164">
        <f>INDEX(DailyTrackingTable[Date],15)</f>
        <v>46229</v>
      </c>
      <c r="B117" s="159" t="str">
        <f>INDEX(K2CostCategories[Cost Category ID],2)</f>
        <v>TOOLING</v>
      </c>
      <c r="C117" s="159" t="str">
        <f>INDEX(K2CostCategories[Display Name],2)</f>
        <v>Tooling Hire</v>
      </c>
      <c r="D117" s="159" t="str">
        <f>INDEX(K2CostCategories[Actual Header],2)</f>
        <v>Tooling Hire Actual</v>
      </c>
      <c r="E117" s="159" t="str">
        <f>INDEX(K2CostCategories[Actual Mode],2)</f>
        <v>AUTO</v>
      </c>
      <c r="F117" s="161"/>
      <c r="G117" s="159" t="str">
        <f ca="1">IF(K2ActualCompleteness[[#This Row],[Date]]&gt;K2_ControlAsOfDate,"NOT DUE",IF(AND(K2ActualCompleteness[[#This Row],[Date]]=K2_ControlAsOfDate,MOD(NOW(),1)&lt;K2_DailyCloseTime),"OPEN","DUE"))</f>
        <v>DUE</v>
      </c>
      <c r="H117" s="159"/>
      <c r="I117" s="159"/>
      <c r="J117" s="159" t="str">
        <f>INDEX(K2CostCategories[Owner],2)</f>
        <v>Toolstore Supervisor</v>
      </c>
      <c r="K117" s="163"/>
      <c r="L117" s="159" t="s">
        <v>2917</v>
      </c>
      <c r="M117" s="160">
        <f ca="1">IF(K2ActualCompleteness[[#This Row],[Status]]="MISSING",MAX(0,24*(NOW()-(K2ActualCompleteness[[#This Row],[Date]]+K2_DailyCloseTime))),0)</f>
        <v>0</v>
      </c>
      <c r="N117" s="159" t="s">
        <v>2276</v>
      </c>
    </row>
    <row r="118" spans="1:14" ht="14.4">
      <c r="A118" s="164">
        <f>INDEX(DailyTrackingTable[Date],15)</f>
        <v>46229</v>
      </c>
      <c r="B118" s="159" t="str">
        <f>INDEX(K2CostCategories[Cost Category ID],3)</f>
        <v>RADIO</v>
      </c>
      <c r="C118" s="159" t="str">
        <f>INDEX(K2CostCategories[Display Name],3)</f>
        <v>Radio Family</v>
      </c>
      <c r="D118" s="159" t="str">
        <f>INDEX(K2CostCategories[Actual Header],3)</f>
        <v>Radio Hire Actual</v>
      </c>
      <c r="E118" s="159" t="str">
        <f>INDEX(K2CostCategories[Actual Mode],3)</f>
        <v>AUTO_COMBINED</v>
      </c>
      <c r="F118" s="161"/>
      <c r="G118" s="159" t="str">
        <f ca="1">IF(K2ActualCompleteness[[#This Row],[Date]]&gt;K2_ControlAsOfDate,"NOT DUE",IF(AND(K2ActualCompleteness[[#This Row],[Date]]=K2_ControlAsOfDate,MOD(NOW(),1)&lt;K2_DailyCloseTime),"OPEN","DUE"))</f>
        <v>DUE</v>
      </c>
      <c r="H118" s="159"/>
      <c r="I118" s="159"/>
      <c r="J118" s="159" t="str">
        <f>INDEX(K2CostCategories[Owner],3)</f>
        <v>Toolstore Supervisor</v>
      </c>
      <c r="K118" s="163"/>
      <c r="L118" s="159" t="s">
        <v>2917</v>
      </c>
      <c r="M118" s="160">
        <f ca="1">IF(K2ActualCompleteness[[#This Row],[Status]]="MISSING",MAX(0,24*(NOW()-(K2ActualCompleteness[[#This Row],[Date]]+K2_DailyCloseTime))),0)</f>
        <v>0</v>
      </c>
      <c r="N118" s="159" t="s">
        <v>2276</v>
      </c>
    </row>
    <row r="119" spans="1:14" ht="14.4">
      <c r="A119" s="164">
        <f>INDEX(DailyTrackingTable[Date],15)</f>
        <v>46229</v>
      </c>
      <c r="B119" s="159" t="str">
        <f>INDEX(K2CostCategories[Cost Category ID],4)</f>
        <v>GAS</v>
      </c>
      <c r="C119" s="159" t="str">
        <f>INDEX(K2CostCategories[Display Name],4)</f>
        <v>Gas Monitors</v>
      </c>
      <c r="D119" s="159" t="str">
        <f>INDEX(K2CostCategories[Actual Header],4)</f>
        <v>Gas Monitor Hire Actual</v>
      </c>
      <c r="E119" s="159" t="str">
        <f>INDEX(K2CostCategories[Actual Mode],4)</f>
        <v>AUTO</v>
      </c>
      <c r="F119" s="161"/>
      <c r="G119" s="159" t="str">
        <f ca="1">IF(K2ActualCompleteness[[#This Row],[Date]]&gt;K2_ControlAsOfDate,"NOT DUE",IF(AND(K2ActualCompleteness[[#This Row],[Date]]=K2_ControlAsOfDate,MOD(NOW(),1)&lt;K2_DailyCloseTime),"OPEN","DUE"))</f>
        <v>DUE</v>
      </c>
      <c r="H119" s="159"/>
      <c r="I119" s="159"/>
      <c r="J119" s="159" t="str">
        <f>INDEX(K2CostCategories[Owner],4)</f>
        <v>Toolstore Supervisor</v>
      </c>
      <c r="K119" s="163"/>
      <c r="L119" s="159" t="s">
        <v>2917</v>
      </c>
      <c r="M119" s="160">
        <f ca="1">IF(K2ActualCompleteness[[#This Row],[Status]]="MISSING",MAX(0,24*(NOW()-(K2ActualCompleteness[[#This Row],[Date]]+K2_DailyCloseTime))),0)</f>
        <v>0</v>
      </c>
      <c r="N119" s="159" t="s">
        <v>2276</v>
      </c>
    </row>
    <row r="120" spans="1:14" ht="14.4">
      <c r="A120" s="164">
        <f>INDEX(DailyTrackingTable[Date],15)</f>
        <v>46229</v>
      </c>
      <c r="B120" s="159" t="str">
        <f>INDEX(K2CostCategories[Cost Category ID],5)</f>
        <v>LABOUR</v>
      </c>
      <c r="C120" s="159" t="str">
        <f>INDEX(K2CostCategories[Display Name],5)</f>
        <v>Personnel / Labour</v>
      </c>
      <c r="D120" s="159" t="str">
        <f>INDEX(K2CostCategories[Actual Header],5)</f>
        <v>Personnel / Labour Actual</v>
      </c>
      <c r="E120" s="159" t="str">
        <f>INDEX(K2CostCategories[Actual Mode],5)</f>
        <v>MANUAL</v>
      </c>
      <c r="F120" s="161"/>
      <c r="G120" s="159" t="str">
        <f ca="1">IF(K2ActualCompleteness[[#This Row],[Date]]&gt;K2_ControlAsOfDate,"NOT DUE",IF(AND(K2ActualCompleteness[[#This Row],[Date]]=K2_ControlAsOfDate,MOD(NOW(),1)&lt;K2_DailyCloseTime),"OPEN","DUE"))</f>
        <v>DUE</v>
      </c>
      <c r="H120" s="159"/>
      <c r="I120" s="159"/>
      <c r="J120" s="159" t="str">
        <f>INDEX(K2CostCategories[Owner],5)</f>
        <v>Shutdown Manager</v>
      </c>
      <c r="K120" s="163"/>
      <c r="L120" s="159" t="s">
        <v>2917</v>
      </c>
      <c r="M120" s="160">
        <f ca="1">IF(K2ActualCompleteness[[#This Row],[Status]]="MISSING",MAX(0,24*(NOW()-(K2ActualCompleteness[[#This Row],[Date]]+K2_DailyCloseTime))),0)</f>
        <v>0</v>
      </c>
      <c r="N120" s="159" t="s">
        <v>2276</v>
      </c>
    </row>
    <row r="121" spans="1:14" ht="14.4">
      <c r="A121" s="164">
        <f>INDEX(DailyTrackingTable[Date],15)</f>
        <v>46229</v>
      </c>
      <c r="B121" s="159" t="str">
        <f>INDEX(K2CostCategories[Cost Category ID],6)</f>
        <v>ACCOM</v>
      </c>
      <c r="C121" s="159" t="str">
        <f>INDEX(K2CostCategories[Display Name],6)</f>
        <v>Accommodation</v>
      </c>
      <c r="D121" s="159" t="str">
        <f>INDEX(K2CostCategories[Actual Header],6)</f>
        <v>Accommodation Actual</v>
      </c>
      <c r="E121" s="159" t="str">
        <f>INDEX(K2CostCategories[Actual Mode],6)</f>
        <v>MANUAL</v>
      </c>
      <c r="F121" s="161"/>
      <c r="G121" s="159" t="str">
        <f ca="1">IF(K2ActualCompleteness[[#This Row],[Date]]&gt;K2_ControlAsOfDate,"NOT DUE",IF(AND(K2ActualCompleteness[[#This Row],[Date]]=K2_ControlAsOfDate,MOD(NOW(),1)&lt;K2_DailyCloseTime),"OPEN","DUE"))</f>
        <v>DUE</v>
      </c>
      <c r="H121" s="159"/>
      <c r="I121" s="159"/>
      <c r="J121" s="159" t="str">
        <f>INDEX(K2CostCategories[Owner],6)</f>
        <v>Shutdown Manager</v>
      </c>
      <c r="K121" s="163"/>
      <c r="L121" s="159" t="s">
        <v>2917</v>
      </c>
      <c r="M121" s="160">
        <f ca="1">IF(K2ActualCompleteness[[#This Row],[Status]]="MISSING",MAX(0,24*(NOW()-(K2ActualCompleteness[[#This Row],[Date]]+K2_DailyCloseTime))),0)</f>
        <v>0</v>
      </c>
      <c r="N121" s="159" t="s">
        <v>2276</v>
      </c>
    </row>
    <row r="122" spans="1:14" ht="14.4">
      <c r="A122" s="164">
        <f>INDEX(DailyTrackingTable[Date],15)</f>
        <v>46229</v>
      </c>
      <c r="B122" s="159" t="str">
        <f>INDEX(K2CostCategories[Cost Category ID],7)</f>
        <v>TRANSPORT</v>
      </c>
      <c r="C122" s="159" t="str">
        <f>INDEX(K2CostCategories[Display Name],7)</f>
        <v>Transport</v>
      </c>
      <c r="D122" s="159" t="str">
        <f>INDEX(K2CostCategories[Actual Header],7)</f>
        <v>Transport Actual</v>
      </c>
      <c r="E122" s="159" t="str">
        <f>INDEX(K2CostCategories[Actual Mode],7)</f>
        <v>MANUAL</v>
      </c>
      <c r="F122" s="161"/>
      <c r="G122" s="159" t="str">
        <f ca="1">IF(K2ActualCompleteness[[#This Row],[Date]]&gt;K2_ControlAsOfDate,"NOT DUE",IF(AND(K2ActualCompleteness[[#This Row],[Date]]=K2_ControlAsOfDate,MOD(NOW(),1)&lt;K2_DailyCloseTime),"OPEN","DUE"))</f>
        <v>DUE</v>
      </c>
      <c r="H122" s="159"/>
      <c r="I122" s="159"/>
      <c r="J122" s="159" t="str">
        <f>INDEX(K2CostCategories[Owner],7)</f>
        <v>Commercial Manager</v>
      </c>
      <c r="K122" s="163"/>
      <c r="L122" s="159" t="s">
        <v>2917</v>
      </c>
      <c r="M122" s="160">
        <f ca="1">IF(K2ActualCompleteness[[#This Row],[Status]]="MISSING",MAX(0,24*(NOW()-(K2ActualCompleteness[[#This Row],[Date]]+K2_DailyCloseTime))),0)</f>
        <v>0</v>
      </c>
      <c r="N122" s="159" t="s">
        <v>2276</v>
      </c>
    </row>
    <row r="123" spans="1:14" ht="14.4">
      <c r="A123" s="164">
        <f>INDEX(DailyTrackingTable[Date],15)</f>
        <v>46229</v>
      </c>
      <c r="B123" s="159" t="str">
        <f>INDEX(K2CostCategories[Cost Category ID],8)</f>
        <v>DAMAGE</v>
      </c>
      <c r="C123" s="159" t="str">
        <f>INDEX(K2CostCategories[Display Name],8)</f>
        <v>Damage Recovery</v>
      </c>
      <c r="D123" s="159" t="str">
        <f>INDEX(K2CostCategories[Actual Header],8)</f>
        <v>Damage Recovery Actual</v>
      </c>
      <c r="E123" s="159" t="str">
        <f>INDEX(K2CostCategories[Actual Mode],8)</f>
        <v>MANUAL</v>
      </c>
      <c r="F123" s="161"/>
      <c r="G123" s="159" t="str">
        <f ca="1">IF(K2ActualCompleteness[[#This Row],[Date]]&gt;K2_ControlAsOfDate,"NOT DUE",IF(AND(K2ActualCompleteness[[#This Row],[Date]]=K2_ControlAsOfDate,MOD(NOW(),1)&lt;K2_DailyCloseTime),"OPEN","DUE"))</f>
        <v>DUE</v>
      </c>
      <c r="H123" s="159"/>
      <c r="I123" s="159"/>
      <c r="J123" s="159" t="str">
        <f>INDEX(K2CostCategories[Owner],8)</f>
        <v>Commercial Manager</v>
      </c>
      <c r="K123" s="163"/>
      <c r="L123" s="159" t="s">
        <v>2917</v>
      </c>
      <c r="M123" s="160">
        <f ca="1">IF(K2ActualCompleteness[[#This Row],[Status]]="MISSING",MAX(0,24*(NOW()-(K2ActualCompleteness[[#This Row],[Date]]+K2_DailyCloseTime))),0)</f>
        <v>0</v>
      </c>
      <c r="N123" s="159" t="s">
        <v>2276</v>
      </c>
    </row>
    <row r="124" spans="1:14" ht="14.4">
      <c r="A124" s="164">
        <f>INDEX(DailyTrackingTable[Date],16)</f>
        <v>46230</v>
      </c>
      <c r="B124" s="159" t="str">
        <f>INDEX(K2CostCategories[Cost Category ID],1)</f>
        <v>PLANT</v>
      </c>
      <c r="C124" s="159" t="str">
        <f>INDEX(K2CostCategories[Display Name],1)</f>
        <v>Plant Equipment</v>
      </c>
      <c r="D124" s="159" t="str">
        <f>INDEX(K2CostCategories[Actual Header],1)</f>
        <v>Plant Equipment Hire Actual</v>
      </c>
      <c r="E124" s="159" t="str">
        <f>INDEX(K2CostCategories[Actual Mode],1)</f>
        <v>AUTO</v>
      </c>
      <c r="F124" s="161"/>
      <c r="G124" s="159" t="str">
        <f ca="1">IF(K2ActualCompleteness[[#This Row],[Date]]&gt;K2_ControlAsOfDate,"NOT DUE",IF(AND(K2ActualCompleteness[[#This Row],[Date]]=K2_ControlAsOfDate,MOD(NOW(),1)&lt;K2_DailyCloseTime),"OPEN","DUE"))</f>
        <v>NOT DUE</v>
      </c>
      <c r="H124" s="159"/>
      <c r="I124" s="159"/>
      <c r="J124" s="159" t="str">
        <f>INDEX(K2CostCategories[Owner],1)</f>
        <v>Plant Coordinator</v>
      </c>
      <c r="K124" s="163"/>
      <c r="L124" s="159" t="s">
        <v>2917</v>
      </c>
      <c r="M124" s="160">
        <f ca="1">IF(K2ActualCompleteness[[#This Row],[Status]]="MISSING",MAX(0,24*(NOW()-(K2ActualCompleteness[[#This Row],[Date]]+K2_DailyCloseTime))),0)</f>
        <v>0</v>
      </c>
      <c r="N124" s="159" t="s">
        <v>2276</v>
      </c>
    </row>
    <row r="125" spans="1:14" ht="14.4">
      <c r="A125" s="164">
        <f>INDEX(DailyTrackingTable[Date],16)</f>
        <v>46230</v>
      </c>
      <c r="B125" s="159" t="str">
        <f>INDEX(K2CostCategories[Cost Category ID],2)</f>
        <v>TOOLING</v>
      </c>
      <c r="C125" s="159" t="str">
        <f>INDEX(K2CostCategories[Display Name],2)</f>
        <v>Tooling Hire</v>
      </c>
      <c r="D125" s="159" t="str">
        <f>INDEX(K2CostCategories[Actual Header],2)</f>
        <v>Tooling Hire Actual</v>
      </c>
      <c r="E125" s="159" t="str">
        <f>INDEX(K2CostCategories[Actual Mode],2)</f>
        <v>AUTO</v>
      </c>
      <c r="F125" s="161"/>
      <c r="G125" s="159" t="str">
        <f ca="1">IF(K2ActualCompleteness[[#This Row],[Date]]&gt;K2_ControlAsOfDate,"NOT DUE",IF(AND(K2ActualCompleteness[[#This Row],[Date]]=K2_ControlAsOfDate,MOD(NOW(),1)&lt;K2_DailyCloseTime),"OPEN","DUE"))</f>
        <v>NOT DUE</v>
      </c>
      <c r="H125" s="159"/>
      <c r="I125" s="159"/>
      <c r="J125" s="159" t="str">
        <f>INDEX(K2CostCategories[Owner],2)</f>
        <v>Toolstore Supervisor</v>
      </c>
      <c r="K125" s="163"/>
      <c r="L125" s="159" t="s">
        <v>2917</v>
      </c>
      <c r="M125" s="160">
        <f ca="1">IF(K2ActualCompleteness[[#This Row],[Status]]="MISSING",MAX(0,24*(NOW()-(K2ActualCompleteness[[#This Row],[Date]]+K2_DailyCloseTime))),0)</f>
        <v>0</v>
      </c>
      <c r="N125" s="159" t="s">
        <v>2276</v>
      </c>
    </row>
    <row r="126" spans="1:14" ht="14.4">
      <c r="A126" s="164">
        <f>INDEX(DailyTrackingTable[Date],16)</f>
        <v>46230</v>
      </c>
      <c r="B126" s="159" t="str">
        <f>INDEX(K2CostCategories[Cost Category ID],3)</f>
        <v>RADIO</v>
      </c>
      <c r="C126" s="159" t="str">
        <f>INDEX(K2CostCategories[Display Name],3)</f>
        <v>Radio Family</v>
      </c>
      <c r="D126" s="159" t="str">
        <f>INDEX(K2CostCategories[Actual Header],3)</f>
        <v>Radio Hire Actual</v>
      </c>
      <c r="E126" s="159" t="str">
        <f>INDEX(K2CostCategories[Actual Mode],3)</f>
        <v>AUTO_COMBINED</v>
      </c>
      <c r="F126" s="161"/>
      <c r="G126" s="159" t="str">
        <f ca="1">IF(K2ActualCompleteness[[#This Row],[Date]]&gt;K2_ControlAsOfDate,"NOT DUE",IF(AND(K2ActualCompleteness[[#This Row],[Date]]=K2_ControlAsOfDate,MOD(NOW(),1)&lt;K2_DailyCloseTime),"OPEN","DUE"))</f>
        <v>NOT DUE</v>
      </c>
      <c r="H126" s="159"/>
      <c r="I126" s="159"/>
      <c r="J126" s="159" t="str">
        <f>INDEX(K2CostCategories[Owner],3)</f>
        <v>Toolstore Supervisor</v>
      </c>
      <c r="K126" s="163"/>
      <c r="L126" s="159" t="s">
        <v>2917</v>
      </c>
      <c r="M126" s="160">
        <f ca="1">IF(K2ActualCompleteness[[#This Row],[Status]]="MISSING",MAX(0,24*(NOW()-(K2ActualCompleteness[[#This Row],[Date]]+K2_DailyCloseTime))),0)</f>
        <v>0</v>
      </c>
      <c r="N126" s="159" t="s">
        <v>2276</v>
      </c>
    </row>
    <row r="127" spans="1:14" ht="14.4">
      <c r="A127" s="164">
        <f>INDEX(DailyTrackingTable[Date],16)</f>
        <v>46230</v>
      </c>
      <c r="B127" s="159" t="str">
        <f>INDEX(K2CostCategories[Cost Category ID],4)</f>
        <v>GAS</v>
      </c>
      <c r="C127" s="159" t="str">
        <f>INDEX(K2CostCategories[Display Name],4)</f>
        <v>Gas Monitors</v>
      </c>
      <c r="D127" s="159" t="str">
        <f>INDEX(K2CostCategories[Actual Header],4)</f>
        <v>Gas Monitor Hire Actual</v>
      </c>
      <c r="E127" s="159" t="str">
        <f>INDEX(K2CostCategories[Actual Mode],4)</f>
        <v>AUTO</v>
      </c>
      <c r="F127" s="161"/>
      <c r="G127" s="159" t="str">
        <f ca="1">IF(K2ActualCompleteness[[#This Row],[Date]]&gt;K2_ControlAsOfDate,"NOT DUE",IF(AND(K2ActualCompleteness[[#This Row],[Date]]=K2_ControlAsOfDate,MOD(NOW(),1)&lt;K2_DailyCloseTime),"OPEN","DUE"))</f>
        <v>NOT DUE</v>
      </c>
      <c r="H127" s="159"/>
      <c r="I127" s="159"/>
      <c r="J127" s="159" t="str">
        <f>INDEX(K2CostCategories[Owner],4)</f>
        <v>Toolstore Supervisor</v>
      </c>
      <c r="K127" s="163"/>
      <c r="L127" s="159" t="s">
        <v>2917</v>
      </c>
      <c r="M127" s="160">
        <f ca="1">IF(K2ActualCompleteness[[#This Row],[Status]]="MISSING",MAX(0,24*(NOW()-(K2ActualCompleteness[[#This Row],[Date]]+K2_DailyCloseTime))),0)</f>
        <v>0</v>
      </c>
      <c r="N127" s="159" t="s">
        <v>2276</v>
      </c>
    </row>
    <row r="128" spans="1:14" ht="14.4">
      <c r="A128" s="164">
        <f>INDEX(DailyTrackingTable[Date],16)</f>
        <v>46230</v>
      </c>
      <c r="B128" s="159" t="str">
        <f>INDEX(K2CostCategories[Cost Category ID],5)</f>
        <v>LABOUR</v>
      </c>
      <c r="C128" s="159" t="str">
        <f>INDEX(K2CostCategories[Display Name],5)</f>
        <v>Personnel / Labour</v>
      </c>
      <c r="D128" s="159" t="str">
        <f>INDEX(K2CostCategories[Actual Header],5)</f>
        <v>Personnel / Labour Actual</v>
      </c>
      <c r="E128" s="159" t="str">
        <f>INDEX(K2CostCategories[Actual Mode],5)</f>
        <v>MANUAL</v>
      </c>
      <c r="F128" s="161"/>
      <c r="G128" s="159" t="str">
        <f ca="1">IF(K2ActualCompleteness[[#This Row],[Date]]&gt;K2_ControlAsOfDate,"NOT DUE",IF(AND(K2ActualCompleteness[[#This Row],[Date]]=K2_ControlAsOfDate,MOD(NOW(),1)&lt;K2_DailyCloseTime),"OPEN","DUE"))</f>
        <v>NOT DUE</v>
      </c>
      <c r="H128" s="159"/>
      <c r="I128" s="159"/>
      <c r="J128" s="159" t="str">
        <f>INDEX(K2CostCategories[Owner],5)</f>
        <v>Shutdown Manager</v>
      </c>
      <c r="K128" s="163"/>
      <c r="L128" s="159" t="s">
        <v>2917</v>
      </c>
      <c r="M128" s="160">
        <f ca="1">IF(K2ActualCompleteness[[#This Row],[Status]]="MISSING",MAX(0,24*(NOW()-(K2ActualCompleteness[[#This Row],[Date]]+K2_DailyCloseTime))),0)</f>
        <v>0</v>
      </c>
      <c r="N128" s="159" t="s">
        <v>2276</v>
      </c>
    </row>
    <row r="129" spans="1:14" ht="14.4">
      <c r="A129" s="164">
        <f>INDEX(DailyTrackingTable[Date],16)</f>
        <v>46230</v>
      </c>
      <c r="B129" s="159" t="str">
        <f>INDEX(K2CostCategories[Cost Category ID],6)</f>
        <v>ACCOM</v>
      </c>
      <c r="C129" s="159" t="str">
        <f>INDEX(K2CostCategories[Display Name],6)</f>
        <v>Accommodation</v>
      </c>
      <c r="D129" s="159" t="str">
        <f>INDEX(K2CostCategories[Actual Header],6)</f>
        <v>Accommodation Actual</v>
      </c>
      <c r="E129" s="159" t="str">
        <f>INDEX(K2CostCategories[Actual Mode],6)</f>
        <v>MANUAL</v>
      </c>
      <c r="F129" s="161"/>
      <c r="G129" s="159" t="str">
        <f ca="1">IF(K2ActualCompleteness[[#This Row],[Date]]&gt;K2_ControlAsOfDate,"NOT DUE",IF(AND(K2ActualCompleteness[[#This Row],[Date]]=K2_ControlAsOfDate,MOD(NOW(),1)&lt;K2_DailyCloseTime),"OPEN","DUE"))</f>
        <v>NOT DUE</v>
      </c>
      <c r="H129" s="159"/>
      <c r="I129" s="159"/>
      <c r="J129" s="159" t="str">
        <f>INDEX(K2CostCategories[Owner],6)</f>
        <v>Shutdown Manager</v>
      </c>
      <c r="K129" s="163"/>
      <c r="L129" s="159" t="s">
        <v>2917</v>
      </c>
      <c r="M129" s="160">
        <f ca="1">IF(K2ActualCompleteness[[#This Row],[Status]]="MISSING",MAX(0,24*(NOW()-(K2ActualCompleteness[[#This Row],[Date]]+K2_DailyCloseTime))),0)</f>
        <v>0</v>
      </c>
      <c r="N129" s="159" t="s">
        <v>2276</v>
      </c>
    </row>
    <row r="130" spans="1:14" ht="14.4">
      <c r="A130" s="164">
        <f>INDEX(DailyTrackingTable[Date],16)</f>
        <v>46230</v>
      </c>
      <c r="B130" s="159" t="str">
        <f>INDEX(K2CostCategories[Cost Category ID],7)</f>
        <v>TRANSPORT</v>
      </c>
      <c r="C130" s="159" t="str">
        <f>INDEX(K2CostCategories[Display Name],7)</f>
        <v>Transport</v>
      </c>
      <c r="D130" s="159" t="str">
        <f>INDEX(K2CostCategories[Actual Header],7)</f>
        <v>Transport Actual</v>
      </c>
      <c r="E130" s="159" t="str">
        <f>INDEX(K2CostCategories[Actual Mode],7)</f>
        <v>MANUAL</v>
      </c>
      <c r="F130" s="161"/>
      <c r="G130" s="159" t="str">
        <f ca="1">IF(K2ActualCompleteness[[#This Row],[Date]]&gt;K2_ControlAsOfDate,"NOT DUE",IF(AND(K2ActualCompleteness[[#This Row],[Date]]=K2_ControlAsOfDate,MOD(NOW(),1)&lt;K2_DailyCloseTime),"OPEN","DUE"))</f>
        <v>NOT DUE</v>
      </c>
      <c r="H130" s="159"/>
      <c r="I130" s="159"/>
      <c r="J130" s="159" t="str">
        <f>INDEX(K2CostCategories[Owner],7)</f>
        <v>Commercial Manager</v>
      </c>
      <c r="K130" s="163"/>
      <c r="L130" s="159" t="s">
        <v>2917</v>
      </c>
      <c r="M130" s="160">
        <f ca="1">IF(K2ActualCompleteness[[#This Row],[Status]]="MISSING",MAX(0,24*(NOW()-(K2ActualCompleteness[[#This Row],[Date]]+K2_DailyCloseTime))),0)</f>
        <v>0</v>
      </c>
      <c r="N130" s="159" t="s">
        <v>2276</v>
      </c>
    </row>
    <row r="131" spans="1:14" ht="14.4">
      <c r="A131" s="164">
        <f>INDEX(DailyTrackingTable[Date],16)</f>
        <v>46230</v>
      </c>
      <c r="B131" s="159" t="str">
        <f>INDEX(K2CostCategories[Cost Category ID],8)</f>
        <v>DAMAGE</v>
      </c>
      <c r="C131" s="159" t="str">
        <f>INDEX(K2CostCategories[Display Name],8)</f>
        <v>Damage Recovery</v>
      </c>
      <c r="D131" s="159" t="str">
        <f>INDEX(K2CostCategories[Actual Header],8)</f>
        <v>Damage Recovery Actual</v>
      </c>
      <c r="E131" s="159" t="str">
        <f>INDEX(K2CostCategories[Actual Mode],8)</f>
        <v>MANUAL</v>
      </c>
      <c r="F131" s="161"/>
      <c r="G131" s="159" t="str">
        <f ca="1">IF(K2ActualCompleteness[[#This Row],[Date]]&gt;K2_ControlAsOfDate,"NOT DUE",IF(AND(K2ActualCompleteness[[#This Row],[Date]]=K2_ControlAsOfDate,MOD(NOW(),1)&lt;K2_DailyCloseTime),"OPEN","DUE"))</f>
        <v>NOT DUE</v>
      </c>
      <c r="H131" s="159"/>
      <c r="I131" s="159"/>
      <c r="J131" s="159" t="str">
        <f>INDEX(K2CostCategories[Owner],8)</f>
        <v>Commercial Manager</v>
      </c>
      <c r="K131" s="163"/>
      <c r="L131" s="159" t="s">
        <v>2917</v>
      </c>
      <c r="M131" s="160">
        <f ca="1">IF(K2ActualCompleteness[[#This Row],[Status]]="MISSING",MAX(0,24*(NOW()-(K2ActualCompleteness[[#This Row],[Date]]+K2_DailyCloseTime))),0)</f>
        <v>0</v>
      </c>
      <c r="N131" s="159" t="s">
        <v>2276</v>
      </c>
    </row>
    <row r="132" spans="1:14" ht="14.4">
      <c r="A132" s="164">
        <f>INDEX(DailyTrackingTable[Date],17)</f>
        <v>46231</v>
      </c>
      <c r="B132" s="159" t="str">
        <f>INDEX(K2CostCategories[Cost Category ID],1)</f>
        <v>PLANT</v>
      </c>
      <c r="C132" s="159" t="str">
        <f>INDEX(K2CostCategories[Display Name],1)</f>
        <v>Plant Equipment</v>
      </c>
      <c r="D132" s="159" t="str">
        <f>INDEX(K2CostCategories[Actual Header],1)</f>
        <v>Plant Equipment Hire Actual</v>
      </c>
      <c r="E132" s="159" t="str">
        <f>INDEX(K2CostCategories[Actual Mode],1)</f>
        <v>AUTO</v>
      </c>
      <c r="F132" s="161"/>
      <c r="G132" s="159" t="str">
        <f ca="1">IF(K2ActualCompleteness[[#This Row],[Date]]&gt;K2_ControlAsOfDate,"NOT DUE",IF(AND(K2ActualCompleteness[[#This Row],[Date]]=K2_ControlAsOfDate,MOD(NOW(),1)&lt;K2_DailyCloseTime),"OPEN","DUE"))</f>
        <v>NOT DUE</v>
      </c>
      <c r="H132" s="159"/>
      <c r="I132" s="159"/>
      <c r="J132" s="159" t="str">
        <f>INDEX(K2CostCategories[Owner],1)</f>
        <v>Plant Coordinator</v>
      </c>
      <c r="K132" s="163"/>
      <c r="L132" s="159" t="s">
        <v>2917</v>
      </c>
      <c r="M132" s="160">
        <f ca="1">IF(K2ActualCompleteness[[#This Row],[Status]]="MISSING",MAX(0,24*(NOW()-(K2ActualCompleteness[[#This Row],[Date]]+K2_DailyCloseTime))),0)</f>
        <v>0</v>
      </c>
      <c r="N132" s="159" t="s">
        <v>2276</v>
      </c>
    </row>
    <row r="133" spans="1:14" ht="14.4">
      <c r="A133" s="164">
        <f>INDEX(DailyTrackingTable[Date],17)</f>
        <v>46231</v>
      </c>
      <c r="B133" s="159" t="str">
        <f>INDEX(K2CostCategories[Cost Category ID],2)</f>
        <v>TOOLING</v>
      </c>
      <c r="C133" s="159" t="str">
        <f>INDEX(K2CostCategories[Display Name],2)</f>
        <v>Tooling Hire</v>
      </c>
      <c r="D133" s="159" t="str">
        <f>INDEX(K2CostCategories[Actual Header],2)</f>
        <v>Tooling Hire Actual</v>
      </c>
      <c r="E133" s="159" t="str">
        <f>INDEX(K2CostCategories[Actual Mode],2)</f>
        <v>AUTO</v>
      </c>
      <c r="F133" s="161"/>
      <c r="G133" s="159" t="str">
        <f ca="1">IF(K2ActualCompleteness[[#This Row],[Date]]&gt;K2_ControlAsOfDate,"NOT DUE",IF(AND(K2ActualCompleteness[[#This Row],[Date]]=K2_ControlAsOfDate,MOD(NOW(),1)&lt;K2_DailyCloseTime),"OPEN","DUE"))</f>
        <v>NOT DUE</v>
      </c>
      <c r="H133" s="159"/>
      <c r="I133" s="159"/>
      <c r="J133" s="159" t="str">
        <f>INDEX(K2CostCategories[Owner],2)</f>
        <v>Toolstore Supervisor</v>
      </c>
      <c r="K133" s="163"/>
      <c r="L133" s="159" t="s">
        <v>2917</v>
      </c>
      <c r="M133" s="160">
        <f ca="1">IF(K2ActualCompleteness[[#This Row],[Status]]="MISSING",MAX(0,24*(NOW()-(K2ActualCompleteness[[#This Row],[Date]]+K2_DailyCloseTime))),0)</f>
        <v>0</v>
      </c>
      <c r="N133" s="159" t="s">
        <v>2276</v>
      </c>
    </row>
    <row r="134" spans="1:14" ht="14.4">
      <c r="A134" s="164">
        <f>INDEX(DailyTrackingTable[Date],17)</f>
        <v>46231</v>
      </c>
      <c r="B134" s="159" t="str">
        <f>INDEX(K2CostCategories[Cost Category ID],3)</f>
        <v>RADIO</v>
      </c>
      <c r="C134" s="159" t="str">
        <f>INDEX(K2CostCategories[Display Name],3)</f>
        <v>Radio Family</v>
      </c>
      <c r="D134" s="159" t="str">
        <f>INDEX(K2CostCategories[Actual Header],3)</f>
        <v>Radio Hire Actual</v>
      </c>
      <c r="E134" s="159" t="str">
        <f>INDEX(K2CostCategories[Actual Mode],3)</f>
        <v>AUTO_COMBINED</v>
      </c>
      <c r="F134" s="161"/>
      <c r="G134" s="159" t="str">
        <f ca="1">IF(K2ActualCompleteness[[#This Row],[Date]]&gt;K2_ControlAsOfDate,"NOT DUE",IF(AND(K2ActualCompleteness[[#This Row],[Date]]=K2_ControlAsOfDate,MOD(NOW(),1)&lt;K2_DailyCloseTime),"OPEN","DUE"))</f>
        <v>NOT DUE</v>
      </c>
      <c r="H134" s="159"/>
      <c r="I134" s="159"/>
      <c r="J134" s="159" t="str">
        <f>INDEX(K2CostCategories[Owner],3)</f>
        <v>Toolstore Supervisor</v>
      </c>
      <c r="K134" s="163"/>
      <c r="L134" s="159" t="s">
        <v>2917</v>
      </c>
      <c r="M134" s="160">
        <f ca="1">IF(K2ActualCompleteness[[#This Row],[Status]]="MISSING",MAX(0,24*(NOW()-(K2ActualCompleteness[[#This Row],[Date]]+K2_DailyCloseTime))),0)</f>
        <v>0</v>
      </c>
      <c r="N134" s="159" t="s">
        <v>2276</v>
      </c>
    </row>
    <row r="135" spans="1:14" ht="14.4">
      <c r="A135" s="164">
        <f>INDEX(DailyTrackingTable[Date],17)</f>
        <v>46231</v>
      </c>
      <c r="B135" s="159" t="str">
        <f>INDEX(K2CostCategories[Cost Category ID],4)</f>
        <v>GAS</v>
      </c>
      <c r="C135" s="159" t="str">
        <f>INDEX(K2CostCategories[Display Name],4)</f>
        <v>Gas Monitors</v>
      </c>
      <c r="D135" s="159" t="str">
        <f>INDEX(K2CostCategories[Actual Header],4)</f>
        <v>Gas Monitor Hire Actual</v>
      </c>
      <c r="E135" s="159" t="str">
        <f>INDEX(K2CostCategories[Actual Mode],4)</f>
        <v>AUTO</v>
      </c>
      <c r="F135" s="161"/>
      <c r="G135" s="159" t="str">
        <f ca="1">IF(K2ActualCompleteness[[#This Row],[Date]]&gt;K2_ControlAsOfDate,"NOT DUE",IF(AND(K2ActualCompleteness[[#This Row],[Date]]=K2_ControlAsOfDate,MOD(NOW(),1)&lt;K2_DailyCloseTime),"OPEN","DUE"))</f>
        <v>NOT DUE</v>
      </c>
      <c r="H135" s="159"/>
      <c r="I135" s="159"/>
      <c r="J135" s="159" t="str">
        <f>INDEX(K2CostCategories[Owner],4)</f>
        <v>Toolstore Supervisor</v>
      </c>
      <c r="K135" s="163"/>
      <c r="L135" s="159" t="s">
        <v>2917</v>
      </c>
      <c r="M135" s="160">
        <f ca="1">IF(K2ActualCompleteness[[#This Row],[Status]]="MISSING",MAX(0,24*(NOW()-(K2ActualCompleteness[[#This Row],[Date]]+K2_DailyCloseTime))),0)</f>
        <v>0</v>
      </c>
      <c r="N135" s="159" t="s">
        <v>2276</v>
      </c>
    </row>
    <row r="136" spans="1:14" ht="14.4">
      <c r="A136" s="164">
        <f>INDEX(DailyTrackingTable[Date],17)</f>
        <v>46231</v>
      </c>
      <c r="B136" s="159" t="str">
        <f>INDEX(K2CostCategories[Cost Category ID],5)</f>
        <v>LABOUR</v>
      </c>
      <c r="C136" s="159" t="str">
        <f>INDEX(K2CostCategories[Display Name],5)</f>
        <v>Personnel / Labour</v>
      </c>
      <c r="D136" s="159" t="str">
        <f>INDEX(K2CostCategories[Actual Header],5)</f>
        <v>Personnel / Labour Actual</v>
      </c>
      <c r="E136" s="159" t="str">
        <f>INDEX(K2CostCategories[Actual Mode],5)</f>
        <v>MANUAL</v>
      </c>
      <c r="F136" s="161"/>
      <c r="G136" s="159" t="str">
        <f ca="1">IF(K2ActualCompleteness[[#This Row],[Date]]&gt;K2_ControlAsOfDate,"NOT DUE",IF(AND(K2ActualCompleteness[[#This Row],[Date]]=K2_ControlAsOfDate,MOD(NOW(),1)&lt;K2_DailyCloseTime),"OPEN","DUE"))</f>
        <v>NOT DUE</v>
      </c>
      <c r="H136" s="159"/>
      <c r="I136" s="159"/>
      <c r="J136" s="159" t="str">
        <f>INDEX(K2CostCategories[Owner],5)</f>
        <v>Shutdown Manager</v>
      </c>
      <c r="K136" s="163"/>
      <c r="L136" s="159" t="s">
        <v>2917</v>
      </c>
      <c r="M136" s="160">
        <f ca="1">IF(K2ActualCompleteness[[#This Row],[Status]]="MISSING",MAX(0,24*(NOW()-(K2ActualCompleteness[[#This Row],[Date]]+K2_DailyCloseTime))),0)</f>
        <v>0</v>
      </c>
      <c r="N136" s="159" t="s">
        <v>2276</v>
      </c>
    </row>
    <row r="137" spans="1:14" ht="14.4">
      <c r="A137" s="164">
        <f>INDEX(DailyTrackingTable[Date],17)</f>
        <v>46231</v>
      </c>
      <c r="B137" s="159" t="str">
        <f>INDEX(K2CostCategories[Cost Category ID],6)</f>
        <v>ACCOM</v>
      </c>
      <c r="C137" s="159" t="str">
        <f>INDEX(K2CostCategories[Display Name],6)</f>
        <v>Accommodation</v>
      </c>
      <c r="D137" s="159" t="str">
        <f>INDEX(K2CostCategories[Actual Header],6)</f>
        <v>Accommodation Actual</v>
      </c>
      <c r="E137" s="159" t="str">
        <f>INDEX(K2CostCategories[Actual Mode],6)</f>
        <v>MANUAL</v>
      </c>
      <c r="F137" s="161"/>
      <c r="G137" s="159" t="str">
        <f ca="1">IF(K2ActualCompleteness[[#This Row],[Date]]&gt;K2_ControlAsOfDate,"NOT DUE",IF(AND(K2ActualCompleteness[[#This Row],[Date]]=K2_ControlAsOfDate,MOD(NOW(),1)&lt;K2_DailyCloseTime),"OPEN","DUE"))</f>
        <v>NOT DUE</v>
      </c>
      <c r="H137" s="159"/>
      <c r="I137" s="159"/>
      <c r="J137" s="159" t="str">
        <f>INDEX(K2CostCategories[Owner],6)</f>
        <v>Shutdown Manager</v>
      </c>
      <c r="K137" s="163"/>
      <c r="L137" s="159" t="s">
        <v>2917</v>
      </c>
      <c r="M137" s="160">
        <f ca="1">IF(K2ActualCompleteness[[#This Row],[Status]]="MISSING",MAX(0,24*(NOW()-(K2ActualCompleteness[[#This Row],[Date]]+K2_DailyCloseTime))),0)</f>
        <v>0</v>
      </c>
      <c r="N137" s="159" t="s">
        <v>2276</v>
      </c>
    </row>
    <row r="138" spans="1:14" ht="14.4">
      <c r="A138" s="164">
        <f>INDEX(DailyTrackingTable[Date],17)</f>
        <v>46231</v>
      </c>
      <c r="B138" s="159" t="str">
        <f>INDEX(K2CostCategories[Cost Category ID],7)</f>
        <v>TRANSPORT</v>
      </c>
      <c r="C138" s="159" t="str">
        <f>INDEX(K2CostCategories[Display Name],7)</f>
        <v>Transport</v>
      </c>
      <c r="D138" s="159" t="str">
        <f>INDEX(K2CostCategories[Actual Header],7)</f>
        <v>Transport Actual</v>
      </c>
      <c r="E138" s="159" t="str">
        <f>INDEX(K2CostCategories[Actual Mode],7)</f>
        <v>MANUAL</v>
      </c>
      <c r="F138" s="161"/>
      <c r="G138" s="159" t="str">
        <f ca="1">IF(K2ActualCompleteness[[#This Row],[Date]]&gt;K2_ControlAsOfDate,"NOT DUE",IF(AND(K2ActualCompleteness[[#This Row],[Date]]=K2_ControlAsOfDate,MOD(NOW(),1)&lt;K2_DailyCloseTime),"OPEN","DUE"))</f>
        <v>NOT DUE</v>
      </c>
      <c r="H138" s="159"/>
      <c r="I138" s="159"/>
      <c r="J138" s="159" t="str">
        <f>INDEX(K2CostCategories[Owner],7)</f>
        <v>Commercial Manager</v>
      </c>
      <c r="K138" s="163"/>
      <c r="L138" s="159" t="s">
        <v>2917</v>
      </c>
      <c r="M138" s="160">
        <f ca="1">IF(K2ActualCompleteness[[#This Row],[Status]]="MISSING",MAX(0,24*(NOW()-(K2ActualCompleteness[[#This Row],[Date]]+K2_DailyCloseTime))),0)</f>
        <v>0</v>
      </c>
      <c r="N138" s="159" t="s">
        <v>2276</v>
      </c>
    </row>
    <row r="139" spans="1:14" ht="14.4">
      <c r="A139" s="164">
        <f>INDEX(DailyTrackingTable[Date],17)</f>
        <v>46231</v>
      </c>
      <c r="B139" s="159" t="str">
        <f>INDEX(K2CostCategories[Cost Category ID],8)</f>
        <v>DAMAGE</v>
      </c>
      <c r="C139" s="159" t="str">
        <f>INDEX(K2CostCategories[Display Name],8)</f>
        <v>Damage Recovery</v>
      </c>
      <c r="D139" s="159" t="str">
        <f>INDEX(K2CostCategories[Actual Header],8)</f>
        <v>Damage Recovery Actual</v>
      </c>
      <c r="E139" s="159" t="str">
        <f>INDEX(K2CostCategories[Actual Mode],8)</f>
        <v>MANUAL</v>
      </c>
      <c r="F139" s="161"/>
      <c r="G139" s="159" t="str">
        <f ca="1">IF(K2ActualCompleteness[[#This Row],[Date]]&gt;K2_ControlAsOfDate,"NOT DUE",IF(AND(K2ActualCompleteness[[#This Row],[Date]]=K2_ControlAsOfDate,MOD(NOW(),1)&lt;K2_DailyCloseTime),"OPEN","DUE"))</f>
        <v>NOT DUE</v>
      </c>
      <c r="H139" s="159"/>
      <c r="I139" s="159"/>
      <c r="J139" s="159" t="str">
        <f>INDEX(K2CostCategories[Owner],8)</f>
        <v>Commercial Manager</v>
      </c>
      <c r="K139" s="163"/>
      <c r="L139" s="159" t="s">
        <v>2917</v>
      </c>
      <c r="M139" s="160">
        <f ca="1">IF(K2ActualCompleteness[[#This Row],[Status]]="MISSING",MAX(0,24*(NOW()-(K2ActualCompleteness[[#This Row],[Date]]+K2_DailyCloseTime))),0)</f>
        <v>0</v>
      </c>
      <c r="N139" s="159" t="s">
        <v>2276</v>
      </c>
    </row>
    <row r="140" spans="1:14" ht="14.4">
      <c r="A140" s="164">
        <f>INDEX(DailyTrackingTable[Date],18)</f>
        <v>46232</v>
      </c>
      <c r="B140" s="159" t="str">
        <f>INDEX(K2CostCategories[Cost Category ID],1)</f>
        <v>PLANT</v>
      </c>
      <c r="C140" s="159" t="str">
        <f>INDEX(K2CostCategories[Display Name],1)</f>
        <v>Plant Equipment</v>
      </c>
      <c r="D140" s="159" t="str">
        <f>INDEX(K2CostCategories[Actual Header],1)</f>
        <v>Plant Equipment Hire Actual</v>
      </c>
      <c r="E140" s="159" t="str">
        <f>INDEX(K2CostCategories[Actual Mode],1)</f>
        <v>AUTO</v>
      </c>
      <c r="F140" s="161"/>
      <c r="G140" s="159" t="str">
        <f ca="1">IF(K2ActualCompleteness[[#This Row],[Date]]&gt;K2_ControlAsOfDate,"NOT DUE",IF(AND(K2ActualCompleteness[[#This Row],[Date]]=K2_ControlAsOfDate,MOD(NOW(),1)&lt;K2_DailyCloseTime),"OPEN","DUE"))</f>
        <v>NOT DUE</v>
      </c>
      <c r="H140" s="159"/>
      <c r="I140" s="159"/>
      <c r="J140" s="159" t="str">
        <f>INDEX(K2CostCategories[Owner],1)</f>
        <v>Plant Coordinator</v>
      </c>
      <c r="K140" s="163"/>
      <c r="L140" s="159" t="s">
        <v>2917</v>
      </c>
      <c r="M140" s="160">
        <f ca="1">IF(K2ActualCompleteness[[#This Row],[Status]]="MISSING",MAX(0,24*(NOW()-(K2ActualCompleteness[[#This Row],[Date]]+K2_DailyCloseTime))),0)</f>
        <v>0</v>
      </c>
      <c r="N140" s="159" t="s">
        <v>2276</v>
      </c>
    </row>
    <row r="141" spans="1:14" ht="14.4">
      <c r="A141" s="164">
        <f>INDEX(DailyTrackingTable[Date],18)</f>
        <v>46232</v>
      </c>
      <c r="B141" s="159" t="str">
        <f>INDEX(K2CostCategories[Cost Category ID],2)</f>
        <v>TOOLING</v>
      </c>
      <c r="C141" s="159" t="str">
        <f>INDEX(K2CostCategories[Display Name],2)</f>
        <v>Tooling Hire</v>
      </c>
      <c r="D141" s="159" t="str">
        <f>INDEX(K2CostCategories[Actual Header],2)</f>
        <v>Tooling Hire Actual</v>
      </c>
      <c r="E141" s="159" t="str">
        <f>INDEX(K2CostCategories[Actual Mode],2)</f>
        <v>AUTO</v>
      </c>
      <c r="F141" s="161"/>
      <c r="G141" s="159" t="str">
        <f ca="1">IF(K2ActualCompleteness[[#This Row],[Date]]&gt;K2_ControlAsOfDate,"NOT DUE",IF(AND(K2ActualCompleteness[[#This Row],[Date]]=K2_ControlAsOfDate,MOD(NOW(),1)&lt;K2_DailyCloseTime),"OPEN","DUE"))</f>
        <v>NOT DUE</v>
      </c>
      <c r="H141" s="159"/>
      <c r="I141" s="159"/>
      <c r="J141" s="159" t="str">
        <f>INDEX(K2CostCategories[Owner],2)</f>
        <v>Toolstore Supervisor</v>
      </c>
      <c r="K141" s="163"/>
      <c r="L141" s="159" t="s">
        <v>2917</v>
      </c>
      <c r="M141" s="160">
        <f ca="1">IF(K2ActualCompleteness[[#This Row],[Status]]="MISSING",MAX(0,24*(NOW()-(K2ActualCompleteness[[#This Row],[Date]]+K2_DailyCloseTime))),0)</f>
        <v>0</v>
      </c>
      <c r="N141" s="159" t="s">
        <v>2276</v>
      </c>
    </row>
    <row r="142" spans="1:14" ht="14.4">
      <c r="A142" s="164">
        <f>INDEX(DailyTrackingTable[Date],18)</f>
        <v>46232</v>
      </c>
      <c r="B142" s="159" t="str">
        <f>INDEX(K2CostCategories[Cost Category ID],3)</f>
        <v>RADIO</v>
      </c>
      <c r="C142" s="159" t="str">
        <f>INDEX(K2CostCategories[Display Name],3)</f>
        <v>Radio Family</v>
      </c>
      <c r="D142" s="159" t="str">
        <f>INDEX(K2CostCategories[Actual Header],3)</f>
        <v>Radio Hire Actual</v>
      </c>
      <c r="E142" s="159" t="str">
        <f>INDEX(K2CostCategories[Actual Mode],3)</f>
        <v>AUTO_COMBINED</v>
      </c>
      <c r="F142" s="161"/>
      <c r="G142" s="159" t="str">
        <f ca="1">IF(K2ActualCompleteness[[#This Row],[Date]]&gt;K2_ControlAsOfDate,"NOT DUE",IF(AND(K2ActualCompleteness[[#This Row],[Date]]=K2_ControlAsOfDate,MOD(NOW(),1)&lt;K2_DailyCloseTime),"OPEN","DUE"))</f>
        <v>NOT DUE</v>
      </c>
      <c r="H142" s="159"/>
      <c r="I142" s="159"/>
      <c r="J142" s="159" t="str">
        <f>INDEX(K2CostCategories[Owner],3)</f>
        <v>Toolstore Supervisor</v>
      </c>
      <c r="K142" s="163"/>
      <c r="L142" s="159" t="s">
        <v>2917</v>
      </c>
      <c r="M142" s="160">
        <f ca="1">IF(K2ActualCompleteness[[#This Row],[Status]]="MISSING",MAX(0,24*(NOW()-(K2ActualCompleteness[[#This Row],[Date]]+K2_DailyCloseTime))),0)</f>
        <v>0</v>
      </c>
      <c r="N142" s="159" t="s">
        <v>2276</v>
      </c>
    </row>
    <row r="143" spans="1:14" ht="14.4">
      <c r="A143" s="164">
        <f>INDEX(DailyTrackingTable[Date],18)</f>
        <v>46232</v>
      </c>
      <c r="B143" s="159" t="str">
        <f>INDEX(K2CostCategories[Cost Category ID],4)</f>
        <v>GAS</v>
      </c>
      <c r="C143" s="159" t="str">
        <f>INDEX(K2CostCategories[Display Name],4)</f>
        <v>Gas Monitors</v>
      </c>
      <c r="D143" s="159" t="str">
        <f>INDEX(K2CostCategories[Actual Header],4)</f>
        <v>Gas Monitor Hire Actual</v>
      </c>
      <c r="E143" s="159" t="str">
        <f>INDEX(K2CostCategories[Actual Mode],4)</f>
        <v>AUTO</v>
      </c>
      <c r="F143" s="161"/>
      <c r="G143" s="159" t="str">
        <f ca="1">IF(K2ActualCompleteness[[#This Row],[Date]]&gt;K2_ControlAsOfDate,"NOT DUE",IF(AND(K2ActualCompleteness[[#This Row],[Date]]=K2_ControlAsOfDate,MOD(NOW(),1)&lt;K2_DailyCloseTime),"OPEN","DUE"))</f>
        <v>NOT DUE</v>
      </c>
      <c r="H143" s="159"/>
      <c r="I143" s="159"/>
      <c r="J143" s="159" t="str">
        <f>INDEX(K2CostCategories[Owner],4)</f>
        <v>Toolstore Supervisor</v>
      </c>
      <c r="K143" s="163"/>
      <c r="L143" s="159" t="s">
        <v>2917</v>
      </c>
      <c r="M143" s="160">
        <f ca="1">IF(K2ActualCompleteness[[#This Row],[Status]]="MISSING",MAX(0,24*(NOW()-(K2ActualCompleteness[[#This Row],[Date]]+K2_DailyCloseTime))),0)</f>
        <v>0</v>
      </c>
      <c r="N143" s="159" t="s">
        <v>2276</v>
      </c>
    </row>
    <row r="144" spans="1:14" ht="14.4">
      <c r="A144" s="164">
        <f>INDEX(DailyTrackingTable[Date],18)</f>
        <v>46232</v>
      </c>
      <c r="B144" s="159" t="str">
        <f>INDEX(K2CostCategories[Cost Category ID],5)</f>
        <v>LABOUR</v>
      </c>
      <c r="C144" s="159" t="str">
        <f>INDEX(K2CostCategories[Display Name],5)</f>
        <v>Personnel / Labour</v>
      </c>
      <c r="D144" s="159" t="str">
        <f>INDEX(K2CostCategories[Actual Header],5)</f>
        <v>Personnel / Labour Actual</v>
      </c>
      <c r="E144" s="159" t="str">
        <f>INDEX(K2CostCategories[Actual Mode],5)</f>
        <v>MANUAL</v>
      </c>
      <c r="F144" s="161"/>
      <c r="G144" s="159" t="str">
        <f ca="1">IF(K2ActualCompleteness[[#This Row],[Date]]&gt;K2_ControlAsOfDate,"NOT DUE",IF(AND(K2ActualCompleteness[[#This Row],[Date]]=K2_ControlAsOfDate,MOD(NOW(),1)&lt;K2_DailyCloseTime),"OPEN","DUE"))</f>
        <v>NOT DUE</v>
      </c>
      <c r="H144" s="159"/>
      <c r="I144" s="159"/>
      <c r="J144" s="159" t="str">
        <f>INDEX(K2CostCategories[Owner],5)</f>
        <v>Shutdown Manager</v>
      </c>
      <c r="K144" s="163"/>
      <c r="L144" s="159" t="s">
        <v>2917</v>
      </c>
      <c r="M144" s="160">
        <f ca="1">IF(K2ActualCompleteness[[#This Row],[Status]]="MISSING",MAX(0,24*(NOW()-(K2ActualCompleteness[[#This Row],[Date]]+K2_DailyCloseTime))),0)</f>
        <v>0</v>
      </c>
      <c r="N144" s="159" t="s">
        <v>2276</v>
      </c>
    </row>
    <row r="145" spans="1:14" ht="14.4">
      <c r="A145" s="164">
        <f>INDEX(DailyTrackingTable[Date],18)</f>
        <v>46232</v>
      </c>
      <c r="B145" s="159" t="str">
        <f>INDEX(K2CostCategories[Cost Category ID],6)</f>
        <v>ACCOM</v>
      </c>
      <c r="C145" s="159" t="str">
        <f>INDEX(K2CostCategories[Display Name],6)</f>
        <v>Accommodation</v>
      </c>
      <c r="D145" s="159" t="str">
        <f>INDEX(K2CostCategories[Actual Header],6)</f>
        <v>Accommodation Actual</v>
      </c>
      <c r="E145" s="159" t="str">
        <f>INDEX(K2CostCategories[Actual Mode],6)</f>
        <v>MANUAL</v>
      </c>
      <c r="F145" s="161"/>
      <c r="G145" s="159" t="str">
        <f ca="1">IF(K2ActualCompleteness[[#This Row],[Date]]&gt;K2_ControlAsOfDate,"NOT DUE",IF(AND(K2ActualCompleteness[[#This Row],[Date]]=K2_ControlAsOfDate,MOD(NOW(),1)&lt;K2_DailyCloseTime),"OPEN","DUE"))</f>
        <v>NOT DUE</v>
      </c>
      <c r="H145" s="159"/>
      <c r="I145" s="159"/>
      <c r="J145" s="159" t="str">
        <f>INDEX(K2CostCategories[Owner],6)</f>
        <v>Shutdown Manager</v>
      </c>
      <c r="K145" s="163"/>
      <c r="L145" s="159" t="s">
        <v>2917</v>
      </c>
      <c r="M145" s="160">
        <f ca="1">IF(K2ActualCompleteness[[#This Row],[Status]]="MISSING",MAX(0,24*(NOW()-(K2ActualCompleteness[[#This Row],[Date]]+K2_DailyCloseTime))),0)</f>
        <v>0</v>
      </c>
      <c r="N145" s="159" t="s">
        <v>2276</v>
      </c>
    </row>
    <row r="146" spans="1:14" ht="14.4">
      <c r="A146" s="164">
        <f>INDEX(DailyTrackingTable[Date],18)</f>
        <v>46232</v>
      </c>
      <c r="B146" s="159" t="str">
        <f>INDEX(K2CostCategories[Cost Category ID],7)</f>
        <v>TRANSPORT</v>
      </c>
      <c r="C146" s="159" t="str">
        <f>INDEX(K2CostCategories[Display Name],7)</f>
        <v>Transport</v>
      </c>
      <c r="D146" s="159" t="str">
        <f>INDEX(K2CostCategories[Actual Header],7)</f>
        <v>Transport Actual</v>
      </c>
      <c r="E146" s="159" t="str">
        <f>INDEX(K2CostCategories[Actual Mode],7)</f>
        <v>MANUAL</v>
      </c>
      <c r="F146" s="161"/>
      <c r="G146" s="159" t="str">
        <f ca="1">IF(K2ActualCompleteness[[#This Row],[Date]]&gt;K2_ControlAsOfDate,"NOT DUE",IF(AND(K2ActualCompleteness[[#This Row],[Date]]=K2_ControlAsOfDate,MOD(NOW(),1)&lt;K2_DailyCloseTime),"OPEN","DUE"))</f>
        <v>NOT DUE</v>
      </c>
      <c r="H146" s="159"/>
      <c r="I146" s="159"/>
      <c r="J146" s="159" t="str">
        <f>INDEX(K2CostCategories[Owner],7)</f>
        <v>Commercial Manager</v>
      </c>
      <c r="K146" s="163"/>
      <c r="L146" s="159" t="s">
        <v>2917</v>
      </c>
      <c r="M146" s="160">
        <f ca="1">IF(K2ActualCompleteness[[#This Row],[Status]]="MISSING",MAX(0,24*(NOW()-(K2ActualCompleteness[[#This Row],[Date]]+K2_DailyCloseTime))),0)</f>
        <v>0</v>
      </c>
      <c r="N146" s="159" t="s">
        <v>2276</v>
      </c>
    </row>
    <row r="147" spans="1:14" ht="14.4">
      <c r="A147" s="164">
        <f>INDEX(DailyTrackingTable[Date],18)</f>
        <v>46232</v>
      </c>
      <c r="B147" s="159" t="str">
        <f>INDEX(K2CostCategories[Cost Category ID],8)</f>
        <v>DAMAGE</v>
      </c>
      <c r="C147" s="159" t="str">
        <f>INDEX(K2CostCategories[Display Name],8)</f>
        <v>Damage Recovery</v>
      </c>
      <c r="D147" s="159" t="str">
        <f>INDEX(K2CostCategories[Actual Header],8)</f>
        <v>Damage Recovery Actual</v>
      </c>
      <c r="E147" s="159" t="str">
        <f>INDEX(K2CostCategories[Actual Mode],8)</f>
        <v>MANUAL</v>
      </c>
      <c r="F147" s="161"/>
      <c r="G147" s="159" t="str">
        <f ca="1">IF(K2ActualCompleteness[[#This Row],[Date]]&gt;K2_ControlAsOfDate,"NOT DUE",IF(AND(K2ActualCompleteness[[#This Row],[Date]]=K2_ControlAsOfDate,MOD(NOW(),1)&lt;K2_DailyCloseTime),"OPEN","DUE"))</f>
        <v>NOT DUE</v>
      </c>
      <c r="H147" s="159"/>
      <c r="I147" s="159"/>
      <c r="J147" s="159" t="str">
        <f>INDEX(K2CostCategories[Owner],8)</f>
        <v>Commercial Manager</v>
      </c>
      <c r="K147" s="163"/>
      <c r="L147" s="159" t="s">
        <v>2917</v>
      </c>
      <c r="M147" s="160">
        <f ca="1">IF(K2ActualCompleteness[[#This Row],[Status]]="MISSING",MAX(0,24*(NOW()-(K2ActualCompleteness[[#This Row],[Date]]+K2_DailyCloseTime))),0)</f>
        <v>0</v>
      </c>
      <c r="N147" s="159" t="s">
        <v>2276</v>
      </c>
    </row>
    <row r="148" spans="1:14" ht="14.4">
      <c r="A148" s="164">
        <f>INDEX(DailyTrackingTable[Date],19)</f>
        <v>46233</v>
      </c>
      <c r="B148" s="159" t="str">
        <f>INDEX(K2CostCategories[Cost Category ID],1)</f>
        <v>PLANT</v>
      </c>
      <c r="C148" s="159" t="str">
        <f>INDEX(K2CostCategories[Display Name],1)</f>
        <v>Plant Equipment</v>
      </c>
      <c r="D148" s="159" t="str">
        <f>INDEX(K2CostCategories[Actual Header],1)</f>
        <v>Plant Equipment Hire Actual</v>
      </c>
      <c r="E148" s="159" t="str">
        <f>INDEX(K2CostCategories[Actual Mode],1)</f>
        <v>AUTO</v>
      </c>
      <c r="F148" s="161"/>
      <c r="G148" s="159" t="str">
        <f ca="1">IF(K2ActualCompleteness[[#This Row],[Date]]&gt;K2_ControlAsOfDate,"NOT DUE",IF(AND(K2ActualCompleteness[[#This Row],[Date]]=K2_ControlAsOfDate,MOD(NOW(),1)&lt;K2_DailyCloseTime),"OPEN","DUE"))</f>
        <v>NOT DUE</v>
      </c>
      <c r="H148" s="159"/>
      <c r="I148" s="159"/>
      <c r="J148" s="159" t="str">
        <f>INDEX(K2CostCategories[Owner],1)</f>
        <v>Plant Coordinator</v>
      </c>
      <c r="K148" s="163"/>
      <c r="L148" s="159" t="s">
        <v>2917</v>
      </c>
      <c r="M148" s="160">
        <f ca="1">IF(K2ActualCompleteness[[#This Row],[Status]]="MISSING",MAX(0,24*(NOW()-(K2ActualCompleteness[[#This Row],[Date]]+K2_DailyCloseTime))),0)</f>
        <v>0</v>
      </c>
      <c r="N148" s="159" t="s">
        <v>2276</v>
      </c>
    </row>
    <row r="149" spans="1:14" ht="14.4">
      <c r="A149" s="164">
        <f>INDEX(DailyTrackingTable[Date],19)</f>
        <v>46233</v>
      </c>
      <c r="B149" s="159" t="str">
        <f>INDEX(K2CostCategories[Cost Category ID],2)</f>
        <v>TOOLING</v>
      </c>
      <c r="C149" s="159" t="str">
        <f>INDEX(K2CostCategories[Display Name],2)</f>
        <v>Tooling Hire</v>
      </c>
      <c r="D149" s="159" t="str">
        <f>INDEX(K2CostCategories[Actual Header],2)</f>
        <v>Tooling Hire Actual</v>
      </c>
      <c r="E149" s="159" t="str">
        <f>INDEX(K2CostCategories[Actual Mode],2)</f>
        <v>AUTO</v>
      </c>
      <c r="F149" s="161"/>
      <c r="G149" s="159" t="str">
        <f ca="1">IF(K2ActualCompleteness[[#This Row],[Date]]&gt;K2_ControlAsOfDate,"NOT DUE",IF(AND(K2ActualCompleteness[[#This Row],[Date]]=K2_ControlAsOfDate,MOD(NOW(),1)&lt;K2_DailyCloseTime),"OPEN","DUE"))</f>
        <v>NOT DUE</v>
      </c>
      <c r="H149" s="159"/>
      <c r="I149" s="159"/>
      <c r="J149" s="159" t="str">
        <f>INDEX(K2CostCategories[Owner],2)</f>
        <v>Toolstore Supervisor</v>
      </c>
      <c r="K149" s="163"/>
      <c r="L149" s="159" t="s">
        <v>2917</v>
      </c>
      <c r="M149" s="160">
        <f ca="1">IF(K2ActualCompleteness[[#This Row],[Status]]="MISSING",MAX(0,24*(NOW()-(K2ActualCompleteness[[#This Row],[Date]]+K2_DailyCloseTime))),0)</f>
        <v>0</v>
      </c>
      <c r="N149" s="159" t="s">
        <v>2276</v>
      </c>
    </row>
    <row r="150" spans="1:14" ht="14.4">
      <c r="A150" s="164">
        <f>INDEX(DailyTrackingTable[Date],19)</f>
        <v>46233</v>
      </c>
      <c r="B150" s="159" t="str">
        <f>INDEX(K2CostCategories[Cost Category ID],3)</f>
        <v>RADIO</v>
      </c>
      <c r="C150" s="159" t="str">
        <f>INDEX(K2CostCategories[Display Name],3)</f>
        <v>Radio Family</v>
      </c>
      <c r="D150" s="159" t="str">
        <f>INDEX(K2CostCategories[Actual Header],3)</f>
        <v>Radio Hire Actual</v>
      </c>
      <c r="E150" s="159" t="str">
        <f>INDEX(K2CostCategories[Actual Mode],3)</f>
        <v>AUTO_COMBINED</v>
      </c>
      <c r="F150" s="161"/>
      <c r="G150" s="159" t="str">
        <f ca="1">IF(K2ActualCompleteness[[#This Row],[Date]]&gt;K2_ControlAsOfDate,"NOT DUE",IF(AND(K2ActualCompleteness[[#This Row],[Date]]=K2_ControlAsOfDate,MOD(NOW(),1)&lt;K2_DailyCloseTime),"OPEN","DUE"))</f>
        <v>NOT DUE</v>
      </c>
      <c r="H150" s="159"/>
      <c r="I150" s="159"/>
      <c r="J150" s="159" t="str">
        <f>INDEX(K2CostCategories[Owner],3)</f>
        <v>Toolstore Supervisor</v>
      </c>
      <c r="K150" s="163"/>
      <c r="L150" s="159" t="s">
        <v>2917</v>
      </c>
      <c r="M150" s="160">
        <f ca="1">IF(K2ActualCompleteness[[#This Row],[Status]]="MISSING",MAX(0,24*(NOW()-(K2ActualCompleteness[[#This Row],[Date]]+K2_DailyCloseTime))),0)</f>
        <v>0</v>
      </c>
      <c r="N150" s="159" t="s">
        <v>2276</v>
      </c>
    </row>
    <row r="151" spans="1:14" ht="14.4">
      <c r="A151" s="164">
        <f>INDEX(DailyTrackingTable[Date],19)</f>
        <v>46233</v>
      </c>
      <c r="B151" s="159" t="str">
        <f>INDEX(K2CostCategories[Cost Category ID],4)</f>
        <v>GAS</v>
      </c>
      <c r="C151" s="159" t="str">
        <f>INDEX(K2CostCategories[Display Name],4)</f>
        <v>Gas Monitors</v>
      </c>
      <c r="D151" s="159" t="str">
        <f>INDEX(K2CostCategories[Actual Header],4)</f>
        <v>Gas Monitor Hire Actual</v>
      </c>
      <c r="E151" s="159" t="str">
        <f>INDEX(K2CostCategories[Actual Mode],4)</f>
        <v>AUTO</v>
      </c>
      <c r="F151" s="161"/>
      <c r="G151" s="159" t="str">
        <f ca="1">IF(K2ActualCompleteness[[#This Row],[Date]]&gt;K2_ControlAsOfDate,"NOT DUE",IF(AND(K2ActualCompleteness[[#This Row],[Date]]=K2_ControlAsOfDate,MOD(NOW(),1)&lt;K2_DailyCloseTime),"OPEN","DUE"))</f>
        <v>NOT DUE</v>
      </c>
      <c r="H151" s="159"/>
      <c r="I151" s="159"/>
      <c r="J151" s="159" t="str">
        <f>INDEX(K2CostCategories[Owner],4)</f>
        <v>Toolstore Supervisor</v>
      </c>
      <c r="K151" s="163"/>
      <c r="L151" s="159" t="s">
        <v>2917</v>
      </c>
      <c r="M151" s="160">
        <f ca="1">IF(K2ActualCompleteness[[#This Row],[Status]]="MISSING",MAX(0,24*(NOW()-(K2ActualCompleteness[[#This Row],[Date]]+K2_DailyCloseTime))),0)</f>
        <v>0</v>
      </c>
      <c r="N151" s="159" t="s">
        <v>2276</v>
      </c>
    </row>
    <row r="152" spans="1:14" ht="14.4">
      <c r="A152" s="164">
        <f>INDEX(DailyTrackingTable[Date],19)</f>
        <v>46233</v>
      </c>
      <c r="B152" s="159" t="str">
        <f>INDEX(K2CostCategories[Cost Category ID],5)</f>
        <v>LABOUR</v>
      </c>
      <c r="C152" s="159" t="str">
        <f>INDEX(K2CostCategories[Display Name],5)</f>
        <v>Personnel / Labour</v>
      </c>
      <c r="D152" s="159" t="str">
        <f>INDEX(K2CostCategories[Actual Header],5)</f>
        <v>Personnel / Labour Actual</v>
      </c>
      <c r="E152" s="159" t="str">
        <f>INDEX(K2CostCategories[Actual Mode],5)</f>
        <v>MANUAL</v>
      </c>
      <c r="F152" s="161"/>
      <c r="G152" s="159" t="str">
        <f ca="1">IF(K2ActualCompleteness[[#This Row],[Date]]&gt;K2_ControlAsOfDate,"NOT DUE",IF(AND(K2ActualCompleteness[[#This Row],[Date]]=K2_ControlAsOfDate,MOD(NOW(),1)&lt;K2_DailyCloseTime),"OPEN","DUE"))</f>
        <v>NOT DUE</v>
      </c>
      <c r="H152" s="159"/>
      <c r="I152" s="159"/>
      <c r="J152" s="159" t="str">
        <f>INDEX(K2CostCategories[Owner],5)</f>
        <v>Shutdown Manager</v>
      </c>
      <c r="K152" s="163"/>
      <c r="L152" s="159" t="s">
        <v>2917</v>
      </c>
      <c r="M152" s="160">
        <f ca="1">IF(K2ActualCompleteness[[#This Row],[Status]]="MISSING",MAX(0,24*(NOW()-(K2ActualCompleteness[[#This Row],[Date]]+K2_DailyCloseTime))),0)</f>
        <v>0</v>
      </c>
      <c r="N152" s="159" t="s">
        <v>2276</v>
      </c>
    </row>
    <row r="153" spans="1:14" ht="14.4">
      <c r="A153" s="164">
        <f>INDEX(DailyTrackingTable[Date],19)</f>
        <v>46233</v>
      </c>
      <c r="B153" s="159" t="str">
        <f>INDEX(K2CostCategories[Cost Category ID],6)</f>
        <v>ACCOM</v>
      </c>
      <c r="C153" s="159" t="str">
        <f>INDEX(K2CostCategories[Display Name],6)</f>
        <v>Accommodation</v>
      </c>
      <c r="D153" s="159" t="str">
        <f>INDEX(K2CostCategories[Actual Header],6)</f>
        <v>Accommodation Actual</v>
      </c>
      <c r="E153" s="159" t="str">
        <f>INDEX(K2CostCategories[Actual Mode],6)</f>
        <v>MANUAL</v>
      </c>
      <c r="F153" s="161"/>
      <c r="G153" s="159" t="str">
        <f ca="1">IF(K2ActualCompleteness[[#This Row],[Date]]&gt;K2_ControlAsOfDate,"NOT DUE",IF(AND(K2ActualCompleteness[[#This Row],[Date]]=K2_ControlAsOfDate,MOD(NOW(),1)&lt;K2_DailyCloseTime),"OPEN","DUE"))</f>
        <v>NOT DUE</v>
      </c>
      <c r="H153" s="159"/>
      <c r="I153" s="159"/>
      <c r="J153" s="159" t="str">
        <f>INDEX(K2CostCategories[Owner],6)</f>
        <v>Shutdown Manager</v>
      </c>
      <c r="K153" s="163"/>
      <c r="L153" s="159" t="s">
        <v>2917</v>
      </c>
      <c r="M153" s="160">
        <f ca="1">IF(K2ActualCompleteness[[#This Row],[Status]]="MISSING",MAX(0,24*(NOW()-(K2ActualCompleteness[[#This Row],[Date]]+K2_DailyCloseTime))),0)</f>
        <v>0</v>
      </c>
      <c r="N153" s="159" t="s">
        <v>2276</v>
      </c>
    </row>
    <row r="154" spans="1:14" ht="14.4">
      <c r="A154" s="164">
        <f>INDEX(DailyTrackingTable[Date],19)</f>
        <v>46233</v>
      </c>
      <c r="B154" s="159" t="str">
        <f>INDEX(K2CostCategories[Cost Category ID],7)</f>
        <v>TRANSPORT</v>
      </c>
      <c r="C154" s="159" t="str">
        <f>INDEX(K2CostCategories[Display Name],7)</f>
        <v>Transport</v>
      </c>
      <c r="D154" s="159" t="str">
        <f>INDEX(K2CostCategories[Actual Header],7)</f>
        <v>Transport Actual</v>
      </c>
      <c r="E154" s="159" t="str">
        <f>INDEX(K2CostCategories[Actual Mode],7)</f>
        <v>MANUAL</v>
      </c>
      <c r="F154" s="161"/>
      <c r="G154" s="159" t="str">
        <f ca="1">IF(K2ActualCompleteness[[#This Row],[Date]]&gt;K2_ControlAsOfDate,"NOT DUE",IF(AND(K2ActualCompleteness[[#This Row],[Date]]=K2_ControlAsOfDate,MOD(NOW(),1)&lt;K2_DailyCloseTime),"OPEN","DUE"))</f>
        <v>NOT DUE</v>
      </c>
      <c r="H154" s="159"/>
      <c r="I154" s="159"/>
      <c r="J154" s="159" t="str">
        <f>INDEX(K2CostCategories[Owner],7)</f>
        <v>Commercial Manager</v>
      </c>
      <c r="K154" s="163"/>
      <c r="L154" s="159" t="s">
        <v>2917</v>
      </c>
      <c r="M154" s="160">
        <f ca="1">IF(K2ActualCompleteness[[#This Row],[Status]]="MISSING",MAX(0,24*(NOW()-(K2ActualCompleteness[[#This Row],[Date]]+K2_DailyCloseTime))),0)</f>
        <v>0</v>
      </c>
      <c r="N154" s="159" t="s">
        <v>2276</v>
      </c>
    </row>
    <row r="155" spans="1:14" ht="14.4">
      <c r="A155" s="164">
        <f>INDEX(DailyTrackingTable[Date],19)</f>
        <v>46233</v>
      </c>
      <c r="B155" s="159" t="str">
        <f>INDEX(K2CostCategories[Cost Category ID],8)</f>
        <v>DAMAGE</v>
      </c>
      <c r="C155" s="159" t="str">
        <f>INDEX(K2CostCategories[Display Name],8)</f>
        <v>Damage Recovery</v>
      </c>
      <c r="D155" s="159" t="str">
        <f>INDEX(K2CostCategories[Actual Header],8)</f>
        <v>Damage Recovery Actual</v>
      </c>
      <c r="E155" s="159" t="str">
        <f>INDEX(K2CostCategories[Actual Mode],8)</f>
        <v>MANUAL</v>
      </c>
      <c r="F155" s="161"/>
      <c r="G155" s="159" t="str">
        <f ca="1">IF(K2ActualCompleteness[[#This Row],[Date]]&gt;K2_ControlAsOfDate,"NOT DUE",IF(AND(K2ActualCompleteness[[#This Row],[Date]]=K2_ControlAsOfDate,MOD(NOW(),1)&lt;K2_DailyCloseTime),"OPEN","DUE"))</f>
        <v>NOT DUE</v>
      </c>
      <c r="H155" s="159"/>
      <c r="I155" s="159"/>
      <c r="J155" s="159" t="str">
        <f>INDEX(K2CostCategories[Owner],8)</f>
        <v>Commercial Manager</v>
      </c>
      <c r="K155" s="163"/>
      <c r="L155" s="159" t="s">
        <v>2917</v>
      </c>
      <c r="M155" s="160">
        <f ca="1">IF(K2ActualCompleteness[[#This Row],[Status]]="MISSING",MAX(0,24*(NOW()-(K2ActualCompleteness[[#This Row],[Date]]+K2_DailyCloseTime))),0)</f>
        <v>0</v>
      </c>
      <c r="N155" s="159" t="s">
        <v>2276</v>
      </c>
    </row>
    <row r="156" spans="1:14" ht="14.4">
      <c r="A156" s="164">
        <f>INDEX(DailyTrackingTable[Date],20)</f>
        <v>46234</v>
      </c>
      <c r="B156" s="159" t="str">
        <f>INDEX(K2CostCategories[Cost Category ID],1)</f>
        <v>PLANT</v>
      </c>
      <c r="C156" s="159" t="str">
        <f>INDEX(K2CostCategories[Display Name],1)</f>
        <v>Plant Equipment</v>
      </c>
      <c r="D156" s="159" t="str">
        <f>INDEX(K2CostCategories[Actual Header],1)</f>
        <v>Plant Equipment Hire Actual</v>
      </c>
      <c r="E156" s="159" t="str">
        <f>INDEX(K2CostCategories[Actual Mode],1)</f>
        <v>AUTO</v>
      </c>
      <c r="F156" s="161"/>
      <c r="G156" s="159" t="str">
        <f ca="1">IF(K2ActualCompleteness[[#This Row],[Date]]&gt;K2_ControlAsOfDate,"NOT DUE",IF(AND(K2ActualCompleteness[[#This Row],[Date]]=K2_ControlAsOfDate,MOD(NOW(),1)&lt;K2_DailyCloseTime),"OPEN","DUE"))</f>
        <v>NOT DUE</v>
      </c>
      <c r="H156" s="159"/>
      <c r="I156" s="159"/>
      <c r="J156" s="159" t="str">
        <f>INDEX(K2CostCategories[Owner],1)</f>
        <v>Plant Coordinator</v>
      </c>
      <c r="K156" s="163"/>
      <c r="L156" s="159" t="s">
        <v>2917</v>
      </c>
      <c r="M156" s="160">
        <f ca="1">IF(K2ActualCompleteness[[#This Row],[Status]]="MISSING",MAX(0,24*(NOW()-(K2ActualCompleteness[[#This Row],[Date]]+K2_DailyCloseTime))),0)</f>
        <v>0</v>
      </c>
      <c r="N156" s="159" t="s">
        <v>2276</v>
      </c>
    </row>
    <row r="157" spans="1:14" ht="14.4">
      <c r="A157" s="164">
        <f>INDEX(DailyTrackingTable[Date],20)</f>
        <v>46234</v>
      </c>
      <c r="B157" s="159" t="str">
        <f>INDEX(K2CostCategories[Cost Category ID],2)</f>
        <v>TOOLING</v>
      </c>
      <c r="C157" s="159" t="str">
        <f>INDEX(K2CostCategories[Display Name],2)</f>
        <v>Tooling Hire</v>
      </c>
      <c r="D157" s="159" t="str">
        <f>INDEX(K2CostCategories[Actual Header],2)</f>
        <v>Tooling Hire Actual</v>
      </c>
      <c r="E157" s="159" t="str">
        <f>INDEX(K2CostCategories[Actual Mode],2)</f>
        <v>AUTO</v>
      </c>
      <c r="F157" s="161"/>
      <c r="G157" s="159" t="str">
        <f ca="1">IF(K2ActualCompleteness[[#This Row],[Date]]&gt;K2_ControlAsOfDate,"NOT DUE",IF(AND(K2ActualCompleteness[[#This Row],[Date]]=K2_ControlAsOfDate,MOD(NOW(),1)&lt;K2_DailyCloseTime),"OPEN","DUE"))</f>
        <v>NOT DUE</v>
      </c>
      <c r="H157" s="159"/>
      <c r="I157" s="159"/>
      <c r="J157" s="159" t="str">
        <f>INDEX(K2CostCategories[Owner],2)</f>
        <v>Toolstore Supervisor</v>
      </c>
      <c r="K157" s="163"/>
      <c r="L157" s="159" t="s">
        <v>2917</v>
      </c>
      <c r="M157" s="160">
        <f ca="1">IF(K2ActualCompleteness[[#This Row],[Status]]="MISSING",MAX(0,24*(NOW()-(K2ActualCompleteness[[#This Row],[Date]]+K2_DailyCloseTime))),0)</f>
        <v>0</v>
      </c>
      <c r="N157" s="159" t="s">
        <v>2276</v>
      </c>
    </row>
    <row r="158" spans="1:14" ht="14.4">
      <c r="A158" s="164">
        <f>INDEX(DailyTrackingTable[Date],20)</f>
        <v>46234</v>
      </c>
      <c r="B158" s="159" t="str">
        <f>INDEX(K2CostCategories[Cost Category ID],3)</f>
        <v>RADIO</v>
      </c>
      <c r="C158" s="159" t="str">
        <f>INDEX(K2CostCategories[Display Name],3)</f>
        <v>Radio Family</v>
      </c>
      <c r="D158" s="159" t="str">
        <f>INDEX(K2CostCategories[Actual Header],3)</f>
        <v>Radio Hire Actual</v>
      </c>
      <c r="E158" s="159" t="str">
        <f>INDEX(K2CostCategories[Actual Mode],3)</f>
        <v>AUTO_COMBINED</v>
      </c>
      <c r="F158" s="161"/>
      <c r="G158" s="159" t="str">
        <f ca="1">IF(K2ActualCompleteness[[#This Row],[Date]]&gt;K2_ControlAsOfDate,"NOT DUE",IF(AND(K2ActualCompleteness[[#This Row],[Date]]=K2_ControlAsOfDate,MOD(NOW(),1)&lt;K2_DailyCloseTime),"OPEN","DUE"))</f>
        <v>NOT DUE</v>
      </c>
      <c r="H158" s="159"/>
      <c r="I158" s="159"/>
      <c r="J158" s="159" t="str">
        <f>INDEX(K2CostCategories[Owner],3)</f>
        <v>Toolstore Supervisor</v>
      </c>
      <c r="K158" s="163"/>
      <c r="L158" s="159" t="s">
        <v>2917</v>
      </c>
      <c r="M158" s="160">
        <f ca="1">IF(K2ActualCompleteness[[#This Row],[Status]]="MISSING",MAX(0,24*(NOW()-(K2ActualCompleteness[[#This Row],[Date]]+K2_DailyCloseTime))),0)</f>
        <v>0</v>
      </c>
      <c r="N158" s="159" t="s">
        <v>2276</v>
      </c>
    </row>
    <row r="159" spans="1:14" ht="14.4">
      <c r="A159" s="164">
        <f>INDEX(DailyTrackingTable[Date],20)</f>
        <v>46234</v>
      </c>
      <c r="B159" s="159" t="str">
        <f>INDEX(K2CostCategories[Cost Category ID],4)</f>
        <v>GAS</v>
      </c>
      <c r="C159" s="159" t="str">
        <f>INDEX(K2CostCategories[Display Name],4)</f>
        <v>Gas Monitors</v>
      </c>
      <c r="D159" s="159" t="str">
        <f>INDEX(K2CostCategories[Actual Header],4)</f>
        <v>Gas Monitor Hire Actual</v>
      </c>
      <c r="E159" s="159" t="str">
        <f>INDEX(K2CostCategories[Actual Mode],4)</f>
        <v>AUTO</v>
      </c>
      <c r="F159" s="161"/>
      <c r="G159" s="159" t="str">
        <f ca="1">IF(K2ActualCompleteness[[#This Row],[Date]]&gt;K2_ControlAsOfDate,"NOT DUE",IF(AND(K2ActualCompleteness[[#This Row],[Date]]=K2_ControlAsOfDate,MOD(NOW(),1)&lt;K2_DailyCloseTime),"OPEN","DUE"))</f>
        <v>NOT DUE</v>
      </c>
      <c r="H159" s="159"/>
      <c r="I159" s="159"/>
      <c r="J159" s="159" t="str">
        <f>INDEX(K2CostCategories[Owner],4)</f>
        <v>Toolstore Supervisor</v>
      </c>
      <c r="K159" s="163"/>
      <c r="L159" s="159" t="s">
        <v>2917</v>
      </c>
      <c r="M159" s="160">
        <f ca="1">IF(K2ActualCompleteness[[#This Row],[Status]]="MISSING",MAX(0,24*(NOW()-(K2ActualCompleteness[[#This Row],[Date]]+K2_DailyCloseTime))),0)</f>
        <v>0</v>
      </c>
      <c r="N159" s="159" t="s">
        <v>2276</v>
      </c>
    </row>
    <row r="160" spans="1:14" ht="14.4">
      <c r="A160" s="164">
        <f>INDEX(DailyTrackingTable[Date],20)</f>
        <v>46234</v>
      </c>
      <c r="B160" s="159" t="str">
        <f>INDEX(K2CostCategories[Cost Category ID],5)</f>
        <v>LABOUR</v>
      </c>
      <c r="C160" s="159" t="str">
        <f>INDEX(K2CostCategories[Display Name],5)</f>
        <v>Personnel / Labour</v>
      </c>
      <c r="D160" s="159" t="str">
        <f>INDEX(K2CostCategories[Actual Header],5)</f>
        <v>Personnel / Labour Actual</v>
      </c>
      <c r="E160" s="159" t="str">
        <f>INDEX(K2CostCategories[Actual Mode],5)</f>
        <v>MANUAL</v>
      </c>
      <c r="F160" s="161"/>
      <c r="G160" s="159" t="str">
        <f ca="1">IF(K2ActualCompleteness[[#This Row],[Date]]&gt;K2_ControlAsOfDate,"NOT DUE",IF(AND(K2ActualCompleteness[[#This Row],[Date]]=K2_ControlAsOfDate,MOD(NOW(),1)&lt;K2_DailyCloseTime),"OPEN","DUE"))</f>
        <v>NOT DUE</v>
      </c>
      <c r="H160" s="159"/>
      <c r="I160" s="159"/>
      <c r="J160" s="159" t="str">
        <f>INDEX(K2CostCategories[Owner],5)</f>
        <v>Shutdown Manager</v>
      </c>
      <c r="K160" s="163"/>
      <c r="L160" s="159" t="s">
        <v>2917</v>
      </c>
      <c r="M160" s="160">
        <f ca="1">IF(K2ActualCompleteness[[#This Row],[Status]]="MISSING",MAX(0,24*(NOW()-(K2ActualCompleteness[[#This Row],[Date]]+K2_DailyCloseTime))),0)</f>
        <v>0</v>
      </c>
      <c r="N160" s="159" t="s">
        <v>2276</v>
      </c>
    </row>
    <row r="161" spans="1:14" ht="14.4">
      <c r="A161" s="164">
        <f>INDEX(DailyTrackingTable[Date],20)</f>
        <v>46234</v>
      </c>
      <c r="B161" s="159" t="str">
        <f>INDEX(K2CostCategories[Cost Category ID],6)</f>
        <v>ACCOM</v>
      </c>
      <c r="C161" s="159" t="str">
        <f>INDEX(K2CostCategories[Display Name],6)</f>
        <v>Accommodation</v>
      </c>
      <c r="D161" s="159" t="str">
        <f>INDEX(K2CostCategories[Actual Header],6)</f>
        <v>Accommodation Actual</v>
      </c>
      <c r="E161" s="159" t="str">
        <f>INDEX(K2CostCategories[Actual Mode],6)</f>
        <v>MANUAL</v>
      </c>
      <c r="F161" s="161"/>
      <c r="G161" s="159" t="str">
        <f ca="1">IF(K2ActualCompleteness[[#This Row],[Date]]&gt;K2_ControlAsOfDate,"NOT DUE",IF(AND(K2ActualCompleteness[[#This Row],[Date]]=K2_ControlAsOfDate,MOD(NOW(),1)&lt;K2_DailyCloseTime),"OPEN","DUE"))</f>
        <v>NOT DUE</v>
      </c>
      <c r="H161" s="159"/>
      <c r="I161" s="159"/>
      <c r="J161" s="159" t="str">
        <f>INDEX(K2CostCategories[Owner],6)</f>
        <v>Shutdown Manager</v>
      </c>
      <c r="K161" s="163"/>
      <c r="L161" s="159" t="s">
        <v>2917</v>
      </c>
      <c r="M161" s="160">
        <f ca="1">IF(K2ActualCompleteness[[#This Row],[Status]]="MISSING",MAX(0,24*(NOW()-(K2ActualCompleteness[[#This Row],[Date]]+K2_DailyCloseTime))),0)</f>
        <v>0</v>
      </c>
      <c r="N161" s="159" t="s">
        <v>2276</v>
      </c>
    </row>
    <row r="162" spans="1:14" ht="14.4">
      <c r="A162" s="164">
        <f>INDEX(DailyTrackingTable[Date],20)</f>
        <v>46234</v>
      </c>
      <c r="B162" s="159" t="str">
        <f>INDEX(K2CostCategories[Cost Category ID],7)</f>
        <v>TRANSPORT</v>
      </c>
      <c r="C162" s="159" t="str">
        <f>INDEX(K2CostCategories[Display Name],7)</f>
        <v>Transport</v>
      </c>
      <c r="D162" s="159" t="str">
        <f>INDEX(K2CostCategories[Actual Header],7)</f>
        <v>Transport Actual</v>
      </c>
      <c r="E162" s="159" t="str">
        <f>INDEX(K2CostCategories[Actual Mode],7)</f>
        <v>MANUAL</v>
      </c>
      <c r="F162" s="161"/>
      <c r="G162" s="159" t="str">
        <f ca="1">IF(K2ActualCompleteness[[#This Row],[Date]]&gt;K2_ControlAsOfDate,"NOT DUE",IF(AND(K2ActualCompleteness[[#This Row],[Date]]=K2_ControlAsOfDate,MOD(NOW(),1)&lt;K2_DailyCloseTime),"OPEN","DUE"))</f>
        <v>NOT DUE</v>
      </c>
      <c r="H162" s="159"/>
      <c r="I162" s="159"/>
      <c r="J162" s="159" t="str">
        <f>INDEX(K2CostCategories[Owner],7)</f>
        <v>Commercial Manager</v>
      </c>
      <c r="K162" s="163"/>
      <c r="L162" s="159" t="s">
        <v>2917</v>
      </c>
      <c r="M162" s="160">
        <f ca="1">IF(K2ActualCompleteness[[#This Row],[Status]]="MISSING",MAX(0,24*(NOW()-(K2ActualCompleteness[[#This Row],[Date]]+K2_DailyCloseTime))),0)</f>
        <v>0</v>
      </c>
      <c r="N162" s="159" t="s">
        <v>2276</v>
      </c>
    </row>
    <row r="163" spans="1:14" ht="14.4">
      <c r="A163" s="164">
        <f>INDEX(DailyTrackingTable[Date],20)</f>
        <v>46234</v>
      </c>
      <c r="B163" s="159" t="str">
        <f>INDEX(K2CostCategories[Cost Category ID],8)</f>
        <v>DAMAGE</v>
      </c>
      <c r="C163" s="159" t="str">
        <f>INDEX(K2CostCategories[Display Name],8)</f>
        <v>Damage Recovery</v>
      </c>
      <c r="D163" s="159" t="str">
        <f>INDEX(K2CostCategories[Actual Header],8)</f>
        <v>Damage Recovery Actual</v>
      </c>
      <c r="E163" s="159" t="str">
        <f>INDEX(K2CostCategories[Actual Mode],8)</f>
        <v>MANUAL</v>
      </c>
      <c r="F163" s="161"/>
      <c r="G163" s="159" t="str">
        <f ca="1">IF(K2ActualCompleteness[[#This Row],[Date]]&gt;K2_ControlAsOfDate,"NOT DUE",IF(AND(K2ActualCompleteness[[#This Row],[Date]]=K2_ControlAsOfDate,MOD(NOW(),1)&lt;K2_DailyCloseTime),"OPEN","DUE"))</f>
        <v>NOT DUE</v>
      </c>
      <c r="H163" s="159"/>
      <c r="I163" s="159"/>
      <c r="J163" s="159" t="str">
        <f>INDEX(K2CostCategories[Owner],8)</f>
        <v>Commercial Manager</v>
      </c>
      <c r="K163" s="163"/>
      <c r="L163" s="159" t="s">
        <v>2917</v>
      </c>
      <c r="M163" s="160">
        <f ca="1">IF(K2ActualCompleteness[[#This Row],[Status]]="MISSING",MAX(0,24*(NOW()-(K2ActualCompleteness[[#This Row],[Date]]+K2_DailyCloseTime))),0)</f>
        <v>0</v>
      </c>
      <c r="N163" s="159" t="s">
        <v>2276</v>
      </c>
    </row>
    <row r="164" spans="1:14" ht="14.4">
      <c r="A164" s="164">
        <f>INDEX(DailyTrackingTable[Date],21)</f>
        <v>46235</v>
      </c>
      <c r="B164" s="159" t="str">
        <f>INDEX(K2CostCategories[Cost Category ID],1)</f>
        <v>PLANT</v>
      </c>
      <c r="C164" s="159" t="str">
        <f>INDEX(K2CostCategories[Display Name],1)</f>
        <v>Plant Equipment</v>
      </c>
      <c r="D164" s="159" t="str">
        <f>INDEX(K2CostCategories[Actual Header],1)</f>
        <v>Plant Equipment Hire Actual</v>
      </c>
      <c r="E164" s="159" t="str">
        <f>INDEX(K2CostCategories[Actual Mode],1)</f>
        <v>AUTO</v>
      </c>
      <c r="F164" s="161"/>
      <c r="G164" s="159" t="str">
        <f ca="1">IF(K2ActualCompleteness[[#This Row],[Date]]&gt;K2_ControlAsOfDate,"NOT DUE",IF(AND(K2ActualCompleteness[[#This Row],[Date]]=K2_ControlAsOfDate,MOD(NOW(),1)&lt;K2_DailyCloseTime),"OPEN","DUE"))</f>
        <v>NOT DUE</v>
      </c>
      <c r="H164" s="159"/>
      <c r="I164" s="159"/>
      <c r="J164" s="159" t="str">
        <f>INDEX(K2CostCategories[Owner],1)</f>
        <v>Plant Coordinator</v>
      </c>
      <c r="K164" s="163"/>
      <c r="L164" s="159" t="s">
        <v>2917</v>
      </c>
      <c r="M164" s="160">
        <f ca="1">IF(K2ActualCompleteness[[#This Row],[Status]]="MISSING",MAX(0,24*(NOW()-(K2ActualCompleteness[[#This Row],[Date]]+K2_DailyCloseTime))),0)</f>
        <v>0</v>
      </c>
      <c r="N164" s="159" t="s">
        <v>2276</v>
      </c>
    </row>
    <row r="165" spans="1:14" ht="14.4">
      <c r="A165" s="164">
        <f>INDEX(DailyTrackingTable[Date],21)</f>
        <v>46235</v>
      </c>
      <c r="B165" s="159" t="str">
        <f>INDEX(K2CostCategories[Cost Category ID],2)</f>
        <v>TOOLING</v>
      </c>
      <c r="C165" s="159" t="str">
        <f>INDEX(K2CostCategories[Display Name],2)</f>
        <v>Tooling Hire</v>
      </c>
      <c r="D165" s="159" t="str">
        <f>INDEX(K2CostCategories[Actual Header],2)</f>
        <v>Tooling Hire Actual</v>
      </c>
      <c r="E165" s="159" t="str">
        <f>INDEX(K2CostCategories[Actual Mode],2)</f>
        <v>AUTO</v>
      </c>
      <c r="F165" s="161"/>
      <c r="G165" s="159" t="str">
        <f ca="1">IF(K2ActualCompleteness[[#This Row],[Date]]&gt;K2_ControlAsOfDate,"NOT DUE",IF(AND(K2ActualCompleteness[[#This Row],[Date]]=K2_ControlAsOfDate,MOD(NOW(),1)&lt;K2_DailyCloseTime),"OPEN","DUE"))</f>
        <v>NOT DUE</v>
      </c>
      <c r="H165" s="159"/>
      <c r="I165" s="159"/>
      <c r="J165" s="159" t="str">
        <f>INDEX(K2CostCategories[Owner],2)</f>
        <v>Toolstore Supervisor</v>
      </c>
      <c r="K165" s="163"/>
      <c r="L165" s="159" t="s">
        <v>2917</v>
      </c>
      <c r="M165" s="160">
        <f ca="1">IF(K2ActualCompleteness[[#This Row],[Status]]="MISSING",MAX(0,24*(NOW()-(K2ActualCompleteness[[#This Row],[Date]]+K2_DailyCloseTime))),0)</f>
        <v>0</v>
      </c>
      <c r="N165" s="159" t="s">
        <v>2276</v>
      </c>
    </row>
    <row r="166" spans="1:14" ht="14.4">
      <c r="A166" s="164">
        <f>INDEX(DailyTrackingTable[Date],21)</f>
        <v>46235</v>
      </c>
      <c r="B166" s="159" t="str">
        <f>INDEX(K2CostCategories[Cost Category ID],3)</f>
        <v>RADIO</v>
      </c>
      <c r="C166" s="159" t="str">
        <f>INDEX(K2CostCategories[Display Name],3)</f>
        <v>Radio Family</v>
      </c>
      <c r="D166" s="159" t="str">
        <f>INDEX(K2CostCategories[Actual Header],3)</f>
        <v>Radio Hire Actual</v>
      </c>
      <c r="E166" s="159" t="str">
        <f>INDEX(K2CostCategories[Actual Mode],3)</f>
        <v>AUTO_COMBINED</v>
      </c>
      <c r="F166" s="161"/>
      <c r="G166" s="159" t="str">
        <f ca="1">IF(K2ActualCompleteness[[#This Row],[Date]]&gt;K2_ControlAsOfDate,"NOT DUE",IF(AND(K2ActualCompleteness[[#This Row],[Date]]=K2_ControlAsOfDate,MOD(NOW(),1)&lt;K2_DailyCloseTime),"OPEN","DUE"))</f>
        <v>NOT DUE</v>
      </c>
      <c r="H166" s="159"/>
      <c r="I166" s="159"/>
      <c r="J166" s="159" t="str">
        <f>INDEX(K2CostCategories[Owner],3)</f>
        <v>Toolstore Supervisor</v>
      </c>
      <c r="K166" s="163"/>
      <c r="L166" s="159" t="s">
        <v>2917</v>
      </c>
      <c r="M166" s="160">
        <f ca="1">IF(K2ActualCompleteness[[#This Row],[Status]]="MISSING",MAX(0,24*(NOW()-(K2ActualCompleteness[[#This Row],[Date]]+K2_DailyCloseTime))),0)</f>
        <v>0</v>
      </c>
      <c r="N166" s="159" t="s">
        <v>2276</v>
      </c>
    </row>
    <row r="167" spans="1:14" ht="14.4">
      <c r="A167" s="164">
        <f>INDEX(DailyTrackingTable[Date],21)</f>
        <v>46235</v>
      </c>
      <c r="B167" s="159" t="str">
        <f>INDEX(K2CostCategories[Cost Category ID],4)</f>
        <v>GAS</v>
      </c>
      <c r="C167" s="159" t="str">
        <f>INDEX(K2CostCategories[Display Name],4)</f>
        <v>Gas Monitors</v>
      </c>
      <c r="D167" s="159" t="str">
        <f>INDEX(K2CostCategories[Actual Header],4)</f>
        <v>Gas Monitor Hire Actual</v>
      </c>
      <c r="E167" s="159" t="str">
        <f>INDEX(K2CostCategories[Actual Mode],4)</f>
        <v>AUTO</v>
      </c>
      <c r="F167" s="161"/>
      <c r="G167" s="159" t="str">
        <f ca="1">IF(K2ActualCompleteness[[#This Row],[Date]]&gt;K2_ControlAsOfDate,"NOT DUE",IF(AND(K2ActualCompleteness[[#This Row],[Date]]=K2_ControlAsOfDate,MOD(NOW(),1)&lt;K2_DailyCloseTime),"OPEN","DUE"))</f>
        <v>NOT DUE</v>
      </c>
      <c r="H167" s="159"/>
      <c r="I167" s="159"/>
      <c r="J167" s="159" t="str">
        <f>INDEX(K2CostCategories[Owner],4)</f>
        <v>Toolstore Supervisor</v>
      </c>
      <c r="K167" s="163"/>
      <c r="L167" s="159" t="s">
        <v>2917</v>
      </c>
      <c r="M167" s="160">
        <f ca="1">IF(K2ActualCompleteness[[#This Row],[Status]]="MISSING",MAX(0,24*(NOW()-(K2ActualCompleteness[[#This Row],[Date]]+K2_DailyCloseTime))),0)</f>
        <v>0</v>
      </c>
      <c r="N167" s="159" t="s">
        <v>2276</v>
      </c>
    </row>
    <row r="168" spans="1:14" ht="14.4">
      <c r="A168" s="164">
        <f>INDEX(DailyTrackingTable[Date],21)</f>
        <v>46235</v>
      </c>
      <c r="B168" s="159" t="str">
        <f>INDEX(K2CostCategories[Cost Category ID],5)</f>
        <v>LABOUR</v>
      </c>
      <c r="C168" s="159" t="str">
        <f>INDEX(K2CostCategories[Display Name],5)</f>
        <v>Personnel / Labour</v>
      </c>
      <c r="D168" s="159" t="str">
        <f>INDEX(K2CostCategories[Actual Header],5)</f>
        <v>Personnel / Labour Actual</v>
      </c>
      <c r="E168" s="159" t="str">
        <f>INDEX(K2CostCategories[Actual Mode],5)</f>
        <v>MANUAL</v>
      </c>
      <c r="F168" s="161"/>
      <c r="G168" s="159" t="str">
        <f ca="1">IF(K2ActualCompleteness[[#This Row],[Date]]&gt;K2_ControlAsOfDate,"NOT DUE",IF(AND(K2ActualCompleteness[[#This Row],[Date]]=K2_ControlAsOfDate,MOD(NOW(),1)&lt;K2_DailyCloseTime),"OPEN","DUE"))</f>
        <v>NOT DUE</v>
      </c>
      <c r="H168" s="159"/>
      <c r="I168" s="159"/>
      <c r="J168" s="159" t="str">
        <f>INDEX(K2CostCategories[Owner],5)</f>
        <v>Shutdown Manager</v>
      </c>
      <c r="K168" s="163"/>
      <c r="L168" s="159" t="s">
        <v>2917</v>
      </c>
      <c r="M168" s="160">
        <f ca="1">IF(K2ActualCompleteness[[#This Row],[Status]]="MISSING",MAX(0,24*(NOW()-(K2ActualCompleteness[[#This Row],[Date]]+K2_DailyCloseTime))),0)</f>
        <v>0</v>
      </c>
      <c r="N168" s="159" t="s">
        <v>2276</v>
      </c>
    </row>
    <row r="169" spans="1:14" ht="14.4">
      <c r="A169" s="164">
        <f>INDEX(DailyTrackingTable[Date],21)</f>
        <v>46235</v>
      </c>
      <c r="B169" s="159" t="str">
        <f>INDEX(K2CostCategories[Cost Category ID],6)</f>
        <v>ACCOM</v>
      </c>
      <c r="C169" s="159" t="str">
        <f>INDEX(K2CostCategories[Display Name],6)</f>
        <v>Accommodation</v>
      </c>
      <c r="D169" s="159" t="str">
        <f>INDEX(K2CostCategories[Actual Header],6)</f>
        <v>Accommodation Actual</v>
      </c>
      <c r="E169" s="159" t="str">
        <f>INDEX(K2CostCategories[Actual Mode],6)</f>
        <v>MANUAL</v>
      </c>
      <c r="F169" s="161"/>
      <c r="G169" s="159" t="str">
        <f ca="1">IF(K2ActualCompleteness[[#This Row],[Date]]&gt;K2_ControlAsOfDate,"NOT DUE",IF(AND(K2ActualCompleteness[[#This Row],[Date]]=K2_ControlAsOfDate,MOD(NOW(),1)&lt;K2_DailyCloseTime),"OPEN","DUE"))</f>
        <v>NOT DUE</v>
      </c>
      <c r="H169" s="159"/>
      <c r="I169" s="159"/>
      <c r="J169" s="159" t="str">
        <f>INDEX(K2CostCategories[Owner],6)</f>
        <v>Shutdown Manager</v>
      </c>
      <c r="K169" s="163"/>
      <c r="L169" s="159" t="s">
        <v>2917</v>
      </c>
      <c r="M169" s="160">
        <f ca="1">IF(K2ActualCompleteness[[#This Row],[Status]]="MISSING",MAX(0,24*(NOW()-(K2ActualCompleteness[[#This Row],[Date]]+K2_DailyCloseTime))),0)</f>
        <v>0</v>
      </c>
      <c r="N169" s="159" t="s">
        <v>2276</v>
      </c>
    </row>
    <row r="170" spans="1:14" ht="14.4">
      <c r="A170" s="164">
        <f>INDEX(DailyTrackingTable[Date],21)</f>
        <v>46235</v>
      </c>
      <c r="B170" s="159" t="str">
        <f>INDEX(K2CostCategories[Cost Category ID],7)</f>
        <v>TRANSPORT</v>
      </c>
      <c r="C170" s="159" t="str">
        <f>INDEX(K2CostCategories[Display Name],7)</f>
        <v>Transport</v>
      </c>
      <c r="D170" s="159" t="str">
        <f>INDEX(K2CostCategories[Actual Header],7)</f>
        <v>Transport Actual</v>
      </c>
      <c r="E170" s="159" t="str">
        <f>INDEX(K2CostCategories[Actual Mode],7)</f>
        <v>MANUAL</v>
      </c>
      <c r="F170" s="161"/>
      <c r="G170" s="159" t="str">
        <f ca="1">IF(K2ActualCompleteness[[#This Row],[Date]]&gt;K2_ControlAsOfDate,"NOT DUE",IF(AND(K2ActualCompleteness[[#This Row],[Date]]=K2_ControlAsOfDate,MOD(NOW(),1)&lt;K2_DailyCloseTime),"OPEN","DUE"))</f>
        <v>NOT DUE</v>
      </c>
      <c r="H170" s="159"/>
      <c r="I170" s="159"/>
      <c r="J170" s="159" t="str">
        <f>INDEX(K2CostCategories[Owner],7)</f>
        <v>Commercial Manager</v>
      </c>
      <c r="K170" s="163"/>
      <c r="L170" s="159" t="s">
        <v>2917</v>
      </c>
      <c r="M170" s="160">
        <f ca="1">IF(K2ActualCompleteness[[#This Row],[Status]]="MISSING",MAX(0,24*(NOW()-(K2ActualCompleteness[[#This Row],[Date]]+K2_DailyCloseTime))),0)</f>
        <v>0</v>
      </c>
      <c r="N170" s="159" t="s">
        <v>2276</v>
      </c>
    </row>
    <row r="171" spans="1:14" ht="14.4">
      <c r="A171" s="164">
        <f>INDEX(DailyTrackingTable[Date],21)</f>
        <v>46235</v>
      </c>
      <c r="B171" s="159" t="str">
        <f>INDEX(K2CostCategories[Cost Category ID],8)</f>
        <v>DAMAGE</v>
      </c>
      <c r="C171" s="159" t="str">
        <f>INDEX(K2CostCategories[Display Name],8)</f>
        <v>Damage Recovery</v>
      </c>
      <c r="D171" s="159" t="str">
        <f>INDEX(K2CostCategories[Actual Header],8)</f>
        <v>Damage Recovery Actual</v>
      </c>
      <c r="E171" s="159" t="str">
        <f>INDEX(K2CostCategories[Actual Mode],8)</f>
        <v>MANUAL</v>
      </c>
      <c r="F171" s="161"/>
      <c r="G171" s="159" t="str">
        <f ca="1">IF(K2ActualCompleteness[[#This Row],[Date]]&gt;K2_ControlAsOfDate,"NOT DUE",IF(AND(K2ActualCompleteness[[#This Row],[Date]]=K2_ControlAsOfDate,MOD(NOW(),1)&lt;K2_DailyCloseTime),"OPEN","DUE"))</f>
        <v>NOT DUE</v>
      </c>
      <c r="H171" s="159"/>
      <c r="I171" s="159"/>
      <c r="J171" s="159" t="str">
        <f>INDEX(K2CostCategories[Owner],8)</f>
        <v>Commercial Manager</v>
      </c>
      <c r="K171" s="163"/>
      <c r="L171" s="159" t="s">
        <v>2917</v>
      </c>
      <c r="M171" s="160">
        <f ca="1">IF(K2ActualCompleteness[[#This Row],[Status]]="MISSING",MAX(0,24*(NOW()-(K2ActualCompleteness[[#This Row],[Date]]+K2_DailyCloseTime))),0)</f>
        <v>0</v>
      </c>
      <c r="N171" s="159" t="s">
        <v>2276</v>
      </c>
    </row>
    <row r="172" spans="1:14" ht="14.4">
      <c r="A172" s="164">
        <f>INDEX(DailyTrackingTable[Date],22)</f>
        <v>46236</v>
      </c>
      <c r="B172" s="159" t="str">
        <f>INDEX(K2CostCategories[Cost Category ID],1)</f>
        <v>PLANT</v>
      </c>
      <c r="C172" s="159" t="str">
        <f>INDEX(K2CostCategories[Display Name],1)</f>
        <v>Plant Equipment</v>
      </c>
      <c r="D172" s="159" t="str">
        <f>INDEX(K2CostCategories[Actual Header],1)</f>
        <v>Plant Equipment Hire Actual</v>
      </c>
      <c r="E172" s="159" t="str">
        <f>INDEX(K2CostCategories[Actual Mode],1)</f>
        <v>AUTO</v>
      </c>
      <c r="F172" s="161"/>
      <c r="G172" s="159" t="str">
        <f ca="1">IF(K2ActualCompleteness[[#This Row],[Date]]&gt;K2_ControlAsOfDate,"NOT DUE",IF(AND(K2ActualCompleteness[[#This Row],[Date]]=K2_ControlAsOfDate,MOD(NOW(),1)&lt;K2_DailyCloseTime),"OPEN","DUE"))</f>
        <v>NOT DUE</v>
      </c>
      <c r="H172" s="159"/>
      <c r="I172" s="159"/>
      <c r="J172" s="159" t="str">
        <f>INDEX(K2CostCategories[Owner],1)</f>
        <v>Plant Coordinator</v>
      </c>
      <c r="K172" s="163"/>
      <c r="L172" s="159" t="s">
        <v>2917</v>
      </c>
      <c r="M172" s="160">
        <f ca="1">IF(K2ActualCompleteness[[#This Row],[Status]]="MISSING",MAX(0,24*(NOW()-(K2ActualCompleteness[[#This Row],[Date]]+K2_DailyCloseTime))),0)</f>
        <v>0</v>
      </c>
      <c r="N172" s="159" t="s">
        <v>2276</v>
      </c>
    </row>
    <row r="173" spans="1:14" ht="14.4">
      <c r="A173" s="164">
        <f>INDEX(DailyTrackingTable[Date],22)</f>
        <v>46236</v>
      </c>
      <c r="B173" s="159" t="str">
        <f>INDEX(K2CostCategories[Cost Category ID],2)</f>
        <v>TOOLING</v>
      </c>
      <c r="C173" s="159" t="str">
        <f>INDEX(K2CostCategories[Display Name],2)</f>
        <v>Tooling Hire</v>
      </c>
      <c r="D173" s="159" t="str">
        <f>INDEX(K2CostCategories[Actual Header],2)</f>
        <v>Tooling Hire Actual</v>
      </c>
      <c r="E173" s="159" t="str">
        <f>INDEX(K2CostCategories[Actual Mode],2)</f>
        <v>AUTO</v>
      </c>
      <c r="F173" s="161"/>
      <c r="G173" s="159" t="str">
        <f ca="1">IF(K2ActualCompleteness[[#This Row],[Date]]&gt;K2_ControlAsOfDate,"NOT DUE",IF(AND(K2ActualCompleteness[[#This Row],[Date]]=K2_ControlAsOfDate,MOD(NOW(),1)&lt;K2_DailyCloseTime),"OPEN","DUE"))</f>
        <v>NOT DUE</v>
      </c>
      <c r="H173" s="159"/>
      <c r="I173" s="159"/>
      <c r="J173" s="159" t="str">
        <f>INDEX(K2CostCategories[Owner],2)</f>
        <v>Toolstore Supervisor</v>
      </c>
      <c r="K173" s="163"/>
      <c r="L173" s="159" t="s">
        <v>2917</v>
      </c>
      <c r="M173" s="160">
        <f ca="1">IF(K2ActualCompleteness[[#This Row],[Status]]="MISSING",MAX(0,24*(NOW()-(K2ActualCompleteness[[#This Row],[Date]]+K2_DailyCloseTime))),0)</f>
        <v>0</v>
      </c>
      <c r="N173" s="159" t="s">
        <v>2276</v>
      </c>
    </row>
    <row r="174" spans="1:14" ht="14.4">
      <c r="A174" s="164">
        <f>INDEX(DailyTrackingTable[Date],22)</f>
        <v>46236</v>
      </c>
      <c r="B174" s="159" t="str">
        <f>INDEX(K2CostCategories[Cost Category ID],3)</f>
        <v>RADIO</v>
      </c>
      <c r="C174" s="159" t="str">
        <f>INDEX(K2CostCategories[Display Name],3)</f>
        <v>Radio Family</v>
      </c>
      <c r="D174" s="159" t="str">
        <f>INDEX(K2CostCategories[Actual Header],3)</f>
        <v>Radio Hire Actual</v>
      </c>
      <c r="E174" s="159" t="str">
        <f>INDEX(K2CostCategories[Actual Mode],3)</f>
        <v>AUTO_COMBINED</v>
      </c>
      <c r="F174" s="161"/>
      <c r="G174" s="159" t="str">
        <f ca="1">IF(K2ActualCompleteness[[#This Row],[Date]]&gt;K2_ControlAsOfDate,"NOT DUE",IF(AND(K2ActualCompleteness[[#This Row],[Date]]=K2_ControlAsOfDate,MOD(NOW(),1)&lt;K2_DailyCloseTime),"OPEN","DUE"))</f>
        <v>NOT DUE</v>
      </c>
      <c r="H174" s="159"/>
      <c r="I174" s="159"/>
      <c r="J174" s="159" t="str">
        <f>INDEX(K2CostCategories[Owner],3)</f>
        <v>Toolstore Supervisor</v>
      </c>
      <c r="K174" s="163"/>
      <c r="L174" s="159" t="s">
        <v>2917</v>
      </c>
      <c r="M174" s="160">
        <f ca="1">IF(K2ActualCompleteness[[#This Row],[Status]]="MISSING",MAX(0,24*(NOW()-(K2ActualCompleteness[[#This Row],[Date]]+K2_DailyCloseTime))),0)</f>
        <v>0</v>
      </c>
      <c r="N174" s="159" t="s">
        <v>2276</v>
      </c>
    </row>
    <row r="175" spans="1:14" ht="14.4">
      <c r="A175" s="164">
        <f>INDEX(DailyTrackingTable[Date],22)</f>
        <v>46236</v>
      </c>
      <c r="B175" s="159" t="str">
        <f>INDEX(K2CostCategories[Cost Category ID],4)</f>
        <v>GAS</v>
      </c>
      <c r="C175" s="159" t="str">
        <f>INDEX(K2CostCategories[Display Name],4)</f>
        <v>Gas Monitors</v>
      </c>
      <c r="D175" s="159" t="str">
        <f>INDEX(K2CostCategories[Actual Header],4)</f>
        <v>Gas Monitor Hire Actual</v>
      </c>
      <c r="E175" s="159" t="str">
        <f>INDEX(K2CostCategories[Actual Mode],4)</f>
        <v>AUTO</v>
      </c>
      <c r="F175" s="161"/>
      <c r="G175" s="159" t="str">
        <f ca="1">IF(K2ActualCompleteness[[#This Row],[Date]]&gt;K2_ControlAsOfDate,"NOT DUE",IF(AND(K2ActualCompleteness[[#This Row],[Date]]=K2_ControlAsOfDate,MOD(NOW(),1)&lt;K2_DailyCloseTime),"OPEN","DUE"))</f>
        <v>NOT DUE</v>
      </c>
      <c r="H175" s="159"/>
      <c r="I175" s="159"/>
      <c r="J175" s="159" t="str">
        <f>INDEX(K2CostCategories[Owner],4)</f>
        <v>Toolstore Supervisor</v>
      </c>
      <c r="K175" s="163"/>
      <c r="L175" s="159" t="s">
        <v>2917</v>
      </c>
      <c r="M175" s="160">
        <f ca="1">IF(K2ActualCompleteness[[#This Row],[Status]]="MISSING",MAX(0,24*(NOW()-(K2ActualCompleteness[[#This Row],[Date]]+K2_DailyCloseTime))),0)</f>
        <v>0</v>
      </c>
      <c r="N175" s="159" t="s">
        <v>2276</v>
      </c>
    </row>
    <row r="176" spans="1:14" ht="14.4">
      <c r="A176" s="164">
        <f>INDEX(DailyTrackingTable[Date],22)</f>
        <v>46236</v>
      </c>
      <c r="B176" s="159" t="str">
        <f>INDEX(K2CostCategories[Cost Category ID],5)</f>
        <v>LABOUR</v>
      </c>
      <c r="C176" s="159" t="str">
        <f>INDEX(K2CostCategories[Display Name],5)</f>
        <v>Personnel / Labour</v>
      </c>
      <c r="D176" s="159" t="str">
        <f>INDEX(K2CostCategories[Actual Header],5)</f>
        <v>Personnel / Labour Actual</v>
      </c>
      <c r="E176" s="159" t="str">
        <f>INDEX(K2CostCategories[Actual Mode],5)</f>
        <v>MANUAL</v>
      </c>
      <c r="F176" s="161"/>
      <c r="G176" s="159" t="str">
        <f ca="1">IF(K2ActualCompleteness[[#This Row],[Date]]&gt;K2_ControlAsOfDate,"NOT DUE",IF(AND(K2ActualCompleteness[[#This Row],[Date]]=K2_ControlAsOfDate,MOD(NOW(),1)&lt;K2_DailyCloseTime),"OPEN","DUE"))</f>
        <v>NOT DUE</v>
      </c>
      <c r="H176" s="159"/>
      <c r="I176" s="159"/>
      <c r="J176" s="159" t="str">
        <f>INDEX(K2CostCategories[Owner],5)</f>
        <v>Shutdown Manager</v>
      </c>
      <c r="K176" s="163"/>
      <c r="L176" s="159" t="s">
        <v>2917</v>
      </c>
      <c r="M176" s="160">
        <f ca="1">IF(K2ActualCompleteness[[#This Row],[Status]]="MISSING",MAX(0,24*(NOW()-(K2ActualCompleteness[[#This Row],[Date]]+K2_DailyCloseTime))),0)</f>
        <v>0</v>
      </c>
      <c r="N176" s="159" t="s">
        <v>2276</v>
      </c>
    </row>
    <row r="177" spans="1:14" ht="14.4">
      <c r="A177" s="164">
        <f>INDEX(DailyTrackingTable[Date],22)</f>
        <v>46236</v>
      </c>
      <c r="B177" s="159" t="str">
        <f>INDEX(K2CostCategories[Cost Category ID],6)</f>
        <v>ACCOM</v>
      </c>
      <c r="C177" s="159" t="str">
        <f>INDEX(K2CostCategories[Display Name],6)</f>
        <v>Accommodation</v>
      </c>
      <c r="D177" s="159" t="str">
        <f>INDEX(K2CostCategories[Actual Header],6)</f>
        <v>Accommodation Actual</v>
      </c>
      <c r="E177" s="159" t="str">
        <f>INDEX(K2CostCategories[Actual Mode],6)</f>
        <v>MANUAL</v>
      </c>
      <c r="F177" s="161"/>
      <c r="G177" s="159" t="str">
        <f ca="1">IF(K2ActualCompleteness[[#This Row],[Date]]&gt;K2_ControlAsOfDate,"NOT DUE",IF(AND(K2ActualCompleteness[[#This Row],[Date]]=K2_ControlAsOfDate,MOD(NOW(),1)&lt;K2_DailyCloseTime),"OPEN","DUE"))</f>
        <v>NOT DUE</v>
      </c>
      <c r="H177" s="159"/>
      <c r="I177" s="159"/>
      <c r="J177" s="159" t="str">
        <f>INDEX(K2CostCategories[Owner],6)</f>
        <v>Shutdown Manager</v>
      </c>
      <c r="K177" s="163"/>
      <c r="L177" s="159" t="s">
        <v>2917</v>
      </c>
      <c r="M177" s="160">
        <f ca="1">IF(K2ActualCompleteness[[#This Row],[Status]]="MISSING",MAX(0,24*(NOW()-(K2ActualCompleteness[[#This Row],[Date]]+K2_DailyCloseTime))),0)</f>
        <v>0</v>
      </c>
      <c r="N177" s="159" t="s">
        <v>2276</v>
      </c>
    </row>
    <row r="178" spans="1:14" ht="14.4">
      <c r="A178" s="164">
        <f>INDEX(DailyTrackingTable[Date],22)</f>
        <v>46236</v>
      </c>
      <c r="B178" s="159" t="str">
        <f>INDEX(K2CostCategories[Cost Category ID],7)</f>
        <v>TRANSPORT</v>
      </c>
      <c r="C178" s="159" t="str">
        <f>INDEX(K2CostCategories[Display Name],7)</f>
        <v>Transport</v>
      </c>
      <c r="D178" s="159" t="str">
        <f>INDEX(K2CostCategories[Actual Header],7)</f>
        <v>Transport Actual</v>
      </c>
      <c r="E178" s="159" t="str">
        <f>INDEX(K2CostCategories[Actual Mode],7)</f>
        <v>MANUAL</v>
      </c>
      <c r="F178" s="161"/>
      <c r="G178" s="159" t="str">
        <f ca="1">IF(K2ActualCompleteness[[#This Row],[Date]]&gt;K2_ControlAsOfDate,"NOT DUE",IF(AND(K2ActualCompleteness[[#This Row],[Date]]=K2_ControlAsOfDate,MOD(NOW(),1)&lt;K2_DailyCloseTime),"OPEN","DUE"))</f>
        <v>NOT DUE</v>
      </c>
      <c r="H178" s="159"/>
      <c r="I178" s="159"/>
      <c r="J178" s="159" t="str">
        <f>INDEX(K2CostCategories[Owner],7)</f>
        <v>Commercial Manager</v>
      </c>
      <c r="K178" s="163"/>
      <c r="L178" s="159" t="s">
        <v>2917</v>
      </c>
      <c r="M178" s="160">
        <f ca="1">IF(K2ActualCompleteness[[#This Row],[Status]]="MISSING",MAX(0,24*(NOW()-(K2ActualCompleteness[[#This Row],[Date]]+K2_DailyCloseTime))),0)</f>
        <v>0</v>
      </c>
      <c r="N178" s="159" t="s">
        <v>2276</v>
      </c>
    </row>
    <row r="179" spans="1:14" ht="14.4">
      <c r="A179" s="164">
        <f>INDEX(DailyTrackingTable[Date],22)</f>
        <v>46236</v>
      </c>
      <c r="B179" s="159" t="str">
        <f>INDEX(K2CostCategories[Cost Category ID],8)</f>
        <v>DAMAGE</v>
      </c>
      <c r="C179" s="159" t="str">
        <f>INDEX(K2CostCategories[Display Name],8)</f>
        <v>Damage Recovery</v>
      </c>
      <c r="D179" s="159" t="str">
        <f>INDEX(K2CostCategories[Actual Header],8)</f>
        <v>Damage Recovery Actual</v>
      </c>
      <c r="E179" s="159" t="str">
        <f>INDEX(K2CostCategories[Actual Mode],8)</f>
        <v>MANUAL</v>
      </c>
      <c r="F179" s="161"/>
      <c r="G179" s="159" t="str">
        <f ca="1">IF(K2ActualCompleteness[[#This Row],[Date]]&gt;K2_ControlAsOfDate,"NOT DUE",IF(AND(K2ActualCompleteness[[#This Row],[Date]]=K2_ControlAsOfDate,MOD(NOW(),1)&lt;K2_DailyCloseTime),"OPEN","DUE"))</f>
        <v>NOT DUE</v>
      </c>
      <c r="H179" s="159"/>
      <c r="I179" s="159"/>
      <c r="J179" s="159" t="str">
        <f>INDEX(K2CostCategories[Owner],8)</f>
        <v>Commercial Manager</v>
      </c>
      <c r="K179" s="163"/>
      <c r="L179" s="159" t="s">
        <v>2917</v>
      </c>
      <c r="M179" s="160">
        <f ca="1">IF(K2ActualCompleteness[[#This Row],[Status]]="MISSING",MAX(0,24*(NOW()-(K2ActualCompleteness[[#This Row],[Date]]+K2_DailyCloseTime))),0)</f>
        <v>0</v>
      </c>
      <c r="N179" s="159" t="s">
        <v>2276</v>
      </c>
    </row>
    <row r="180" spans="1:14" ht="14.4">
      <c r="A180" s="164">
        <f>INDEX(DailyTrackingTable[Date],23)</f>
        <v>46237</v>
      </c>
      <c r="B180" s="159" t="str">
        <f>INDEX(K2CostCategories[Cost Category ID],1)</f>
        <v>PLANT</v>
      </c>
      <c r="C180" s="159" t="str">
        <f>INDEX(K2CostCategories[Display Name],1)</f>
        <v>Plant Equipment</v>
      </c>
      <c r="D180" s="159" t="str">
        <f>INDEX(K2CostCategories[Actual Header],1)</f>
        <v>Plant Equipment Hire Actual</v>
      </c>
      <c r="E180" s="159" t="str">
        <f>INDEX(K2CostCategories[Actual Mode],1)</f>
        <v>AUTO</v>
      </c>
      <c r="F180" s="161"/>
      <c r="G180" s="159" t="str">
        <f ca="1">IF(K2ActualCompleteness[[#This Row],[Date]]&gt;K2_ControlAsOfDate,"NOT DUE",IF(AND(K2ActualCompleteness[[#This Row],[Date]]=K2_ControlAsOfDate,MOD(NOW(),1)&lt;K2_DailyCloseTime),"OPEN","DUE"))</f>
        <v>NOT DUE</v>
      </c>
      <c r="H180" s="159"/>
      <c r="I180" s="159"/>
      <c r="J180" s="159" t="str">
        <f>INDEX(K2CostCategories[Owner],1)</f>
        <v>Plant Coordinator</v>
      </c>
      <c r="K180" s="163"/>
      <c r="L180" s="159" t="s">
        <v>2917</v>
      </c>
      <c r="M180" s="160">
        <f ca="1">IF(K2ActualCompleteness[[#This Row],[Status]]="MISSING",MAX(0,24*(NOW()-(K2ActualCompleteness[[#This Row],[Date]]+K2_DailyCloseTime))),0)</f>
        <v>0</v>
      </c>
      <c r="N180" s="159" t="s">
        <v>2276</v>
      </c>
    </row>
    <row r="181" spans="1:14" ht="14.4">
      <c r="A181" s="164">
        <f>INDEX(DailyTrackingTable[Date],23)</f>
        <v>46237</v>
      </c>
      <c r="B181" s="159" t="str">
        <f>INDEX(K2CostCategories[Cost Category ID],2)</f>
        <v>TOOLING</v>
      </c>
      <c r="C181" s="159" t="str">
        <f>INDEX(K2CostCategories[Display Name],2)</f>
        <v>Tooling Hire</v>
      </c>
      <c r="D181" s="159" t="str">
        <f>INDEX(K2CostCategories[Actual Header],2)</f>
        <v>Tooling Hire Actual</v>
      </c>
      <c r="E181" s="159" t="str">
        <f>INDEX(K2CostCategories[Actual Mode],2)</f>
        <v>AUTO</v>
      </c>
      <c r="F181" s="161"/>
      <c r="G181" s="159" t="str">
        <f ca="1">IF(K2ActualCompleteness[[#This Row],[Date]]&gt;K2_ControlAsOfDate,"NOT DUE",IF(AND(K2ActualCompleteness[[#This Row],[Date]]=K2_ControlAsOfDate,MOD(NOW(),1)&lt;K2_DailyCloseTime),"OPEN","DUE"))</f>
        <v>NOT DUE</v>
      </c>
      <c r="H181" s="159"/>
      <c r="I181" s="159"/>
      <c r="J181" s="159" t="str">
        <f>INDEX(K2CostCategories[Owner],2)</f>
        <v>Toolstore Supervisor</v>
      </c>
      <c r="K181" s="163"/>
      <c r="L181" s="159" t="s">
        <v>2917</v>
      </c>
      <c r="M181" s="160">
        <f ca="1">IF(K2ActualCompleteness[[#This Row],[Status]]="MISSING",MAX(0,24*(NOW()-(K2ActualCompleteness[[#This Row],[Date]]+K2_DailyCloseTime))),0)</f>
        <v>0</v>
      </c>
      <c r="N181" s="159" t="s">
        <v>2276</v>
      </c>
    </row>
    <row r="182" spans="1:14" ht="14.4">
      <c r="A182" s="164">
        <f>INDEX(DailyTrackingTable[Date],23)</f>
        <v>46237</v>
      </c>
      <c r="B182" s="159" t="str">
        <f>INDEX(K2CostCategories[Cost Category ID],3)</f>
        <v>RADIO</v>
      </c>
      <c r="C182" s="159" t="str">
        <f>INDEX(K2CostCategories[Display Name],3)</f>
        <v>Radio Family</v>
      </c>
      <c r="D182" s="159" t="str">
        <f>INDEX(K2CostCategories[Actual Header],3)</f>
        <v>Radio Hire Actual</v>
      </c>
      <c r="E182" s="159" t="str">
        <f>INDEX(K2CostCategories[Actual Mode],3)</f>
        <v>AUTO_COMBINED</v>
      </c>
      <c r="F182" s="161"/>
      <c r="G182" s="159" t="str">
        <f ca="1">IF(K2ActualCompleteness[[#This Row],[Date]]&gt;K2_ControlAsOfDate,"NOT DUE",IF(AND(K2ActualCompleteness[[#This Row],[Date]]=K2_ControlAsOfDate,MOD(NOW(),1)&lt;K2_DailyCloseTime),"OPEN","DUE"))</f>
        <v>NOT DUE</v>
      </c>
      <c r="H182" s="159"/>
      <c r="I182" s="159"/>
      <c r="J182" s="159" t="str">
        <f>INDEX(K2CostCategories[Owner],3)</f>
        <v>Toolstore Supervisor</v>
      </c>
      <c r="K182" s="163"/>
      <c r="L182" s="159" t="s">
        <v>2917</v>
      </c>
      <c r="M182" s="160">
        <f ca="1">IF(K2ActualCompleteness[[#This Row],[Status]]="MISSING",MAX(0,24*(NOW()-(K2ActualCompleteness[[#This Row],[Date]]+K2_DailyCloseTime))),0)</f>
        <v>0</v>
      </c>
      <c r="N182" s="159" t="s">
        <v>2276</v>
      </c>
    </row>
    <row r="183" spans="1:14" ht="14.4">
      <c r="A183" s="164">
        <f>INDEX(DailyTrackingTable[Date],23)</f>
        <v>46237</v>
      </c>
      <c r="B183" s="159" t="str">
        <f>INDEX(K2CostCategories[Cost Category ID],4)</f>
        <v>GAS</v>
      </c>
      <c r="C183" s="159" t="str">
        <f>INDEX(K2CostCategories[Display Name],4)</f>
        <v>Gas Monitors</v>
      </c>
      <c r="D183" s="159" t="str">
        <f>INDEX(K2CostCategories[Actual Header],4)</f>
        <v>Gas Monitor Hire Actual</v>
      </c>
      <c r="E183" s="159" t="str">
        <f>INDEX(K2CostCategories[Actual Mode],4)</f>
        <v>AUTO</v>
      </c>
      <c r="F183" s="161"/>
      <c r="G183" s="159" t="str">
        <f ca="1">IF(K2ActualCompleteness[[#This Row],[Date]]&gt;K2_ControlAsOfDate,"NOT DUE",IF(AND(K2ActualCompleteness[[#This Row],[Date]]=K2_ControlAsOfDate,MOD(NOW(),1)&lt;K2_DailyCloseTime),"OPEN","DUE"))</f>
        <v>NOT DUE</v>
      </c>
      <c r="H183" s="159"/>
      <c r="I183" s="159"/>
      <c r="J183" s="159" t="str">
        <f>INDEX(K2CostCategories[Owner],4)</f>
        <v>Toolstore Supervisor</v>
      </c>
      <c r="K183" s="163"/>
      <c r="L183" s="159" t="s">
        <v>2917</v>
      </c>
      <c r="M183" s="160">
        <f ca="1">IF(K2ActualCompleteness[[#This Row],[Status]]="MISSING",MAX(0,24*(NOW()-(K2ActualCompleteness[[#This Row],[Date]]+K2_DailyCloseTime))),0)</f>
        <v>0</v>
      </c>
      <c r="N183" s="159" t="s">
        <v>2276</v>
      </c>
    </row>
    <row r="184" spans="1:14" ht="14.4">
      <c r="A184" s="164">
        <f>INDEX(DailyTrackingTable[Date],23)</f>
        <v>46237</v>
      </c>
      <c r="B184" s="159" t="str">
        <f>INDEX(K2CostCategories[Cost Category ID],5)</f>
        <v>LABOUR</v>
      </c>
      <c r="C184" s="159" t="str">
        <f>INDEX(K2CostCategories[Display Name],5)</f>
        <v>Personnel / Labour</v>
      </c>
      <c r="D184" s="159" t="str">
        <f>INDEX(K2CostCategories[Actual Header],5)</f>
        <v>Personnel / Labour Actual</v>
      </c>
      <c r="E184" s="159" t="str">
        <f>INDEX(K2CostCategories[Actual Mode],5)</f>
        <v>MANUAL</v>
      </c>
      <c r="F184" s="161"/>
      <c r="G184" s="159" t="str">
        <f ca="1">IF(K2ActualCompleteness[[#This Row],[Date]]&gt;K2_ControlAsOfDate,"NOT DUE",IF(AND(K2ActualCompleteness[[#This Row],[Date]]=K2_ControlAsOfDate,MOD(NOW(),1)&lt;K2_DailyCloseTime),"OPEN","DUE"))</f>
        <v>NOT DUE</v>
      </c>
      <c r="H184" s="159"/>
      <c r="I184" s="159"/>
      <c r="J184" s="159" t="str">
        <f>INDEX(K2CostCategories[Owner],5)</f>
        <v>Shutdown Manager</v>
      </c>
      <c r="K184" s="163"/>
      <c r="L184" s="159" t="s">
        <v>2917</v>
      </c>
      <c r="M184" s="160">
        <f ca="1">IF(K2ActualCompleteness[[#This Row],[Status]]="MISSING",MAX(0,24*(NOW()-(K2ActualCompleteness[[#This Row],[Date]]+K2_DailyCloseTime))),0)</f>
        <v>0</v>
      </c>
      <c r="N184" s="159" t="s">
        <v>2276</v>
      </c>
    </row>
    <row r="185" spans="1:14" ht="14.4">
      <c r="A185" s="164">
        <f>INDEX(DailyTrackingTable[Date],23)</f>
        <v>46237</v>
      </c>
      <c r="B185" s="159" t="str">
        <f>INDEX(K2CostCategories[Cost Category ID],6)</f>
        <v>ACCOM</v>
      </c>
      <c r="C185" s="159" t="str">
        <f>INDEX(K2CostCategories[Display Name],6)</f>
        <v>Accommodation</v>
      </c>
      <c r="D185" s="159" t="str">
        <f>INDEX(K2CostCategories[Actual Header],6)</f>
        <v>Accommodation Actual</v>
      </c>
      <c r="E185" s="159" t="str">
        <f>INDEX(K2CostCategories[Actual Mode],6)</f>
        <v>MANUAL</v>
      </c>
      <c r="F185" s="161"/>
      <c r="G185" s="159" t="str">
        <f ca="1">IF(K2ActualCompleteness[[#This Row],[Date]]&gt;K2_ControlAsOfDate,"NOT DUE",IF(AND(K2ActualCompleteness[[#This Row],[Date]]=K2_ControlAsOfDate,MOD(NOW(),1)&lt;K2_DailyCloseTime),"OPEN","DUE"))</f>
        <v>NOT DUE</v>
      </c>
      <c r="H185" s="159"/>
      <c r="I185" s="159"/>
      <c r="J185" s="159" t="str">
        <f>INDEX(K2CostCategories[Owner],6)</f>
        <v>Shutdown Manager</v>
      </c>
      <c r="K185" s="163"/>
      <c r="L185" s="159" t="s">
        <v>2917</v>
      </c>
      <c r="M185" s="160">
        <f ca="1">IF(K2ActualCompleteness[[#This Row],[Status]]="MISSING",MAX(0,24*(NOW()-(K2ActualCompleteness[[#This Row],[Date]]+K2_DailyCloseTime))),0)</f>
        <v>0</v>
      </c>
      <c r="N185" s="159" t="s">
        <v>2276</v>
      </c>
    </row>
    <row r="186" spans="1:14" ht="14.4">
      <c r="A186" s="164">
        <f>INDEX(DailyTrackingTable[Date],23)</f>
        <v>46237</v>
      </c>
      <c r="B186" s="159" t="str">
        <f>INDEX(K2CostCategories[Cost Category ID],7)</f>
        <v>TRANSPORT</v>
      </c>
      <c r="C186" s="159" t="str">
        <f>INDEX(K2CostCategories[Display Name],7)</f>
        <v>Transport</v>
      </c>
      <c r="D186" s="159" t="str">
        <f>INDEX(K2CostCategories[Actual Header],7)</f>
        <v>Transport Actual</v>
      </c>
      <c r="E186" s="159" t="str">
        <f>INDEX(K2CostCategories[Actual Mode],7)</f>
        <v>MANUAL</v>
      </c>
      <c r="F186" s="161"/>
      <c r="G186" s="159" t="str">
        <f ca="1">IF(K2ActualCompleteness[[#This Row],[Date]]&gt;K2_ControlAsOfDate,"NOT DUE",IF(AND(K2ActualCompleteness[[#This Row],[Date]]=K2_ControlAsOfDate,MOD(NOW(),1)&lt;K2_DailyCloseTime),"OPEN","DUE"))</f>
        <v>NOT DUE</v>
      </c>
      <c r="H186" s="159"/>
      <c r="I186" s="159"/>
      <c r="J186" s="159" t="str">
        <f>INDEX(K2CostCategories[Owner],7)</f>
        <v>Commercial Manager</v>
      </c>
      <c r="K186" s="163"/>
      <c r="L186" s="159" t="s">
        <v>2917</v>
      </c>
      <c r="M186" s="160">
        <f ca="1">IF(K2ActualCompleteness[[#This Row],[Status]]="MISSING",MAX(0,24*(NOW()-(K2ActualCompleteness[[#This Row],[Date]]+K2_DailyCloseTime))),0)</f>
        <v>0</v>
      </c>
      <c r="N186" s="159" t="s">
        <v>2276</v>
      </c>
    </row>
    <row r="187" spans="1:14" ht="14.4">
      <c r="A187" s="164">
        <f>INDEX(DailyTrackingTable[Date],23)</f>
        <v>46237</v>
      </c>
      <c r="B187" s="159" t="str">
        <f>INDEX(K2CostCategories[Cost Category ID],8)</f>
        <v>DAMAGE</v>
      </c>
      <c r="C187" s="159" t="str">
        <f>INDEX(K2CostCategories[Display Name],8)</f>
        <v>Damage Recovery</v>
      </c>
      <c r="D187" s="159" t="str">
        <f>INDEX(K2CostCategories[Actual Header],8)</f>
        <v>Damage Recovery Actual</v>
      </c>
      <c r="E187" s="159" t="str">
        <f>INDEX(K2CostCategories[Actual Mode],8)</f>
        <v>MANUAL</v>
      </c>
      <c r="F187" s="161"/>
      <c r="G187" s="159" t="str">
        <f ca="1">IF(K2ActualCompleteness[[#This Row],[Date]]&gt;K2_ControlAsOfDate,"NOT DUE",IF(AND(K2ActualCompleteness[[#This Row],[Date]]=K2_ControlAsOfDate,MOD(NOW(),1)&lt;K2_DailyCloseTime),"OPEN","DUE"))</f>
        <v>NOT DUE</v>
      </c>
      <c r="H187" s="159"/>
      <c r="I187" s="159"/>
      <c r="J187" s="159" t="str">
        <f>INDEX(K2CostCategories[Owner],8)</f>
        <v>Commercial Manager</v>
      </c>
      <c r="K187" s="163"/>
      <c r="L187" s="159" t="s">
        <v>2917</v>
      </c>
      <c r="M187" s="160">
        <f ca="1">IF(K2ActualCompleteness[[#This Row],[Status]]="MISSING",MAX(0,24*(NOW()-(K2ActualCompleteness[[#This Row],[Date]]+K2_DailyCloseTime))),0)</f>
        <v>0</v>
      </c>
      <c r="N187" s="159" t="s">
        <v>2276</v>
      </c>
    </row>
    <row r="188" spans="1:14" ht="14.4">
      <c r="A188" s="164">
        <f>INDEX(DailyTrackingTable[Date],24)</f>
        <v>46238</v>
      </c>
      <c r="B188" s="159" t="str">
        <f>INDEX(K2CostCategories[Cost Category ID],1)</f>
        <v>PLANT</v>
      </c>
      <c r="C188" s="159" t="str">
        <f>INDEX(K2CostCategories[Display Name],1)</f>
        <v>Plant Equipment</v>
      </c>
      <c r="D188" s="159" t="str">
        <f>INDEX(K2CostCategories[Actual Header],1)</f>
        <v>Plant Equipment Hire Actual</v>
      </c>
      <c r="E188" s="159" t="str">
        <f>INDEX(K2CostCategories[Actual Mode],1)</f>
        <v>AUTO</v>
      </c>
      <c r="F188" s="161"/>
      <c r="G188" s="159" t="str">
        <f ca="1">IF(K2ActualCompleteness[[#This Row],[Date]]&gt;K2_ControlAsOfDate,"NOT DUE",IF(AND(K2ActualCompleteness[[#This Row],[Date]]=K2_ControlAsOfDate,MOD(NOW(),1)&lt;K2_DailyCloseTime),"OPEN","DUE"))</f>
        <v>NOT DUE</v>
      </c>
      <c r="H188" s="159"/>
      <c r="I188" s="159"/>
      <c r="J188" s="159" t="str">
        <f>INDEX(K2CostCategories[Owner],1)</f>
        <v>Plant Coordinator</v>
      </c>
      <c r="K188" s="163"/>
      <c r="L188" s="159" t="s">
        <v>2917</v>
      </c>
      <c r="M188" s="160">
        <f ca="1">IF(K2ActualCompleteness[[#This Row],[Status]]="MISSING",MAX(0,24*(NOW()-(K2ActualCompleteness[[#This Row],[Date]]+K2_DailyCloseTime))),0)</f>
        <v>0</v>
      </c>
      <c r="N188" s="159" t="s">
        <v>2276</v>
      </c>
    </row>
    <row r="189" spans="1:14" ht="14.4">
      <c r="A189" s="164">
        <f>INDEX(DailyTrackingTable[Date],24)</f>
        <v>46238</v>
      </c>
      <c r="B189" s="159" t="str">
        <f>INDEX(K2CostCategories[Cost Category ID],2)</f>
        <v>TOOLING</v>
      </c>
      <c r="C189" s="159" t="str">
        <f>INDEX(K2CostCategories[Display Name],2)</f>
        <v>Tooling Hire</v>
      </c>
      <c r="D189" s="159" t="str">
        <f>INDEX(K2CostCategories[Actual Header],2)</f>
        <v>Tooling Hire Actual</v>
      </c>
      <c r="E189" s="159" t="str">
        <f>INDEX(K2CostCategories[Actual Mode],2)</f>
        <v>AUTO</v>
      </c>
      <c r="F189" s="161"/>
      <c r="G189" s="159" t="str">
        <f ca="1">IF(K2ActualCompleteness[[#This Row],[Date]]&gt;K2_ControlAsOfDate,"NOT DUE",IF(AND(K2ActualCompleteness[[#This Row],[Date]]=K2_ControlAsOfDate,MOD(NOW(),1)&lt;K2_DailyCloseTime),"OPEN","DUE"))</f>
        <v>NOT DUE</v>
      </c>
      <c r="H189" s="159"/>
      <c r="I189" s="159"/>
      <c r="J189" s="159" t="str">
        <f>INDEX(K2CostCategories[Owner],2)</f>
        <v>Toolstore Supervisor</v>
      </c>
      <c r="K189" s="163"/>
      <c r="L189" s="159" t="s">
        <v>2917</v>
      </c>
      <c r="M189" s="160">
        <f ca="1">IF(K2ActualCompleteness[[#This Row],[Status]]="MISSING",MAX(0,24*(NOW()-(K2ActualCompleteness[[#This Row],[Date]]+K2_DailyCloseTime))),0)</f>
        <v>0</v>
      </c>
      <c r="N189" s="159" t="s">
        <v>2276</v>
      </c>
    </row>
    <row r="190" spans="1:14" ht="14.4">
      <c r="A190" s="164">
        <f>INDEX(DailyTrackingTable[Date],24)</f>
        <v>46238</v>
      </c>
      <c r="B190" s="159" t="str">
        <f>INDEX(K2CostCategories[Cost Category ID],3)</f>
        <v>RADIO</v>
      </c>
      <c r="C190" s="159" t="str">
        <f>INDEX(K2CostCategories[Display Name],3)</f>
        <v>Radio Family</v>
      </c>
      <c r="D190" s="159" t="str">
        <f>INDEX(K2CostCategories[Actual Header],3)</f>
        <v>Radio Hire Actual</v>
      </c>
      <c r="E190" s="159" t="str">
        <f>INDEX(K2CostCategories[Actual Mode],3)</f>
        <v>AUTO_COMBINED</v>
      </c>
      <c r="F190" s="161"/>
      <c r="G190" s="159" t="str">
        <f ca="1">IF(K2ActualCompleteness[[#This Row],[Date]]&gt;K2_ControlAsOfDate,"NOT DUE",IF(AND(K2ActualCompleteness[[#This Row],[Date]]=K2_ControlAsOfDate,MOD(NOW(),1)&lt;K2_DailyCloseTime),"OPEN","DUE"))</f>
        <v>NOT DUE</v>
      </c>
      <c r="H190" s="159"/>
      <c r="I190" s="159"/>
      <c r="J190" s="159" t="str">
        <f>INDEX(K2CostCategories[Owner],3)</f>
        <v>Toolstore Supervisor</v>
      </c>
      <c r="K190" s="163"/>
      <c r="L190" s="159" t="s">
        <v>2917</v>
      </c>
      <c r="M190" s="160">
        <f ca="1">IF(K2ActualCompleteness[[#This Row],[Status]]="MISSING",MAX(0,24*(NOW()-(K2ActualCompleteness[[#This Row],[Date]]+K2_DailyCloseTime))),0)</f>
        <v>0</v>
      </c>
      <c r="N190" s="159" t="s">
        <v>2276</v>
      </c>
    </row>
    <row r="191" spans="1:14" ht="14.4">
      <c r="A191" s="164">
        <f>INDEX(DailyTrackingTable[Date],24)</f>
        <v>46238</v>
      </c>
      <c r="B191" s="159" t="str">
        <f>INDEX(K2CostCategories[Cost Category ID],4)</f>
        <v>GAS</v>
      </c>
      <c r="C191" s="159" t="str">
        <f>INDEX(K2CostCategories[Display Name],4)</f>
        <v>Gas Monitors</v>
      </c>
      <c r="D191" s="159" t="str">
        <f>INDEX(K2CostCategories[Actual Header],4)</f>
        <v>Gas Monitor Hire Actual</v>
      </c>
      <c r="E191" s="159" t="str">
        <f>INDEX(K2CostCategories[Actual Mode],4)</f>
        <v>AUTO</v>
      </c>
      <c r="F191" s="161"/>
      <c r="G191" s="159" t="str">
        <f ca="1">IF(K2ActualCompleteness[[#This Row],[Date]]&gt;K2_ControlAsOfDate,"NOT DUE",IF(AND(K2ActualCompleteness[[#This Row],[Date]]=K2_ControlAsOfDate,MOD(NOW(),1)&lt;K2_DailyCloseTime),"OPEN","DUE"))</f>
        <v>NOT DUE</v>
      </c>
      <c r="H191" s="159"/>
      <c r="I191" s="159"/>
      <c r="J191" s="159" t="str">
        <f>INDEX(K2CostCategories[Owner],4)</f>
        <v>Toolstore Supervisor</v>
      </c>
      <c r="K191" s="163"/>
      <c r="L191" s="159" t="s">
        <v>2917</v>
      </c>
      <c r="M191" s="160">
        <f ca="1">IF(K2ActualCompleteness[[#This Row],[Status]]="MISSING",MAX(0,24*(NOW()-(K2ActualCompleteness[[#This Row],[Date]]+K2_DailyCloseTime))),0)</f>
        <v>0</v>
      </c>
      <c r="N191" s="159" t="s">
        <v>2276</v>
      </c>
    </row>
    <row r="192" spans="1:14" ht="14.4">
      <c r="A192" s="164">
        <f>INDEX(DailyTrackingTable[Date],24)</f>
        <v>46238</v>
      </c>
      <c r="B192" s="159" t="str">
        <f>INDEX(K2CostCategories[Cost Category ID],5)</f>
        <v>LABOUR</v>
      </c>
      <c r="C192" s="159" t="str">
        <f>INDEX(K2CostCategories[Display Name],5)</f>
        <v>Personnel / Labour</v>
      </c>
      <c r="D192" s="159" t="str">
        <f>INDEX(K2CostCategories[Actual Header],5)</f>
        <v>Personnel / Labour Actual</v>
      </c>
      <c r="E192" s="159" t="str">
        <f>INDEX(K2CostCategories[Actual Mode],5)</f>
        <v>MANUAL</v>
      </c>
      <c r="F192" s="161"/>
      <c r="G192" s="159" t="str">
        <f ca="1">IF(K2ActualCompleteness[[#This Row],[Date]]&gt;K2_ControlAsOfDate,"NOT DUE",IF(AND(K2ActualCompleteness[[#This Row],[Date]]=K2_ControlAsOfDate,MOD(NOW(),1)&lt;K2_DailyCloseTime),"OPEN","DUE"))</f>
        <v>NOT DUE</v>
      </c>
      <c r="H192" s="159"/>
      <c r="I192" s="159"/>
      <c r="J192" s="159" t="str">
        <f>INDEX(K2CostCategories[Owner],5)</f>
        <v>Shutdown Manager</v>
      </c>
      <c r="K192" s="163"/>
      <c r="L192" s="159" t="s">
        <v>2917</v>
      </c>
      <c r="M192" s="160">
        <f ca="1">IF(K2ActualCompleteness[[#This Row],[Status]]="MISSING",MAX(0,24*(NOW()-(K2ActualCompleteness[[#This Row],[Date]]+K2_DailyCloseTime))),0)</f>
        <v>0</v>
      </c>
      <c r="N192" s="159" t="s">
        <v>2276</v>
      </c>
    </row>
    <row r="193" spans="1:14" ht="14.4">
      <c r="A193" s="164">
        <f>INDEX(DailyTrackingTable[Date],24)</f>
        <v>46238</v>
      </c>
      <c r="B193" s="159" t="str">
        <f>INDEX(K2CostCategories[Cost Category ID],6)</f>
        <v>ACCOM</v>
      </c>
      <c r="C193" s="159" t="str">
        <f>INDEX(K2CostCategories[Display Name],6)</f>
        <v>Accommodation</v>
      </c>
      <c r="D193" s="159" t="str">
        <f>INDEX(K2CostCategories[Actual Header],6)</f>
        <v>Accommodation Actual</v>
      </c>
      <c r="E193" s="159" t="str">
        <f>INDEX(K2CostCategories[Actual Mode],6)</f>
        <v>MANUAL</v>
      </c>
      <c r="F193" s="161"/>
      <c r="G193" s="159" t="str">
        <f ca="1">IF(K2ActualCompleteness[[#This Row],[Date]]&gt;K2_ControlAsOfDate,"NOT DUE",IF(AND(K2ActualCompleteness[[#This Row],[Date]]=K2_ControlAsOfDate,MOD(NOW(),1)&lt;K2_DailyCloseTime),"OPEN","DUE"))</f>
        <v>NOT DUE</v>
      </c>
      <c r="H193" s="159"/>
      <c r="I193" s="159"/>
      <c r="J193" s="159" t="str">
        <f>INDEX(K2CostCategories[Owner],6)</f>
        <v>Shutdown Manager</v>
      </c>
      <c r="K193" s="163"/>
      <c r="L193" s="159" t="s">
        <v>2917</v>
      </c>
      <c r="M193" s="160">
        <f ca="1">IF(K2ActualCompleteness[[#This Row],[Status]]="MISSING",MAX(0,24*(NOW()-(K2ActualCompleteness[[#This Row],[Date]]+K2_DailyCloseTime))),0)</f>
        <v>0</v>
      </c>
      <c r="N193" s="159" t="s">
        <v>2276</v>
      </c>
    </row>
    <row r="194" spans="1:14" ht="14.4">
      <c r="A194" s="164">
        <f>INDEX(DailyTrackingTable[Date],24)</f>
        <v>46238</v>
      </c>
      <c r="B194" s="159" t="str">
        <f>INDEX(K2CostCategories[Cost Category ID],7)</f>
        <v>TRANSPORT</v>
      </c>
      <c r="C194" s="159" t="str">
        <f>INDEX(K2CostCategories[Display Name],7)</f>
        <v>Transport</v>
      </c>
      <c r="D194" s="159" t="str">
        <f>INDEX(K2CostCategories[Actual Header],7)</f>
        <v>Transport Actual</v>
      </c>
      <c r="E194" s="159" t="str">
        <f>INDEX(K2CostCategories[Actual Mode],7)</f>
        <v>MANUAL</v>
      </c>
      <c r="F194" s="161"/>
      <c r="G194" s="159" t="str">
        <f ca="1">IF(K2ActualCompleteness[[#This Row],[Date]]&gt;K2_ControlAsOfDate,"NOT DUE",IF(AND(K2ActualCompleteness[[#This Row],[Date]]=K2_ControlAsOfDate,MOD(NOW(),1)&lt;K2_DailyCloseTime),"OPEN","DUE"))</f>
        <v>NOT DUE</v>
      </c>
      <c r="H194" s="159"/>
      <c r="I194" s="159"/>
      <c r="J194" s="159" t="str">
        <f>INDEX(K2CostCategories[Owner],7)</f>
        <v>Commercial Manager</v>
      </c>
      <c r="K194" s="163"/>
      <c r="L194" s="159" t="s">
        <v>2917</v>
      </c>
      <c r="M194" s="160">
        <f ca="1">IF(K2ActualCompleteness[[#This Row],[Status]]="MISSING",MAX(0,24*(NOW()-(K2ActualCompleteness[[#This Row],[Date]]+K2_DailyCloseTime))),0)</f>
        <v>0</v>
      </c>
      <c r="N194" s="159" t="s">
        <v>2276</v>
      </c>
    </row>
    <row r="195" spans="1:14" ht="14.4">
      <c r="A195" s="164">
        <f>INDEX(DailyTrackingTable[Date],24)</f>
        <v>46238</v>
      </c>
      <c r="B195" s="159" t="str">
        <f>INDEX(K2CostCategories[Cost Category ID],8)</f>
        <v>DAMAGE</v>
      </c>
      <c r="C195" s="159" t="str">
        <f>INDEX(K2CostCategories[Display Name],8)</f>
        <v>Damage Recovery</v>
      </c>
      <c r="D195" s="159" t="str">
        <f>INDEX(K2CostCategories[Actual Header],8)</f>
        <v>Damage Recovery Actual</v>
      </c>
      <c r="E195" s="159" t="str">
        <f>INDEX(K2CostCategories[Actual Mode],8)</f>
        <v>MANUAL</v>
      </c>
      <c r="F195" s="161"/>
      <c r="G195" s="159" t="str">
        <f ca="1">IF(K2ActualCompleteness[[#This Row],[Date]]&gt;K2_ControlAsOfDate,"NOT DUE",IF(AND(K2ActualCompleteness[[#This Row],[Date]]=K2_ControlAsOfDate,MOD(NOW(),1)&lt;K2_DailyCloseTime),"OPEN","DUE"))</f>
        <v>NOT DUE</v>
      </c>
      <c r="H195" s="159"/>
      <c r="I195" s="159"/>
      <c r="J195" s="159" t="str">
        <f>INDEX(K2CostCategories[Owner],8)</f>
        <v>Commercial Manager</v>
      </c>
      <c r="K195" s="163"/>
      <c r="L195" s="159" t="s">
        <v>2917</v>
      </c>
      <c r="M195" s="160">
        <f ca="1">IF(K2ActualCompleteness[[#This Row],[Status]]="MISSING",MAX(0,24*(NOW()-(K2ActualCompleteness[[#This Row],[Date]]+K2_DailyCloseTime))),0)</f>
        <v>0</v>
      </c>
      <c r="N195" s="159" t="s">
        <v>2276</v>
      </c>
    </row>
    <row r="196" spans="1:14" ht="14.4">
      <c r="A196" s="164">
        <f>INDEX(DailyTrackingTable[Date],25)</f>
        <v>46239</v>
      </c>
      <c r="B196" s="159" t="str">
        <f>INDEX(K2CostCategories[Cost Category ID],1)</f>
        <v>PLANT</v>
      </c>
      <c r="C196" s="159" t="str">
        <f>INDEX(K2CostCategories[Display Name],1)</f>
        <v>Plant Equipment</v>
      </c>
      <c r="D196" s="159" t="str">
        <f>INDEX(K2CostCategories[Actual Header],1)</f>
        <v>Plant Equipment Hire Actual</v>
      </c>
      <c r="E196" s="159" t="str">
        <f>INDEX(K2CostCategories[Actual Mode],1)</f>
        <v>AUTO</v>
      </c>
      <c r="F196" s="161"/>
      <c r="G196" s="159" t="str">
        <f ca="1">IF(K2ActualCompleteness[[#This Row],[Date]]&gt;K2_ControlAsOfDate,"NOT DUE",IF(AND(K2ActualCompleteness[[#This Row],[Date]]=K2_ControlAsOfDate,MOD(NOW(),1)&lt;K2_DailyCloseTime),"OPEN","DUE"))</f>
        <v>NOT DUE</v>
      </c>
      <c r="H196" s="159"/>
      <c r="I196" s="159"/>
      <c r="J196" s="159" t="str">
        <f>INDEX(K2CostCategories[Owner],1)</f>
        <v>Plant Coordinator</v>
      </c>
      <c r="K196" s="163"/>
      <c r="L196" s="159" t="s">
        <v>2917</v>
      </c>
      <c r="M196" s="160">
        <f ca="1">IF(K2ActualCompleteness[[#This Row],[Status]]="MISSING",MAX(0,24*(NOW()-(K2ActualCompleteness[[#This Row],[Date]]+K2_DailyCloseTime))),0)</f>
        <v>0</v>
      </c>
      <c r="N196" s="159" t="s">
        <v>2276</v>
      </c>
    </row>
    <row r="197" spans="1:14" ht="14.4">
      <c r="A197" s="164">
        <f>INDEX(DailyTrackingTable[Date],25)</f>
        <v>46239</v>
      </c>
      <c r="B197" s="159" t="str">
        <f>INDEX(K2CostCategories[Cost Category ID],2)</f>
        <v>TOOLING</v>
      </c>
      <c r="C197" s="159" t="str">
        <f>INDEX(K2CostCategories[Display Name],2)</f>
        <v>Tooling Hire</v>
      </c>
      <c r="D197" s="159" t="str">
        <f>INDEX(K2CostCategories[Actual Header],2)</f>
        <v>Tooling Hire Actual</v>
      </c>
      <c r="E197" s="159" t="str">
        <f>INDEX(K2CostCategories[Actual Mode],2)</f>
        <v>AUTO</v>
      </c>
      <c r="F197" s="161"/>
      <c r="G197" s="159" t="str">
        <f ca="1">IF(K2ActualCompleteness[[#This Row],[Date]]&gt;K2_ControlAsOfDate,"NOT DUE",IF(AND(K2ActualCompleteness[[#This Row],[Date]]=K2_ControlAsOfDate,MOD(NOW(),1)&lt;K2_DailyCloseTime),"OPEN","DUE"))</f>
        <v>NOT DUE</v>
      </c>
      <c r="H197" s="159"/>
      <c r="I197" s="159"/>
      <c r="J197" s="159" t="str">
        <f>INDEX(K2CostCategories[Owner],2)</f>
        <v>Toolstore Supervisor</v>
      </c>
      <c r="K197" s="163"/>
      <c r="L197" s="159" t="s">
        <v>2917</v>
      </c>
      <c r="M197" s="160">
        <f ca="1">IF(K2ActualCompleteness[[#This Row],[Status]]="MISSING",MAX(0,24*(NOW()-(K2ActualCompleteness[[#This Row],[Date]]+K2_DailyCloseTime))),0)</f>
        <v>0</v>
      </c>
      <c r="N197" s="159" t="s">
        <v>2276</v>
      </c>
    </row>
    <row r="198" spans="1:14" ht="14.4">
      <c r="A198" s="164">
        <f>INDEX(DailyTrackingTable[Date],25)</f>
        <v>46239</v>
      </c>
      <c r="B198" s="159" t="str">
        <f>INDEX(K2CostCategories[Cost Category ID],3)</f>
        <v>RADIO</v>
      </c>
      <c r="C198" s="159" t="str">
        <f>INDEX(K2CostCategories[Display Name],3)</f>
        <v>Radio Family</v>
      </c>
      <c r="D198" s="159" t="str">
        <f>INDEX(K2CostCategories[Actual Header],3)</f>
        <v>Radio Hire Actual</v>
      </c>
      <c r="E198" s="159" t="str">
        <f>INDEX(K2CostCategories[Actual Mode],3)</f>
        <v>AUTO_COMBINED</v>
      </c>
      <c r="F198" s="161"/>
      <c r="G198" s="159" t="str">
        <f ca="1">IF(K2ActualCompleteness[[#This Row],[Date]]&gt;K2_ControlAsOfDate,"NOT DUE",IF(AND(K2ActualCompleteness[[#This Row],[Date]]=K2_ControlAsOfDate,MOD(NOW(),1)&lt;K2_DailyCloseTime),"OPEN","DUE"))</f>
        <v>NOT DUE</v>
      </c>
      <c r="H198" s="159"/>
      <c r="I198" s="159"/>
      <c r="J198" s="159" t="str">
        <f>INDEX(K2CostCategories[Owner],3)</f>
        <v>Toolstore Supervisor</v>
      </c>
      <c r="K198" s="163"/>
      <c r="L198" s="159" t="s">
        <v>2917</v>
      </c>
      <c r="M198" s="160">
        <f ca="1">IF(K2ActualCompleteness[[#This Row],[Status]]="MISSING",MAX(0,24*(NOW()-(K2ActualCompleteness[[#This Row],[Date]]+K2_DailyCloseTime))),0)</f>
        <v>0</v>
      </c>
      <c r="N198" s="159" t="s">
        <v>2276</v>
      </c>
    </row>
    <row r="199" spans="1:14" ht="14.4">
      <c r="A199" s="164">
        <f>INDEX(DailyTrackingTable[Date],25)</f>
        <v>46239</v>
      </c>
      <c r="B199" s="159" t="str">
        <f>INDEX(K2CostCategories[Cost Category ID],4)</f>
        <v>GAS</v>
      </c>
      <c r="C199" s="159" t="str">
        <f>INDEX(K2CostCategories[Display Name],4)</f>
        <v>Gas Monitors</v>
      </c>
      <c r="D199" s="159" t="str">
        <f>INDEX(K2CostCategories[Actual Header],4)</f>
        <v>Gas Monitor Hire Actual</v>
      </c>
      <c r="E199" s="159" t="str">
        <f>INDEX(K2CostCategories[Actual Mode],4)</f>
        <v>AUTO</v>
      </c>
      <c r="F199" s="161"/>
      <c r="G199" s="159" t="str">
        <f ca="1">IF(K2ActualCompleteness[[#This Row],[Date]]&gt;K2_ControlAsOfDate,"NOT DUE",IF(AND(K2ActualCompleteness[[#This Row],[Date]]=K2_ControlAsOfDate,MOD(NOW(),1)&lt;K2_DailyCloseTime),"OPEN","DUE"))</f>
        <v>NOT DUE</v>
      </c>
      <c r="H199" s="159"/>
      <c r="I199" s="159"/>
      <c r="J199" s="159" t="str">
        <f>INDEX(K2CostCategories[Owner],4)</f>
        <v>Toolstore Supervisor</v>
      </c>
      <c r="K199" s="163"/>
      <c r="L199" s="159" t="s">
        <v>2917</v>
      </c>
      <c r="M199" s="160">
        <f ca="1">IF(K2ActualCompleteness[[#This Row],[Status]]="MISSING",MAX(0,24*(NOW()-(K2ActualCompleteness[[#This Row],[Date]]+K2_DailyCloseTime))),0)</f>
        <v>0</v>
      </c>
      <c r="N199" s="159" t="s">
        <v>2276</v>
      </c>
    </row>
    <row r="200" spans="1:14" ht="14.4">
      <c r="A200" s="164">
        <f>INDEX(DailyTrackingTable[Date],25)</f>
        <v>46239</v>
      </c>
      <c r="B200" s="159" t="str">
        <f>INDEX(K2CostCategories[Cost Category ID],5)</f>
        <v>LABOUR</v>
      </c>
      <c r="C200" s="159" t="str">
        <f>INDEX(K2CostCategories[Display Name],5)</f>
        <v>Personnel / Labour</v>
      </c>
      <c r="D200" s="159" t="str">
        <f>INDEX(K2CostCategories[Actual Header],5)</f>
        <v>Personnel / Labour Actual</v>
      </c>
      <c r="E200" s="159" t="str">
        <f>INDEX(K2CostCategories[Actual Mode],5)</f>
        <v>MANUAL</v>
      </c>
      <c r="F200" s="161"/>
      <c r="G200" s="159" t="str">
        <f ca="1">IF(K2ActualCompleteness[[#This Row],[Date]]&gt;K2_ControlAsOfDate,"NOT DUE",IF(AND(K2ActualCompleteness[[#This Row],[Date]]=K2_ControlAsOfDate,MOD(NOW(),1)&lt;K2_DailyCloseTime),"OPEN","DUE"))</f>
        <v>NOT DUE</v>
      </c>
      <c r="H200" s="159"/>
      <c r="I200" s="159"/>
      <c r="J200" s="159" t="str">
        <f>INDEX(K2CostCategories[Owner],5)</f>
        <v>Shutdown Manager</v>
      </c>
      <c r="K200" s="163"/>
      <c r="L200" s="159" t="s">
        <v>2917</v>
      </c>
      <c r="M200" s="160">
        <f ca="1">IF(K2ActualCompleteness[[#This Row],[Status]]="MISSING",MAX(0,24*(NOW()-(K2ActualCompleteness[[#This Row],[Date]]+K2_DailyCloseTime))),0)</f>
        <v>0</v>
      </c>
      <c r="N200" s="159" t="s">
        <v>2276</v>
      </c>
    </row>
    <row r="201" spans="1:14" ht="14.4">
      <c r="A201" s="164">
        <f>INDEX(DailyTrackingTable[Date],25)</f>
        <v>46239</v>
      </c>
      <c r="B201" s="159" t="str">
        <f>INDEX(K2CostCategories[Cost Category ID],6)</f>
        <v>ACCOM</v>
      </c>
      <c r="C201" s="159" t="str">
        <f>INDEX(K2CostCategories[Display Name],6)</f>
        <v>Accommodation</v>
      </c>
      <c r="D201" s="159" t="str">
        <f>INDEX(K2CostCategories[Actual Header],6)</f>
        <v>Accommodation Actual</v>
      </c>
      <c r="E201" s="159" t="str">
        <f>INDEX(K2CostCategories[Actual Mode],6)</f>
        <v>MANUAL</v>
      </c>
      <c r="F201" s="161"/>
      <c r="G201" s="159" t="str">
        <f ca="1">IF(K2ActualCompleteness[[#This Row],[Date]]&gt;K2_ControlAsOfDate,"NOT DUE",IF(AND(K2ActualCompleteness[[#This Row],[Date]]=K2_ControlAsOfDate,MOD(NOW(),1)&lt;K2_DailyCloseTime),"OPEN","DUE"))</f>
        <v>NOT DUE</v>
      </c>
      <c r="H201" s="159"/>
      <c r="I201" s="159"/>
      <c r="J201" s="159" t="str">
        <f>INDEX(K2CostCategories[Owner],6)</f>
        <v>Shutdown Manager</v>
      </c>
      <c r="K201" s="163"/>
      <c r="L201" s="159" t="s">
        <v>2917</v>
      </c>
      <c r="M201" s="160">
        <f ca="1">IF(K2ActualCompleteness[[#This Row],[Status]]="MISSING",MAX(0,24*(NOW()-(K2ActualCompleteness[[#This Row],[Date]]+K2_DailyCloseTime))),0)</f>
        <v>0</v>
      </c>
      <c r="N201" s="159" t="s">
        <v>2276</v>
      </c>
    </row>
    <row r="202" spans="1:14" ht="14.4">
      <c r="A202" s="164">
        <f>INDEX(DailyTrackingTable[Date],25)</f>
        <v>46239</v>
      </c>
      <c r="B202" s="159" t="str">
        <f>INDEX(K2CostCategories[Cost Category ID],7)</f>
        <v>TRANSPORT</v>
      </c>
      <c r="C202" s="159" t="str">
        <f>INDEX(K2CostCategories[Display Name],7)</f>
        <v>Transport</v>
      </c>
      <c r="D202" s="159" t="str">
        <f>INDEX(K2CostCategories[Actual Header],7)</f>
        <v>Transport Actual</v>
      </c>
      <c r="E202" s="159" t="str">
        <f>INDEX(K2CostCategories[Actual Mode],7)</f>
        <v>MANUAL</v>
      </c>
      <c r="F202" s="161"/>
      <c r="G202" s="159" t="str">
        <f ca="1">IF(K2ActualCompleteness[[#This Row],[Date]]&gt;K2_ControlAsOfDate,"NOT DUE",IF(AND(K2ActualCompleteness[[#This Row],[Date]]=K2_ControlAsOfDate,MOD(NOW(),1)&lt;K2_DailyCloseTime),"OPEN","DUE"))</f>
        <v>NOT DUE</v>
      </c>
      <c r="H202" s="159"/>
      <c r="I202" s="159"/>
      <c r="J202" s="159" t="str">
        <f>INDEX(K2CostCategories[Owner],7)</f>
        <v>Commercial Manager</v>
      </c>
      <c r="K202" s="163"/>
      <c r="L202" s="159" t="s">
        <v>2917</v>
      </c>
      <c r="M202" s="160">
        <f ca="1">IF(K2ActualCompleteness[[#This Row],[Status]]="MISSING",MAX(0,24*(NOW()-(K2ActualCompleteness[[#This Row],[Date]]+K2_DailyCloseTime))),0)</f>
        <v>0</v>
      </c>
      <c r="N202" s="159" t="s">
        <v>2276</v>
      </c>
    </row>
    <row r="203" spans="1:14" ht="14.4">
      <c r="A203" s="164">
        <f>INDEX(DailyTrackingTable[Date],25)</f>
        <v>46239</v>
      </c>
      <c r="B203" s="159" t="str">
        <f>INDEX(K2CostCategories[Cost Category ID],8)</f>
        <v>DAMAGE</v>
      </c>
      <c r="C203" s="159" t="str">
        <f>INDEX(K2CostCategories[Display Name],8)</f>
        <v>Damage Recovery</v>
      </c>
      <c r="D203" s="159" t="str">
        <f>INDEX(K2CostCategories[Actual Header],8)</f>
        <v>Damage Recovery Actual</v>
      </c>
      <c r="E203" s="159" t="str">
        <f>INDEX(K2CostCategories[Actual Mode],8)</f>
        <v>MANUAL</v>
      </c>
      <c r="F203" s="161"/>
      <c r="G203" s="159" t="str">
        <f ca="1">IF(K2ActualCompleteness[[#This Row],[Date]]&gt;K2_ControlAsOfDate,"NOT DUE",IF(AND(K2ActualCompleteness[[#This Row],[Date]]=K2_ControlAsOfDate,MOD(NOW(),1)&lt;K2_DailyCloseTime),"OPEN","DUE"))</f>
        <v>NOT DUE</v>
      </c>
      <c r="H203" s="159"/>
      <c r="I203" s="159"/>
      <c r="J203" s="159" t="str">
        <f>INDEX(K2CostCategories[Owner],8)</f>
        <v>Commercial Manager</v>
      </c>
      <c r="K203" s="163"/>
      <c r="L203" s="159" t="s">
        <v>2917</v>
      </c>
      <c r="M203" s="160">
        <f ca="1">IF(K2ActualCompleteness[[#This Row],[Status]]="MISSING",MAX(0,24*(NOW()-(K2ActualCompleteness[[#This Row],[Date]]+K2_DailyCloseTime))),0)</f>
        <v>0</v>
      </c>
      <c r="N203" s="159" t="s">
        <v>2276</v>
      </c>
    </row>
    <row r="204" spans="1:14" ht="14.4">
      <c r="A204" s="164">
        <f>INDEX(DailyTrackingTable[Date],26)</f>
        <v>46240</v>
      </c>
      <c r="B204" s="159" t="str">
        <f>INDEX(K2CostCategories[Cost Category ID],1)</f>
        <v>PLANT</v>
      </c>
      <c r="C204" s="159" t="str">
        <f>INDEX(K2CostCategories[Display Name],1)</f>
        <v>Plant Equipment</v>
      </c>
      <c r="D204" s="159" t="str">
        <f>INDEX(K2CostCategories[Actual Header],1)</f>
        <v>Plant Equipment Hire Actual</v>
      </c>
      <c r="E204" s="159" t="str">
        <f>INDEX(K2CostCategories[Actual Mode],1)</f>
        <v>AUTO</v>
      </c>
      <c r="F204" s="161"/>
      <c r="G204" s="159" t="str">
        <f ca="1">IF(K2ActualCompleteness[[#This Row],[Date]]&gt;K2_ControlAsOfDate,"NOT DUE",IF(AND(K2ActualCompleteness[[#This Row],[Date]]=K2_ControlAsOfDate,MOD(NOW(),1)&lt;K2_DailyCloseTime),"OPEN","DUE"))</f>
        <v>NOT DUE</v>
      </c>
      <c r="H204" s="159"/>
      <c r="I204" s="159"/>
      <c r="J204" s="159" t="str">
        <f>INDEX(K2CostCategories[Owner],1)</f>
        <v>Plant Coordinator</v>
      </c>
      <c r="K204" s="163"/>
      <c r="L204" s="159" t="s">
        <v>2917</v>
      </c>
      <c r="M204" s="160">
        <f ca="1">IF(K2ActualCompleteness[[#This Row],[Status]]="MISSING",MAX(0,24*(NOW()-(K2ActualCompleteness[[#This Row],[Date]]+K2_DailyCloseTime))),0)</f>
        <v>0</v>
      </c>
      <c r="N204" s="159" t="s">
        <v>2276</v>
      </c>
    </row>
    <row r="205" spans="1:14" ht="14.4">
      <c r="A205" s="164">
        <f>INDEX(DailyTrackingTable[Date],26)</f>
        <v>46240</v>
      </c>
      <c r="B205" s="159" t="str">
        <f>INDEX(K2CostCategories[Cost Category ID],2)</f>
        <v>TOOLING</v>
      </c>
      <c r="C205" s="159" t="str">
        <f>INDEX(K2CostCategories[Display Name],2)</f>
        <v>Tooling Hire</v>
      </c>
      <c r="D205" s="159" t="str">
        <f>INDEX(K2CostCategories[Actual Header],2)</f>
        <v>Tooling Hire Actual</v>
      </c>
      <c r="E205" s="159" t="str">
        <f>INDEX(K2CostCategories[Actual Mode],2)</f>
        <v>AUTO</v>
      </c>
      <c r="F205" s="161"/>
      <c r="G205" s="159" t="str">
        <f ca="1">IF(K2ActualCompleteness[[#This Row],[Date]]&gt;K2_ControlAsOfDate,"NOT DUE",IF(AND(K2ActualCompleteness[[#This Row],[Date]]=K2_ControlAsOfDate,MOD(NOW(),1)&lt;K2_DailyCloseTime),"OPEN","DUE"))</f>
        <v>NOT DUE</v>
      </c>
      <c r="H205" s="159"/>
      <c r="I205" s="159"/>
      <c r="J205" s="159" t="str">
        <f>INDEX(K2CostCategories[Owner],2)</f>
        <v>Toolstore Supervisor</v>
      </c>
      <c r="K205" s="163"/>
      <c r="L205" s="159" t="s">
        <v>2917</v>
      </c>
      <c r="M205" s="160">
        <f ca="1">IF(K2ActualCompleteness[[#This Row],[Status]]="MISSING",MAX(0,24*(NOW()-(K2ActualCompleteness[[#This Row],[Date]]+K2_DailyCloseTime))),0)</f>
        <v>0</v>
      </c>
      <c r="N205" s="159" t="s">
        <v>2276</v>
      </c>
    </row>
    <row r="206" spans="1:14" ht="14.4">
      <c r="A206" s="164">
        <f>INDEX(DailyTrackingTable[Date],26)</f>
        <v>46240</v>
      </c>
      <c r="B206" s="159" t="str">
        <f>INDEX(K2CostCategories[Cost Category ID],3)</f>
        <v>RADIO</v>
      </c>
      <c r="C206" s="159" t="str">
        <f>INDEX(K2CostCategories[Display Name],3)</f>
        <v>Radio Family</v>
      </c>
      <c r="D206" s="159" t="str">
        <f>INDEX(K2CostCategories[Actual Header],3)</f>
        <v>Radio Hire Actual</v>
      </c>
      <c r="E206" s="159" t="str">
        <f>INDEX(K2CostCategories[Actual Mode],3)</f>
        <v>AUTO_COMBINED</v>
      </c>
      <c r="F206" s="161"/>
      <c r="G206" s="159" t="str">
        <f ca="1">IF(K2ActualCompleteness[[#This Row],[Date]]&gt;K2_ControlAsOfDate,"NOT DUE",IF(AND(K2ActualCompleteness[[#This Row],[Date]]=K2_ControlAsOfDate,MOD(NOW(),1)&lt;K2_DailyCloseTime),"OPEN","DUE"))</f>
        <v>NOT DUE</v>
      </c>
      <c r="H206" s="159"/>
      <c r="I206" s="159"/>
      <c r="J206" s="159" t="str">
        <f>INDEX(K2CostCategories[Owner],3)</f>
        <v>Toolstore Supervisor</v>
      </c>
      <c r="K206" s="163"/>
      <c r="L206" s="159" t="s">
        <v>2917</v>
      </c>
      <c r="M206" s="160">
        <f ca="1">IF(K2ActualCompleteness[[#This Row],[Status]]="MISSING",MAX(0,24*(NOW()-(K2ActualCompleteness[[#This Row],[Date]]+K2_DailyCloseTime))),0)</f>
        <v>0</v>
      </c>
      <c r="N206" s="159" t="s">
        <v>2276</v>
      </c>
    </row>
    <row r="207" spans="1:14" ht="14.4">
      <c r="A207" s="164">
        <f>INDEX(DailyTrackingTable[Date],26)</f>
        <v>46240</v>
      </c>
      <c r="B207" s="159" t="str">
        <f>INDEX(K2CostCategories[Cost Category ID],4)</f>
        <v>GAS</v>
      </c>
      <c r="C207" s="159" t="str">
        <f>INDEX(K2CostCategories[Display Name],4)</f>
        <v>Gas Monitors</v>
      </c>
      <c r="D207" s="159" t="str">
        <f>INDEX(K2CostCategories[Actual Header],4)</f>
        <v>Gas Monitor Hire Actual</v>
      </c>
      <c r="E207" s="159" t="str">
        <f>INDEX(K2CostCategories[Actual Mode],4)</f>
        <v>AUTO</v>
      </c>
      <c r="F207" s="161"/>
      <c r="G207" s="159" t="str">
        <f ca="1">IF(K2ActualCompleteness[[#This Row],[Date]]&gt;K2_ControlAsOfDate,"NOT DUE",IF(AND(K2ActualCompleteness[[#This Row],[Date]]=K2_ControlAsOfDate,MOD(NOW(),1)&lt;K2_DailyCloseTime),"OPEN","DUE"))</f>
        <v>NOT DUE</v>
      </c>
      <c r="H207" s="159"/>
      <c r="I207" s="159"/>
      <c r="J207" s="159" t="str">
        <f>INDEX(K2CostCategories[Owner],4)</f>
        <v>Toolstore Supervisor</v>
      </c>
      <c r="K207" s="163"/>
      <c r="L207" s="159" t="s">
        <v>2917</v>
      </c>
      <c r="M207" s="160">
        <f ca="1">IF(K2ActualCompleteness[[#This Row],[Status]]="MISSING",MAX(0,24*(NOW()-(K2ActualCompleteness[[#This Row],[Date]]+K2_DailyCloseTime))),0)</f>
        <v>0</v>
      </c>
      <c r="N207" s="159" t="s">
        <v>2276</v>
      </c>
    </row>
    <row r="208" spans="1:14" ht="14.4">
      <c r="A208" s="164">
        <f>INDEX(DailyTrackingTable[Date],26)</f>
        <v>46240</v>
      </c>
      <c r="B208" s="159" t="str">
        <f>INDEX(K2CostCategories[Cost Category ID],5)</f>
        <v>LABOUR</v>
      </c>
      <c r="C208" s="159" t="str">
        <f>INDEX(K2CostCategories[Display Name],5)</f>
        <v>Personnel / Labour</v>
      </c>
      <c r="D208" s="159" t="str">
        <f>INDEX(K2CostCategories[Actual Header],5)</f>
        <v>Personnel / Labour Actual</v>
      </c>
      <c r="E208" s="159" t="str">
        <f>INDEX(K2CostCategories[Actual Mode],5)</f>
        <v>MANUAL</v>
      </c>
      <c r="F208" s="161"/>
      <c r="G208" s="159" t="str">
        <f ca="1">IF(K2ActualCompleteness[[#This Row],[Date]]&gt;K2_ControlAsOfDate,"NOT DUE",IF(AND(K2ActualCompleteness[[#This Row],[Date]]=K2_ControlAsOfDate,MOD(NOW(),1)&lt;K2_DailyCloseTime),"OPEN","DUE"))</f>
        <v>NOT DUE</v>
      </c>
      <c r="H208" s="159"/>
      <c r="I208" s="159"/>
      <c r="J208" s="159" t="str">
        <f>INDEX(K2CostCategories[Owner],5)</f>
        <v>Shutdown Manager</v>
      </c>
      <c r="K208" s="163"/>
      <c r="L208" s="159" t="s">
        <v>2917</v>
      </c>
      <c r="M208" s="160">
        <f ca="1">IF(K2ActualCompleteness[[#This Row],[Status]]="MISSING",MAX(0,24*(NOW()-(K2ActualCompleteness[[#This Row],[Date]]+K2_DailyCloseTime))),0)</f>
        <v>0</v>
      </c>
      <c r="N208" s="159" t="s">
        <v>2276</v>
      </c>
    </row>
    <row r="209" spans="1:14" ht="14.4">
      <c r="A209" s="164">
        <f>INDEX(DailyTrackingTable[Date],26)</f>
        <v>46240</v>
      </c>
      <c r="B209" s="159" t="str">
        <f>INDEX(K2CostCategories[Cost Category ID],6)</f>
        <v>ACCOM</v>
      </c>
      <c r="C209" s="159" t="str">
        <f>INDEX(K2CostCategories[Display Name],6)</f>
        <v>Accommodation</v>
      </c>
      <c r="D209" s="159" t="str">
        <f>INDEX(K2CostCategories[Actual Header],6)</f>
        <v>Accommodation Actual</v>
      </c>
      <c r="E209" s="159" t="str">
        <f>INDEX(K2CostCategories[Actual Mode],6)</f>
        <v>MANUAL</v>
      </c>
      <c r="F209" s="161"/>
      <c r="G209" s="159" t="str">
        <f ca="1">IF(K2ActualCompleteness[[#This Row],[Date]]&gt;K2_ControlAsOfDate,"NOT DUE",IF(AND(K2ActualCompleteness[[#This Row],[Date]]=K2_ControlAsOfDate,MOD(NOW(),1)&lt;K2_DailyCloseTime),"OPEN","DUE"))</f>
        <v>NOT DUE</v>
      </c>
      <c r="H209" s="159"/>
      <c r="I209" s="159"/>
      <c r="J209" s="159" t="str">
        <f>INDEX(K2CostCategories[Owner],6)</f>
        <v>Shutdown Manager</v>
      </c>
      <c r="K209" s="163"/>
      <c r="L209" s="159" t="s">
        <v>2917</v>
      </c>
      <c r="M209" s="160">
        <f ca="1">IF(K2ActualCompleteness[[#This Row],[Status]]="MISSING",MAX(0,24*(NOW()-(K2ActualCompleteness[[#This Row],[Date]]+K2_DailyCloseTime))),0)</f>
        <v>0</v>
      </c>
      <c r="N209" s="159" t="s">
        <v>2276</v>
      </c>
    </row>
    <row r="210" spans="1:14" ht="14.4">
      <c r="A210" s="164">
        <f>INDEX(DailyTrackingTable[Date],26)</f>
        <v>46240</v>
      </c>
      <c r="B210" s="159" t="str">
        <f>INDEX(K2CostCategories[Cost Category ID],7)</f>
        <v>TRANSPORT</v>
      </c>
      <c r="C210" s="159" t="str">
        <f>INDEX(K2CostCategories[Display Name],7)</f>
        <v>Transport</v>
      </c>
      <c r="D210" s="159" t="str">
        <f>INDEX(K2CostCategories[Actual Header],7)</f>
        <v>Transport Actual</v>
      </c>
      <c r="E210" s="159" t="str">
        <f>INDEX(K2CostCategories[Actual Mode],7)</f>
        <v>MANUAL</v>
      </c>
      <c r="F210" s="161"/>
      <c r="G210" s="159" t="str">
        <f ca="1">IF(K2ActualCompleteness[[#This Row],[Date]]&gt;K2_ControlAsOfDate,"NOT DUE",IF(AND(K2ActualCompleteness[[#This Row],[Date]]=K2_ControlAsOfDate,MOD(NOW(),1)&lt;K2_DailyCloseTime),"OPEN","DUE"))</f>
        <v>NOT DUE</v>
      </c>
      <c r="H210" s="159"/>
      <c r="I210" s="159"/>
      <c r="J210" s="159" t="str">
        <f>INDEX(K2CostCategories[Owner],7)</f>
        <v>Commercial Manager</v>
      </c>
      <c r="K210" s="163"/>
      <c r="L210" s="159" t="s">
        <v>2917</v>
      </c>
      <c r="M210" s="160">
        <f ca="1">IF(K2ActualCompleteness[[#This Row],[Status]]="MISSING",MAX(0,24*(NOW()-(K2ActualCompleteness[[#This Row],[Date]]+K2_DailyCloseTime))),0)</f>
        <v>0</v>
      </c>
      <c r="N210" s="159" t="s">
        <v>2276</v>
      </c>
    </row>
    <row r="211" spans="1:14" ht="14.4">
      <c r="A211" s="164">
        <f>INDEX(DailyTrackingTable[Date],26)</f>
        <v>46240</v>
      </c>
      <c r="B211" s="159" t="str">
        <f>INDEX(K2CostCategories[Cost Category ID],8)</f>
        <v>DAMAGE</v>
      </c>
      <c r="C211" s="159" t="str">
        <f>INDEX(K2CostCategories[Display Name],8)</f>
        <v>Damage Recovery</v>
      </c>
      <c r="D211" s="159" t="str">
        <f>INDEX(K2CostCategories[Actual Header],8)</f>
        <v>Damage Recovery Actual</v>
      </c>
      <c r="E211" s="159" t="str">
        <f>INDEX(K2CostCategories[Actual Mode],8)</f>
        <v>MANUAL</v>
      </c>
      <c r="F211" s="161"/>
      <c r="G211" s="159" t="str">
        <f ca="1">IF(K2ActualCompleteness[[#This Row],[Date]]&gt;K2_ControlAsOfDate,"NOT DUE",IF(AND(K2ActualCompleteness[[#This Row],[Date]]=K2_ControlAsOfDate,MOD(NOW(),1)&lt;K2_DailyCloseTime),"OPEN","DUE"))</f>
        <v>NOT DUE</v>
      </c>
      <c r="H211" s="159"/>
      <c r="I211" s="159"/>
      <c r="J211" s="159" t="str">
        <f>INDEX(K2CostCategories[Owner],8)</f>
        <v>Commercial Manager</v>
      </c>
      <c r="K211" s="163"/>
      <c r="L211" s="159" t="s">
        <v>2917</v>
      </c>
      <c r="M211" s="160">
        <f ca="1">IF(K2ActualCompleteness[[#This Row],[Status]]="MISSING",MAX(0,24*(NOW()-(K2ActualCompleteness[[#This Row],[Date]]+K2_DailyCloseTime))),0)</f>
        <v>0</v>
      </c>
      <c r="N211" s="159" t="s">
        <v>2276</v>
      </c>
    </row>
    <row r="212" spans="1:14" ht="14.4">
      <c r="A212" s="164">
        <f>INDEX(DailyTrackingTable[Date],27)</f>
        <v>46241</v>
      </c>
      <c r="B212" s="159" t="str">
        <f>INDEX(K2CostCategories[Cost Category ID],1)</f>
        <v>PLANT</v>
      </c>
      <c r="C212" s="159" t="str">
        <f>INDEX(K2CostCategories[Display Name],1)</f>
        <v>Plant Equipment</v>
      </c>
      <c r="D212" s="159" t="str">
        <f>INDEX(K2CostCategories[Actual Header],1)</f>
        <v>Plant Equipment Hire Actual</v>
      </c>
      <c r="E212" s="159" t="str">
        <f>INDEX(K2CostCategories[Actual Mode],1)</f>
        <v>AUTO</v>
      </c>
      <c r="F212" s="161"/>
      <c r="G212" s="159" t="str">
        <f ca="1">IF(K2ActualCompleteness[[#This Row],[Date]]&gt;K2_ControlAsOfDate,"NOT DUE",IF(AND(K2ActualCompleteness[[#This Row],[Date]]=K2_ControlAsOfDate,MOD(NOW(),1)&lt;K2_DailyCloseTime),"OPEN","DUE"))</f>
        <v>NOT DUE</v>
      </c>
      <c r="H212" s="159"/>
      <c r="I212" s="159"/>
      <c r="J212" s="159" t="str">
        <f>INDEX(K2CostCategories[Owner],1)</f>
        <v>Plant Coordinator</v>
      </c>
      <c r="K212" s="163"/>
      <c r="L212" s="159" t="s">
        <v>2917</v>
      </c>
      <c r="M212" s="160">
        <f ca="1">IF(K2ActualCompleteness[[#This Row],[Status]]="MISSING",MAX(0,24*(NOW()-(K2ActualCompleteness[[#This Row],[Date]]+K2_DailyCloseTime))),0)</f>
        <v>0</v>
      </c>
      <c r="N212" s="159" t="s">
        <v>2276</v>
      </c>
    </row>
    <row r="213" spans="1:14" ht="14.4">
      <c r="A213" s="164">
        <f>INDEX(DailyTrackingTable[Date],27)</f>
        <v>46241</v>
      </c>
      <c r="B213" s="159" t="str">
        <f>INDEX(K2CostCategories[Cost Category ID],2)</f>
        <v>TOOLING</v>
      </c>
      <c r="C213" s="159" t="str">
        <f>INDEX(K2CostCategories[Display Name],2)</f>
        <v>Tooling Hire</v>
      </c>
      <c r="D213" s="159" t="str">
        <f>INDEX(K2CostCategories[Actual Header],2)</f>
        <v>Tooling Hire Actual</v>
      </c>
      <c r="E213" s="159" t="str">
        <f>INDEX(K2CostCategories[Actual Mode],2)</f>
        <v>AUTO</v>
      </c>
      <c r="F213" s="161"/>
      <c r="G213" s="159" t="str">
        <f ca="1">IF(K2ActualCompleteness[[#This Row],[Date]]&gt;K2_ControlAsOfDate,"NOT DUE",IF(AND(K2ActualCompleteness[[#This Row],[Date]]=K2_ControlAsOfDate,MOD(NOW(),1)&lt;K2_DailyCloseTime),"OPEN","DUE"))</f>
        <v>NOT DUE</v>
      </c>
      <c r="H213" s="159"/>
      <c r="I213" s="159"/>
      <c r="J213" s="159" t="str">
        <f>INDEX(K2CostCategories[Owner],2)</f>
        <v>Toolstore Supervisor</v>
      </c>
      <c r="K213" s="163"/>
      <c r="L213" s="159" t="s">
        <v>2917</v>
      </c>
      <c r="M213" s="160">
        <f ca="1">IF(K2ActualCompleteness[[#This Row],[Status]]="MISSING",MAX(0,24*(NOW()-(K2ActualCompleteness[[#This Row],[Date]]+K2_DailyCloseTime))),0)</f>
        <v>0</v>
      </c>
      <c r="N213" s="159" t="s">
        <v>2276</v>
      </c>
    </row>
    <row r="214" spans="1:14" ht="14.4">
      <c r="A214" s="164">
        <f>INDEX(DailyTrackingTable[Date],27)</f>
        <v>46241</v>
      </c>
      <c r="B214" s="159" t="str">
        <f>INDEX(K2CostCategories[Cost Category ID],3)</f>
        <v>RADIO</v>
      </c>
      <c r="C214" s="159" t="str">
        <f>INDEX(K2CostCategories[Display Name],3)</f>
        <v>Radio Family</v>
      </c>
      <c r="D214" s="159" t="str">
        <f>INDEX(K2CostCategories[Actual Header],3)</f>
        <v>Radio Hire Actual</v>
      </c>
      <c r="E214" s="159" t="str">
        <f>INDEX(K2CostCategories[Actual Mode],3)</f>
        <v>AUTO_COMBINED</v>
      </c>
      <c r="F214" s="161"/>
      <c r="G214" s="159" t="str">
        <f ca="1">IF(K2ActualCompleteness[[#This Row],[Date]]&gt;K2_ControlAsOfDate,"NOT DUE",IF(AND(K2ActualCompleteness[[#This Row],[Date]]=K2_ControlAsOfDate,MOD(NOW(),1)&lt;K2_DailyCloseTime),"OPEN","DUE"))</f>
        <v>NOT DUE</v>
      </c>
      <c r="H214" s="159"/>
      <c r="I214" s="159"/>
      <c r="J214" s="159" t="str">
        <f>INDEX(K2CostCategories[Owner],3)</f>
        <v>Toolstore Supervisor</v>
      </c>
      <c r="K214" s="163"/>
      <c r="L214" s="159" t="s">
        <v>2917</v>
      </c>
      <c r="M214" s="160">
        <f ca="1">IF(K2ActualCompleteness[[#This Row],[Status]]="MISSING",MAX(0,24*(NOW()-(K2ActualCompleteness[[#This Row],[Date]]+K2_DailyCloseTime))),0)</f>
        <v>0</v>
      </c>
      <c r="N214" s="159" t="s">
        <v>2276</v>
      </c>
    </row>
    <row r="215" spans="1:14" ht="14.4">
      <c r="A215" s="164">
        <f>INDEX(DailyTrackingTable[Date],27)</f>
        <v>46241</v>
      </c>
      <c r="B215" s="159" t="str">
        <f>INDEX(K2CostCategories[Cost Category ID],4)</f>
        <v>GAS</v>
      </c>
      <c r="C215" s="159" t="str">
        <f>INDEX(K2CostCategories[Display Name],4)</f>
        <v>Gas Monitors</v>
      </c>
      <c r="D215" s="159" t="str">
        <f>INDEX(K2CostCategories[Actual Header],4)</f>
        <v>Gas Monitor Hire Actual</v>
      </c>
      <c r="E215" s="159" t="str">
        <f>INDEX(K2CostCategories[Actual Mode],4)</f>
        <v>AUTO</v>
      </c>
      <c r="F215" s="161"/>
      <c r="G215" s="159" t="str">
        <f ca="1">IF(K2ActualCompleteness[[#This Row],[Date]]&gt;K2_ControlAsOfDate,"NOT DUE",IF(AND(K2ActualCompleteness[[#This Row],[Date]]=K2_ControlAsOfDate,MOD(NOW(),1)&lt;K2_DailyCloseTime),"OPEN","DUE"))</f>
        <v>NOT DUE</v>
      </c>
      <c r="H215" s="159"/>
      <c r="I215" s="159"/>
      <c r="J215" s="159" t="str">
        <f>INDEX(K2CostCategories[Owner],4)</f>
        <v>Toolstore Supervisor</v>
      </c>
      <c r="K215" s="163"/>
      <c r="L215" s="159" t="s">
        <v>2917</v>
      </c>
      <c r="M215" s="160">
        <f ca="1">IF(K2ActualCompleteness[[#This Row],[Status]]="MISSING",MAX(0,24*(NOW()-(K2ActualCompleteness[[#This Row],[Date]]+K2_DailyCloseTime))),0)</f>
        <v>0</v>
      </c>
      <c r="N215" s="159" t="s">
        <v>2276</v>
      </c>
    </row>
    <row r="216" spans="1:14" ht="14.4">
      <c r="A216" s="164">
        <f>INDEX(DailyTrackingTable[Date],27)</f>
        <v>46241</v>
      </c>
      <c r="B216" s="159" t="str">
        <f>INDEX(K2CostCategories[Cost Category ID],5)</f>
        <v>LABOUR</v>
      </c>
      <c r="C216" s="159" t="str">
        <f>INDEX(K2CostCategories[Display Name],5)</f>
        <v>Personnel / Labour</v>
      </c>
      <c r="D216" s="159" t="str">
        <f>INDEX(K2CostCategories[Actual Header],5)</f>
        <v>Personnel / Labour Actual</v>
      </c>
      <c r="E216" s="159" t="str">
        <f>INDEX(K2CostCategories[Actual Mode],5)</f>
        <v>MANUAL</v>
      </c>
      <c r="F216" s="161"/>
      <c r="G216" s="159" t="str">
        <f ca="1">IF(K2ActualCompleteness[[#This Row],[Date]]&gt;K2_ControlAsOfDate,"NOT DUE",IF(AND(K2ActualCompleteness[[#This Row],[Date]]=K2_ControlAsOfDate,MOD(NOW(),1)&lt;K2_DailyCloseTime),"OPEN","DUE"))</f>
        <v>NOT DUE</v>
      </c>
      <c r="H216" s="159"/>
      <c r="I216" s="159"/>
      <c r="J216" s="159" t="str">
        <f>INDEX(K2CostCategories[Owner],5)</f>
        <v>Shutdown Manager</v>
      </c>
      <c r="K216" s="163"/>
      <c r="L216" s="159" t="s">
        <v>2917</v>
      </c>
      <c r="M216" s="160">
        <f ca="1">IF(K2ActualCompleteness[[#This Row],[Status]]="MISSING",MAX(0,24*(NOW()-(K2ActualCompleteness[[#This Row],[Date]]+K2_DailyCloseTime))),0)</f>
        <v>0</v>
      </c>
      <c r="N216" s="159" t="s">
        <v>2276</v>
      </c>
    </row>
    <row r="217" spans="1:14" ht="14.4">
      <c r="A217" s="164">
        <f>INDEX(DailyTrackingTable[Date],27)</f>
        <v>46241</v>
      </c>
      <c r="B217" s="159" t="str">
        <f>INDEX(K2CostCategories[Cost Category ID],6)</f>
        <v>ACCOM</v>
      </c>
      <c r="C217" s="159" t="str">
        <f>INDEX(K2CostCategories[Display Name],6)</f>
        <v>Accommodation</v>
      </c>
      <c r="D217" s="159" t="str">
        <f>INDEX(K2CostCategories[Actual Header],6)</f>
        <v>Accommodation Actual</v>
      </c>
      <c r="E217" s="159" t="str">
        <f>INDEX(K2CostCategories[Actual Mode],6)</f>
        <v>MANUAL</v>
      </c>
      <c r="F217" s="161"/>
      <c r="G217" s="159" t="str">
        <f ca="1">IF(K2ActualCompleteness[[#This Row],[Date]]&gt;K2_ControlAsOfDate,"NOT DUE",IF(AND(K2ActualCompleteness[[#This Row],[Date]]=K2_ControlAsOfDate,MOD(NOW(),1)&lt;K2_DailyCloseTime),"OPEN","DUE"))</f>
        <v>NOT DUE</v>
      </c>
      <c r="H217" s="159"/>
      <c r="I217" s="159"/>
      <c r="J217" s="159" t="str">
        <f>INDEX(K2CostCategories[Owner],6)</f>
        <v>Shutdown Manager</v>
      </c>
      <c r="K217" s="163"/>
      <c r="L217" s="159" t="s">
        <v>2917</v>
      </c>
      <c r="M217" s="160">
        <f ca="1">IF(K2ActualCompleteness[[#This Row],[Status]]="MISSING",MAX(0,24*(NOW()-(K2ActualCompleteness[[#This Row],[Date]]+K2_DailyCloseTime))),0)</f>
        <v>0</v>
      </c>
      <c r="N217" s="159" t="s">
        <v>2276</v>
      </c>
    </row>
    <row r="218" spans="1:14" ht="14.4">
      <c r="A218" s="164">
        <f>INDEX(DailyTrackingTable[Date],27)</f>
        <v>46241</v>
      </c>
      <c r="B218" s="159" t="str">
        <f>INDEX(K2CostCategories[Cost Category ID],7)</f>
        <v>TRANSPORT</v>
      </c>
      <c r="C218" s="159" t="str">
        <f>INDEX(K2CostCategories[Display Name],7)</f>
        <v>Transport</v>
      </c>
      <c r="D218" s="159" t="str">
        <f>INDEX(K2CostCategories[Actual Header],7)</f>
        <v>Transport Actual</v>
      </c>
      <c r="E218" s="159" t="str">
        <f>INDEX(K2CostCategories[Actual Mode],7)</f>
        <v>MANUAL</v>
      </c>
      <c r="F218" s="161"/>
      <c r="G218" s="159" t="str">
        <f ca="1">IF(K2ActualCompleteness[[#This Row],[Date]]&gt;K2_ControlAsOfDate,"NOT DUE",IF(AND(K2ActualCompleteness[[#This Row],[Date]]=K2_ControlAsOfDate,MOD(NOW(),1)&lt;K2_DailyCloseTime),"OPEN","DUE"))</f>
        <v>NOT DUE</v>
      </c>
      <c r="H218" s="159"/>
      <c r="I218" s="159"/>
      <c r="J218" s="159" t="str">
        <f>INDEX(K2CostCategories[Owner],7)</f>
        <v>Commercial Manager</v>
      </c>
      <c r="K218" s="163"/>
      <c r="L218" s="159" t="s">
        <v>2917</v>
      </c>
      <c r="M218" s="160">
        <f ca="1">IF(K2ActualCompleteness[[#This Row],[Status]]="MISSING",MAX(0,24*(NOW()-(K2ActualCompleteness[[#This Row],[Date]]+K2_DailyCloseTime))),0)</f>
        <v>0</v>
      </c>
      <c r="N218" s="159" t="s">
        <v>2276</v>
      </c>
    </row>
    <row r="219" spans="1:14" ht="14.4">
      <c r="A219" s="164">
        <f>INDEX(DailyTrackingTable[Date],27)</f>
        <v>46241</v>
      </c>
      <c r="B219" s="159" t="str">
        <f>INDEX(K2CostCategories[Cost Category ID],8)</f>
        <v>DAMAGE</v>
      </c>
      <c r="C219" s="159" t="str">
        <f>INDEX(K2CostCategories[Display Name],8)</f>
        <v>Damage Recovery</v>
      </c>
      <c r="D219" s="159" t="str">
        <f>INDEX(K2CostCategories[Actual Header],8)</f>
        <v>Damage Recovery Actual</v>
      </c>
      <c r="E219" s="159" t="str">
        <f>INDEX(K2CostCategories[Actual Mode],8)</f>
        <v>MANUAL</v>
      </c>
      <c r="F219" s="161"/>
      <c r="G219" s="159" t="str">
        <f ca="1">IF(K2ActualCompleteness[[#This Row],[Date]]&gt;K2_ControlAsOfDate,"NOT DUE",IF(AND(K2ActualCompleteness[[#This Row],[Date]]=K2_ControlAsOfDate,MOD(NOW(),1)&lt;K2_DailyCloseTime),"OPEN","DUE"))</f>
        <v>NOT DUE</v>
      </c>
      <c r="H219" s="159"/>
      <c r="I219" s="159"/>
      <c r="J219" s="159" t="str">
        <f>INDEX(K2CostCategories[Owner],8)</f>
        <v>Commercial Manager</v>
      </c>
      <c r="K219" s="163"/>
      <c r="L219" s="159" t="s">
        <v>2917</v>
      </c>
      <c r="M219" s="160">
        <f ca="1">IF(K2ActualCompleteness[[#This Row],[Status]]="MISSING",MAX(0,24*(NOW()-(K2ActualCompleteness[[#This Row],[Date]]+K2_DailyCloseTime))),0)</f>
        <v>0</v>
      </c>
      <c r="N219" s="159" t="s">
        <v>2276</v>
      </c>
    </row>
    <row r="220" spans="1:14" ht="14.4">
      <c r="A220" s="164">
        <f>INDEX(DailyTrackingTable[Date],28)</f>
        <v>46242</v>
      </c>
      <c r="B220" s="159" t="str">
        <f>INDEX(K2CostCategories[Cost Category ID],1)</f>
        <v>PLANT</v>
      </c>
      <c r="C220" s="159" t="str">
        <f>INDEX(K2CostCategories[Display Name],1)</f>
        <v>Plant Equipment</v>
      </c>
      <c r="D220" s="159" t="str">
        <f>INDEX(K2CostCategories[Actual Header],1)</f>
        <v>Plant Equipment Hire Actual</v>
      </c>
      <c r="E220" s="159" t="str">
        <f>INDEX(K2CostCategories[Actual Mode],1)</f>
        <v>AUTO</v>
      </c>
      <c r="F220" s="161"/>
      <c r="G220" s="159" t="str">
        <f ca="1">IF(K2ActualCompleteness[[#This Row],[Date]]&gt;K2_ControlAsOfDate,"NOT DUE",IF(AND(K2ActualCompleteness[[#This Row],[Date]]=K2_ControlAsOfDate,MOD(NOW(),1)&lt;K2_DailyCloseTime),"OPEN","DUE"))</f>
        <v>NOT DUE</v>
      </c>
      <c r="H220" s="159"/>
      <c r="I220" s="159"/>
      <c r="J220" s="159" t="str">
        <f>INDEX(K2CostCategories[Owner],1)</f>
        <v>Plant Coordinator</v>
      </c>
      <c r="K220" s="163"/>
      <c r="L220" s="159" t="s">
        <v>2917</v>
      </c>
      <c r="M220" s="160">
        <f ca="1">IF(K2ActualCompleteness[[#This Row],[Status]]="MISSING",MAX(0,24*(NOW()-(K2ActualCompleteness[[#This Row],[Date]]+K2_DailyCloseTime))),0)</f>
        <v>0</v>
      </c>
      <c r="N220" s="159" t="s">
        <v>2276</v>
      </c>
    </row>
    <row r="221" spans="1:14" ht="14.4">
      <c r="A221" s="164">
        <f>INDEX(DailyTrackingTable[Date],28)</f>
        <v>46242</v>
      </c>
      <c r="B221" s="159" t="str">
        <f>INDEX(K2CostCategories[Cost Category ID],2)</f>
        <v>TOOLING</v>
      </c>
      <c r="C221" s="159" t="str">
        <f>INDEX(K2CostCategories[Display Name],2)</f>
        <v>Tooling Hire</v>
      </c>
      <c r="D221" s="159" t="str">
        <f>INDEX(K2CostCategories[Actual Header],2)</f>
        <v>Tooling Hire Actual</v>
      </c>
      <c r="E221" s="159" t="str">
        <f>INDEX(K2CostCategories[Actual Mode],2)</f>
        <v>AUTO</v>
      </c>
      <c r="F221" s="161"/>
      <c r="G221" s="159" t="str">
        <f ca="1">IF(K2ActualCompleteness[[#This Row],[Date]]&gt;K2_ControlAsOfDate,"NOT DUE",IF(AND(K2ActualCompleteness[[#This Row],[Date]]=K2_ControlAsOfDate,MOD(NOW(),1)&lt;K2_DailyCloseTime),"OPEN","DUE"))</f>
        <v>NOT DUE</v>
      </c>
      <c r="H221" s="159"/>
      <c r="I221" s="159"/>
      <c r="J221" s="159" t="str">
        <f>INDEX(K2CostCategories[Owner],2)</f>
        <v>Toolstore Supervisor</v>
      </c>
      <c r="K221" s="163"/>
      <c r="L221" s="159" t="s">
        <v>2917</v>
      </c>
      <c r="M221" s="160">
        <f ca="1">IF(K2ActualCompleteness[[#This Row],[Status]]="MISSING",MAX(0,24*(NOW()-(K2ActualCompleteness[[#This Row],[Date]]+K2_DailyCloseTime))),0)</f>
        <v>0</v>
      </c>
      <c r="N221" s="159" t="s">
        <v>2276</v>
      </c>
    </row>
    <row r="222" spans="1:14" ht="14.4">
      <c r="A222" s="164">
        <f>INDEX(DailyTrackingTable[Date],28)</f>
        <v>46242</v>
      </c>
      <c r="B222" s="159" t="str">
        <f>INDEX(K2CostCategories[Cost Category ID],3)</f>
        <v>RADIO</v>
      </c>
      <c r="C222" s="159" t="str">
        <f>INDEX(K2CostCategories[Display Name],3)</f>
        <v>Radio Family</v>
      </c>
      <c r="D222" s="159" t="str">
        <f>INDEX(K2CostCategories[Actual Header],3)</f>
        <v>Radio Hire Actual</v>
      </c>
      <c r="E222" s="159" t="str">
        <f>INDEX(K2CostCategories[Actual Mode],3)</f>
        <v>AUTO_COMBINED</v>
      </c>
      <c r="F222" s="161"/>
      <c r="G222" s="159" t="str">
        <f ca="1">IF(K2ActualCompleteness[[#This Row],[Date]]&gt;K2_ControlAsOfDate,"NOT DUE",IF(AND(K2ActualCompleteness[[#This Row],[Date]]=K2_ControlAsOfDate,MOD(NOW(),1)&lt;K2_DailyCloseTime),"OPEN","DUE"))</f>
        <v>NOT DUE</v>
      </c>
      <c r="H222" s="159"/>
      <c r="I222" s="159"/>
      <c r="J222" s="159" t="str">
        <f>INDEX(K2CostCategories[Owner],3)</f>
        <v>Toolstore Supervisor</v>
      </c>
      <c r="K222" s="163"/>
      <c r="L222" s="159" t="s">
        <v>2917</v>
      </c>
      <c r="M222" s="160">
        <f ca="1">IF(K2ActualCompleteness[[#This Row],[Status]]="MISSING",MAX(0,24*(NOW()-(K2ActualCompleteness[[#This Row],[Date]]+K2_DailyCloseTime))),0)</f>
        <v>0</v>
      </c>
      <c r="N222" s="159" t="s">
        <v>2276</v>
      </c>
    </row>
    <row r="223" spans="1:14" ht="14.4">
      <c r="A223" s="164">
        <f>INDEX(DailyTrackingTable[Date],28)</f>
        <v>46242</v>
      </c>
      <c r="B223" s="159" t="str">
        <f>INDEX(K2CostCategories[Cost Category ID],4)</f>
        <v>GAS</v>
      </c>
      <c r="C223" s="159" t="str">
        <f>INDEX(K2CostCategories[Display Name],4)</f>
        <v>Gas Monitors</v>
      </c>
      <c r="D223" s="159" t="str">
        <f>INDEX(K2CostCategories[Actual Header],4)</f>
        <v>Gas Monitor Hire Actual</v>
      </c>
      <c r="E223" s="159" t="str">
        <f>INDEX(K2CostCategories[Actual Mode],4)</f>
        <v>AUTO</v>
      </c>
      <c r="F223" s="161"/>
      <c r="G223" s="159" t="str">
        <f ca="1">IF(K2ActualCompleteness[[#This Row],[Date]]&gt;K2_ControlAsOfDate,"NOT DUE",IF(AND(K2ActualCompleteness[[#This Row],[Date]]=K2_ControlAsOfDate,MOD(NOW(),1)&lt;K2_DailyCloseTime),"OPEN","DUE"))</f>
        <v>NOT DUE</v>
      </c>
      <c r="H223" s="159"/>
      <c r="I223" s="159"/>
      <c r="J223" s="159" t="str">
        <f>INDEX(K2CostCategories[Owner],4)</f>
        <v>Toolstore Supervisor</v>
      </c>
      <c r="K223" s="163"/>
      <c r="L223" s="159" t="s">
        <v>2917</v>
      </c>
      <c r="M223" s="160">
        <f ca="1">IF(K2ActualCompleteness[[#This Row],[Status]]="MISSING",MAX(0,24*(NOW()-(K2ActualCompleteness[[#This Row],[Date]]+K2_DailyCloseTime))),0)</f>
        <v>0</v>
      </c>
      <c r="N223" s="159" t="s">
        <v>2276</v>
      </c>
    </row>
    <row r="224" spans="1:14" ht="14.4">
      <c r="A224" s="164">
        <f>INDEX(DailyTrackingTable[Date],28)</f>
        <v>46242</v>
      </c>
      <c r="B224" s="159" t="str">
        <f>INDEX(K2CostCategories[Cost Category ID],5)</f>
        <v>LABOUR</v>
      </c>
      <c r="C224" s="159" t="str">
        <f>INDEX(K2CostCategories[Display Name],5)</f>
        <v>Personnel / Labour</v>
      </c>
      <c r="D224" s="159" t="str">
        <f>INDEX(K2CostCategories[Actual Header],5)</f>
        <v>Personnel / Labour Actual</v>
      </c>
      <c r="E224" s="159" t="str">
        <f>INDEX(K2CostCategories[Actual Mode],5)</f>
        <v>MANUAL</v>
      </c>
      <c r="F224" s="161"/>
      <c r="G224" s="159" t="str">
        <f ca="1">IF(K2ActualCompleteness[[#This Row],[Date]]&gt;K2_ControlAsOfDate,"NOT DUE",IF(AND(K2ActualCompleteness[[#This Row],[Date]]=K2_ControlAsOfDate,MOD(NOW(),1)&lt;K2_DailyCloseTime),"OPEN","DUE"))</f>
        <v>NOT DUE</v>
      </c>
      <c r="H224" s="159"/>
      <c r="I224" s="159"/>
      <c r="J224" s="159" t="str">
        <f>INDEX(K2CostCategories[Owner],5)</f>
        <v>Shutdown Manager</v>
      </c>
      <c r="K224" s="163"/>
      <c r="L224" s="159" t="s">
        <v>2917</v>
      </c>
      <c r="M224" s="160">
        <f ca="1">IF(K2ActualCompleteness[[#This Row],[Status]]="MISSING",MAX(0,24*(NOW()-(K2ActualCompleteness[[#This Row],[Date]]+K2_DailyCloseTime))),0)</f>
        <v>0</v>
      </c>
      <c r="N224" s="159" t="s">
        <v>2276</v>
      </c>
    </row>
    <row r="225" spans="1:14" ht="14.4">
      <c r="A225" s="164">
        <f>INDEX(DailyTrackingTable[Date],28)</f>
        <v>46242</v>
      </c>
      <c r="B225" s="159" t="str">
        <f>INDEX(K2CostCategories[Cost Category ID],6)</f>
        <v>ACCOM</v>
      </c>
      <c r="C225" s="159" t="str">
        <f>INDEX(K2CostCategories[Display Name],6)</f>
        <v>Accommodation</v>
      </c>
      <c r="D225" s="159" t="str">
        <f>INDEX(K2CostCategories[Actual Header],6)</f>
        <v>Accommodation Actual</v>
      </c>
      <c r="E225" s="159" t="str">
        <f>INDEX(K2CostCategories[Actual Mode],6)</f>
        <v>MANUAL</v>
      </c>
      <c r="F225" s="161"/>
      <c r="G225" s="159" t="str">
        <f ca="1">IF(K2ActualCompleteness[[#This Row],[Date]]&gt;K2_ControlAsOfDate,"NOT DUE",IF(AND(K2ActualCompleteness[[#This Row],[Date]]=K2_ControlAsOfDate,MOD(NOW(),1)&lt;K2_DailyCloseTime),"OPEN","DUE"))</f>
        <v>NOT DUE</v>
      </c>
      <c r="H225" s="159"/>
      <c r="I225" s="159"/>
      <c r="J225" s="159" t="str">
        <f>INDEX(K2CostCategories[Owner],6)</f>
        <v>Shutdown Manager</v>
      </c>
      <c r="K225" s="163"/>
      <c r="L225" s="159" t="s">
        <v>2917</v>
      </c>
      <c r="M225" s="160">
        <f ca="1">IF(K2ActualCompleteness[[#This Row],[Status]]="MISSING",MAX(0,24*(NOW()-(K2ActualCompleteness[[#This Row],[Date]]+K2_DailyCloseTime))),0)</f>
        <v>0</v>
      </c>
      <c r="N225" s="159" t="s">
        <v>2276</v>
      </c>
    </row>
    <row r="226" spans="1:14" ht="14.4">
      <c r="A226" s="164">
        <f>INDEX(DailyTrackingTable[Date],28)</f>
        <v>46242</v>
      </c>
      <c r="B226" s="159" t="str">
        <f>INDEX(K2CostCategories[Cost Category ID],7)</f>
        <v>TRANSPORT</v>
      </c>
      <c r="C226" s="159" t="str">
        <f>INDEX(K2CostCategories[Display Name],7)</f>
        <v>Transport</v>
      </c>
      <c r="D226" s="159" t="str">
        <f>INDEX(K2CostCategories[Actual Header],7)</f>
        <v>Transport Actual</v>
      </c>
      <c r="E226" s="159" t="str">
        <f>INDEX(K2CostCategories[Actual Mode],7)</f>
        <v>MANUAL</v>
      </c>
      <c r="F226" s="161"/>
      <c r="G226" s="159" t="str">
        <f ca="1">IF(K2ActualCompleteness[[#This Row],[Date]]&gt;K2_ControlAsOfDate,"NOT DUE",IF(AND(K2ActualCompleteness[[#This Row],[Date]]=K2_ControlAsOfDate,MOD(NOW(),1)&lt;K2_DailyCloseTime),"OPEN","DUE"))</f>
        <v>NOT DUE</v>
      </c>
      <c r="H226" s="159"/>
      <c r="I226" s="159"/>
      <c r="J226" s="159" t="str">
        <f>INDEX(K2CostCategories[Owner],7)</f>
        <v>Commercial Manager</v>
      </c>
      <c r="K226" s="163"/>
      <c r="L226" s="159" t="s">
        <v>2917</v>
      </c>
      <c r="M226" s="160">
        <f ca="1">IF(K2ActualCompleteness[[#This Row],[Status]]="MISSING",MAX(0,24*(NOW()-(K2ActualCompleteness[[#This Row],[Date]]+K2_DailyCloseTime))),0)</f>
        <v>0</v>
      </c>
      <c r="N226" s="159" t="s">
        <v>2276</v>
      </c>
    </row>
    <row r="227" spans="1:14" ht="14.4">
      <c r="A227" s="164">
        <f>INDEX(DailyTrackingTable[Date],28)</f>
        <v>46242</v>
      </c>
      <c r="B227" s="159" t="str">
        <f>INDEX(K2CostCategories[Cost Category ID],8)</f>
        <v>DAMAGE</v>
      </c>
      <c r="C227" s="159" t="str">
        <f>INDEX(K2CostCategories[Display Name],8)</f>
        <v>Damage Recovery</v>
      </c>
      <c r="D227" s="159" t="str">
        <f>INDEX(K2CostCategories[Actual Header],8)</f>
        <v>Damage Recovery Actual</v>
      </c>
      <c r="E227" s="159" t="str">
        <f>INDEX(K2CostCategories[Actual Mode],8)</f>
        <v>MANUAL</v>
      </c>
      <c r="F227" s="161"/>
      <c r="G227" s="159" t="str">
        <f ca="1">IF(K2ActualCompleteness[[#This Row],[Date]]&gt;K2_ControlAsOfDate,"NOT DUE",IF(AND(K2ActualCompleteness[[#This Row],[Date]]=K2_ControlAsOfDate,MOD(NOW(),1)&lt;K2_DailyCloseTime),"OPEN","DUE"))</f>
        <v>NOT DUE</v>
      </c>
      <c r="H227" s="159"/>
      <c r="I227" s="159"/>
      <c r="J227" s="159" t="str">
        <f>INDEX(K2CostCategories[Owner],8)</f>
        <v>Commercial Manager</v>
      </c>
      <c r="K227" s="163"/>
      <c r="L227" s="159" t="s">
        <v>2917</v>
      </c>
      <c r="M227" s="160">
        <f ca="1">IF(K2ActualCompleteness[[#This Row],[Status]]="MISSING",MAX(0,24*(NOW()-(K2ActualCompleteness[[#This Row],[Date]]+K2_DailyCloseTime))),0)</f>
        <v>0</v>
      </c>
      <c r="N227" s="159" t="s">
        <v>2276</v>
      </c>
    </row>
    <row r="228" spans="1:14" ht="14.4">
      <c r="A228" s="164">
        <f>INDEX(DailyTrackingTable[Date],29)</f>
        <v>46243</v>
      </c>
      <c r="B228" s="159" t="str">
        <f>INDEX(K2CostCategories[Cost Category ID],1)</f>
        <v>PLANT</v>
      </c>
      <c r="C228" s="159" t="str">
        <f>INDEX(K2CostCategories[Display Name],1)</f>
        <v>Plant Equipment</v>
      </c>
      <c r="D228" s="159" t="str">
        <f>INDEX(K2CostCategories[Actual Header],1)</f>
        <v>Plant Equipment Hire Actual</v>
      </c>
      <c r="E228" s="159" t="str">
        <f>INDEX(K2CostCategories[Actual Mode],1)</f>
        <v>AUTO</v>
      </c>
      <c r="F228" s="161"/>
      <c r="G228" s="159" t="str">
        <f ca="1">IF(K2ActualCompleteness[[#This Row],[Date]]&gt;K2_ControlAsOfDate,"NOT DUE",IF(AND(K2ActualCompleteness[[#This Row],[Date]]=K2_ControlAsOfDate,MOD(NOW(),1)&lt;K2_DailyCloseTime),"OPEN","DUE"))</f>
        <v>NOT DUE</v>
      </c>
      <c r="H228" s="159"/>
      <c r="I228" s="159"/>
      <c r="J228" s="159" t="str">
        <f>INDEX(K2CostCategories[Owner],1)</f>
        <v>Plant Coordinator</v>
      </c>
      <c r="K228" s="163"/>
      <c r="L228" s="159" t="s">
        <v>2917</v>
      </c>
      <c r="M228" s="160">
        <f ca="1">IF(K2ActualCompleteness[[#This Row],[Status]]="MISSING",MAX(0,24*(NOW()-(K2ActualCompleteness[[#This Row],[Date]]+K2_DailyCloseTime))),0)</f>
        <v>0</v>
      </c>
      <c r="N228" s="159" t="s">
        <v>2276</v>
      </c>
    </row>
    <row r="229" spans="1:14" ht="14.4">
      <c r="A229" s="164">
        <f>INDEX(DailyTrackingTable[Date],29)</f>
        <v>46243</v>
      </c>
      <c r="B229" s="159" t="str">
        <f>INDEX(K2CostCategories[Cost Category ID],2)</f>
        <v>TOOLING</v>
      </c>
      <c r="C229" s="159" t="str">
        <f>INDEX(K2CostCategories[Display Name],2)</f>
        <v>Tooling Hire</v>
      </c>
      <c r="D229" s="159" t="str">
        <f>INDEX(K2CostCategories[Actual Header],2)</f>
        <v>Tooling Hire Actual</v>
      </c>
      <c r="E229" s="159" t="str">
        <f>INDEX(K2CostCategories[Actual Mode],2)</f>
        <v>AUTO</v>
      </c>
      <c r="F229" s="161"/>
      <c r="G229" s="159" t="str">
        <f ca="1">IF(K2ActualCompleteness[[#This Row],[Date]]&gt;K2_ControlAsOfDate,"NOT DUE",IF(AND(K2ActualCompleteness[[#This Row],[Date]]=K2_ControlAsOfDate,MOD(NOW(),1)&lt;K2_DailyCloseTime),"OPEN","DUE"))</f>
        <v>NOT DUE</v>
      </c>
      <c r="H229" s="159"/>
      <c r="I229" s="159"/>
      <c r="J229" s="159" t="str">
        <f>INDEX(K2CostCategories[Owner],2)</f>
        <v>Toolstore Supervisor</v>
      </c>
      <c r="K229" s="163"/>
      <c r="L229" s="159" t="s">
        <v>2917</v>
      </c>
      <c r="M229" s="160">
        <f ca="1">IF(K2ActualCompleteness[[#This Row],[Status]]="MISSING",MAX(0,24*(NOW()-(K2ActualCompleteness[[#This Row],[Date]]+K2_DailyCloseTime))),0)</f>
        <v>0</v>
      </c>
      <c r="N229" s="159" t="s">
        <v>2276</v>
      </c>
    </row>
    <row r="230" spans="1:14" ht="14.4">
      <c r="A230" s="164">
        <f>INDEX(DailyTrackingTable[Date],29)</f>
        <v>46243</v>
      </c>
      <c r="B230" s="159" t="str">
        <f>INDEX(K2CostCategories[Cost Category ID],3)</f>
        <v>RADIO</v>
      </c>
      <c r="C230" s="159" t="str">
        <f>INDEX(K2CostCategories[Display Name],3)</f>
        <v>Radio Family</v>
      </c>
      <c r="D230" s="159" t="str">
        <f>INDEX(K2CostCategories[Actual Header],3)</f>
        <v>Radio Hire Actual</v>
      </c>
      <c r="E230" s="159" t="str">
        <f>INDEX(K2CostCategories[Actual Mode],3)</f>
        <v>AUTO_COMBINED</v>
      </c>
      <c r="F230" s="161"/>
      <c r="G230" s="159" t="str">
        <f ca="1">IF(K2ActualCompleteness[[#This Row],[Date]]&gt;K2_ControlAsOfDate,"NOT DUE",IF(AND(K2ActualCompleteness[[#This Row],[Date]]=K2_ControlAsOfDate,MOD(NOW(),1)&lt;K2_DailyCloseTime),"OPEN","DUE"))</f>
        <v>NOT DUE</v>
      </c>
      <c r="H230" s="159"/>
      <c r="I230" s="159"/>
      <c r="J230" s="159" t="str">
        <f>INDEX(K2CostCategories[Owner],3)</f>
        <v>Toolstore Supervisor</v>
      </c>
      <c r="K230" s="163"/>
      <c r="L230" s="159" t="s">
        <v>2917</v>
      </c>
      <c r="M230" s="160">
        <f ca="1">IF(K2ActualCompleteness[[#This Row],[Status]]="MISSING",MAX(0,24*(NOW()-(K2ActualCompleteness[[#This Row],[Date]]+K2_DailyCloseTime))),0)</f>
        <v>0</v>
      </c>
      <c r="N230" s="159" t="s">
        <v>2276</v>
      </c>
    </row>
    <row r="231" spans="1:14" ht="14.4">
      <c r="A231" s="164">
        <f>INDEX(DailyTrackingTable[Date],29)</f>
        <v>46243</v>
      </c>
      <c r="B231" s="159" t="str">
        <f>INDEX(K2CostCategories[Cost Category ID],4)</f>
        <v>GAS</v>
      </c>
      <c r="C231" s="159" t="str">
        <f>INDEX(K2CostCategories[Display Name],4)</f>
        <v>Gas Monitors</v>
      </c>
      <c r="D231" s="159" t="str">
        <f>INDEX(K2CostCategories[Actual Header],4)</f>
        <v>Gas Monitor Hire Actual</v>
      </c>
      <c r="E231" s="159" t="str">
        <f>INDEX(K2CostCategories[Actual Mode],4)</f>
        <v>AUTO</v>
      </c>
      <c r="F231" s="161"/>
      <c r="G231" s="159" t="str">
        <f ca="1">IF(K2ActualCompleteness[[#This Row],[Date]]&gt;K2_ControlAsOfDate,"NOT DUE",IF(AND(K2ActualCompleteness[[#This Row],[Date]]=K2_ControlAsOfDate,MOD(NOW(),1)&lt;K2_DailyCloseTime),"OPEN","DUE"))</f>
        <v>NOT DUE</v>
      </c>
      <c r="H231" s="159"/>
      <c r="I231" s="159"/>
      <c r="J231" s="159" t="str">
        <f>INDEX(K2CostCategories[Owner],4)</f>
        <v>Toolstore Supervisor</v>
      </c>
      <c r="K231" s="163"/>
      <c r="L231" s="159" t="s">
        <v>2917</v>
      </c>
      <c r="M231" s="160">
        <f ca="1">IF(K2ActualCompleteness[[#This Row],[Status]]="MISSING",MAX(0,24*(NOW()-(K2ActualCompleteness[[#This Row],[Date]]+K2_DailyCloseTime))),0)</f>
        <v>0</v>
      </c>
      <c r="N231" s="159" t="s">
        <v>2276</v>
      </c>
    </row>
    <row r="232" spans="1:14" ht="14.4">
      <c r="A232" s="164">
        <f>INDEX(DailyTrackingTable[Date],29)</f>
        <v>46243</v>
      </c>
      <c r="B232" s="159" t="str">
        <f>INDEX(K2CostCategories[Cost Category ID],5)</f>
        <v>LABOUR</v>
      </c>
      <c r="C232" s="159" t="str">
        <f>INDEX(K2CostCategories[Display Name],5)</f>
        <v>Personnel / Labour</v>
      </c>
      <c r="D232" s="159" t="str">
        <f>INDEX(K2CostCategories[Actual Header],5)</f>
        <v>Personnel / Labour Actual</v>
      </c>
      <c r="E232" s="159" t="str">
        <f>INDEX(K2CostCategories[Actual Mode],5)</f>
        <v>MANUAL</v>
      </c>
      <c r="F232" s="161"/>
      <c r="G232" s="159" t="str">
        <f ca="1">IF(K2ActualCompleteness[[#This Row],[Date]]&gt;K2_ControlAsOfDate,"NOT DUE",IF(AND(K2ActualCompleteness[[#This Row],[Date]]=K2_ControlAsOfDate,MOD(NOW(),1)&lt;K2_DailyCloseTime),"OPEN","DUE"))</f>
        <v>NOT DUE</v>
      </c>
      <c r="H232" s="159"/>
      <c r="I232" s="159"/>
      <c r="J232" s="159" t="str">
        <f>INDEX(K2CostCategories[Owner],5)</f>
        <v>Shutdown Manager</v>
      </c>
      <c r="K232" s="163"/>
      <c r="L232" s="159" t="s">
        <v>2917</v>
      </c>
      <c r="M232" s="160">
        <f ca="1">IF(K2ActualCompleteness[[#This Row],[Status]]="MISSING",MAX(0,24*(NOW()-(K2ActualCompleteness[[#This Row],[Date]]+K2_DailyCloseTime))),0)</f>
        <v>0</v>
      </c>
      <c r="N232" s="159" t="s">
        <v>2276</v>
      </c>
    </row>
    <row r="233" spans="1:14" ht="14.4">
      <c r="A233" s="164">
        <f>INDEX(DailyTrackingTable[Date],29)</f>
        <v>46243</v>
      </c>
      <c r="B233" s="159" t="str">
        <f>INDEX(K2CostCategories[Cost Category ID],6)</f>
        <v>ACCOM</v>
      </c>
      <c r="C233" s="159" t="str">
        <f>INDEX(K2CostCategories[Display Name],6)</f>
        <v>Accommodation</v>
      </c>
      <c r="D233" s="159" t="str">
        <f>INDEX(K2CostCategories[Actual Header],6)</f>
        <v>Accommodation Actual</v>
      </c>
      <c r="E233" s="159" t="str">
        <f>INDEX(K2CostCategories[Actual Mode],6)</f>
        <v>MANUAL</v>
      </c>
      <c r="F233" s="161"/>
      <c r="G233" s="159" t="str">
        <f ca="1">IF(K2ActualCompleteness[[#This Row],[Date]]&gt;K2_ControlAsOfDate,"NOT DUE",IF(AND(K2ActualCompleteness[[#This Row],[Date]]=K2_ControlAsOfDate,MOD(NOW(),1)&lt;K2_DailyCloseTime),"OPEN","DUE"))</f>
        <v>NOT DUE</v>
      </c>
      <c r="H233" s="159"/>
      <c r="I233" s="159"/>
      <c r="J233" s="159" t="str">
        <f>INDEX(K2CostCategories[Owner],6)</f>
        <v>Shutdown Manager</v>
      </c>
      <c r="K233" s="163"/>
      <c r="L233" s="159" t="s">
        <v>2917</v>
      </c>
      <c r="M233" s="160">
        <f ca="1">IF(K2ActualCompleteness[[#This Row],[Status]]="MISSING",MAX(0,24*(NOW()-(K2ActualCompleteness[[#This Row],[Date]]+K2_DailyCloseTime))),0)</f>
        <v>0</v>
      </c>
      <c r="N233" s="159" t="s">
        <v>2276</v>
      </c>
    </row>
    <row r="234" spans="1:14" ht="14.4">
      <c r="A234" s="164">
        <f>INDEX(DailyTrackingTable[Date],29)</f>
        <v>46243</v>
      </c>
      <c r="B234" s="159" t="str">
        <f>INDEX(K2CostCategories[Cost Category ID],7)</f>
        <v>TRANSPORT</v>
      </c>
      <c r="C234" s="159" t="str">
        <f>INDEX(K2CostCategories[Display Name],7)</f>
        <v>Transport</v>
      </c>
      <c r="D234" s="159" t="str">
        <f>INDEX(K2CostCategories[Actual Header],7)</f>
        <v>Transport Actual</v>
      </c>
      <c r="E234" s="159" t="str">
        <f>INDEX(K2CostCategories[Actual Mode],7)</f>
        <v>MANUAL</v>
      </c>
      <c r="F234" s="161"/>
      <c r="G234" s="159" t="str">
        <f ca="1">IF(K2ActualCompleteness[[#This Row],[Date]]&gt;K2_ControlAsOfDate,"NOT DUE",IF(AND(K2ActualCompleteness[[#This Row],[Date]]=K2_ControlAsOfDate,MOD(NOW(),1)&lt;K2_DailyCloseTime),"OPEN","DUE"))</f>
        <v>NOT DUE</v>
      </c>
      <c r="H234" s="159"/>
      <c r="I234" s="159"/>
      <c r="J234" s="159" t="str">
        <f>INDEX(K2CostCategories[Owner],7)</f>
        <v>Commercial Manager</v>
      </c>
      <c r="K234" s="163"/>
      <c r="L234" s="159" t="s">
        <v>2917</v>
      </c>
      <c r="M234" s="160">
        <f ca="1">IF(K2ActualCompleteness[[#This Row],[Status]]="MISSING",MAX(0,24*(NOW()-(K2ActualCompleteness[[#This Row],[Date]]+K2_DailyCloseTime))),0)</f>
        <v>0</v>
      </c>
      <c r="N234" s="159" t="s">
        <v>2276</v>
      </c>
    </row>
    <row r="235" spans="1:14" ht="14.4">
      <c r="A235" s="164">
        <f>INDEX(DailyTrackingTable[Date],29)</f>
        <v>46243</v>
      </c>
      <c r="B235" s="159" t="str">
        <f>INDEX(K2CostCategories[Cost Category ID],8)</f>
        <v>DAMAGE</v>
      </c>
      <c r="C235" s="159" t="str">
        <f>INDEX(K2CostCategories[Display Name],8)</f>
        <v>Damage Recovery</v>
      </c>
      <c r="D235" s="159" t="str">
        <f>INDEX(K2CostCategories[Actual Header],8)</f>
        <v>Damage Recovery Actual</v>
      </c>
      <c r="E235" s="159" t="str">
        <f>INDEX(K2CostCategories[Actual Mode],8)</f>
        <v>MANUAL</v>
      </c>
      <c r="F235" s="161"/>
      <c r="G235" s="159" t="str">
        <f ca="1">IF(K2ActualCompleteness[[#This Row],[Date]]&gt;K2_ControlAsOfDate,"NOT DUE",IF(AND(K2ActualCompleteness[[#This Row],[Date]]=K2_ControlAsOfDate,MOD(NOW(),1)&lt;K2_DailyCloseTime),"OPEN","DUE"))</f>
        <v>NOT DUE</v>
      </c>
      <c r="H235" s="159"/>
      <c r="I235" s="159"/>
      <c r="J235" s="159" t="str">
        <f>INDEX(K2CostCategories[Owner],8)</f>
        <v>Commercial Manager</v>
      </c>
      <c r="K235" s="163"/>
      <c r="L235" s="159" t="s">
        <v>2917</v>
      </c>
      <c r="M235" s="160">
        <f ca="1">IF(K2ActualCompleteness[[#This Row],[Status]]="MISSING",MAX(0,24*(NOW()-(K2ActualCompleteness[[#This Row],[Date]]+K2_DailyCloseTime))),0)</f>
        <v>0</v>
      </c>
      <c r="N235" s="159" t="s">
        <v>2276</v>
      </c>
    </row>
    <row r="236" spans="1:14" ht="14.4">
      <c r="A236" s="164">
        <f>INDEX(DailyTrackingTable[Date],30)</f>
        <v>46244</v>
      </c>
      <c r="B236" s="159" t="str">
        <f>INDEX(K2CostCategories[Cost Category ID],1)</f>
        <v>PLANT</v>
      </c>
      <c r="C236" s="159" t="str">
        <f>INDEX(K2CostCategories[Display Name],1)</f>
        <v>Plant Equipment</v>
      </c>
      <c r="D236" s="159" t="str">
        <f>INDEX(K2CostCategories[Actual Header],1)</f>
        <v>Plant Equipment Hire Actual</v>
      </c>
      <c r="E236" s="159" t="str">
        <f>INDEX(K2CostCategories[Actual Mode],1)</f>
        <v>AUTO</v>
      </c>
      <c r="F236" s="161"/>
      <c r="G236" s="159" t="str">
        <f ca="1">IF(K2ActualCompleteness[[#This Row],[Date]]&gt;K2_ControlAsOfDate,"NOT DUE",IF(AND(K2ActualCompleteness[[#This Row],[Date]]=K2_ControlAsOfDate,MOD(NOW(),1)&lt;K2_DailyCloseTime),"OPEN","DUE"))</f>
        <v>NOT DUE</v>
      </c>
      <c r="H236" s="159"/>
      <c r="I236" s="159"/>
      <c r="J236" s="159" t="str">
        <f>INDEX(K2CostCategories[Owner],1)</f>
        <v>Plant Coordinator</v>
      </c>
      <c r="K236" s="163"/>
      <c r="L236" s="159" t="s">
        <v>2917</v>
      </c>
      <c r="M236" s="160">
        <f ca="1">IF(K2ActualCompleteness[[#This Row],[Status]]="MISSING",MAX(0,24*(NOW()-(K2ActualCompleteness[[#This Row],[Date]]+K2_DailyCloseTime))),0)</f>
        <v>0</v>
      </c>
      <c r="N236" s="159" t="s">
        <v>2276</v>
      </c>
    </row>
    <row r="237" spans="1:14" ht="14.4">
      <c r="A237" s="164">
        <f>INDEX(DailyTrackingTable[Date],30)</f>
        <v>46244</v>
      </c>
      <c r="B237" s="159" t="str">
        <f>INDEX(K2CostCategories[Cost Category ID],2)</f>
        <v>TOOLING</v>
      </c>
      <c r="C237" s="159" t="str">
        <f>INDEX(K2CostCategories[Display Name],2)</f>
        <v>Tooling Hire</v>
      </c>
      <c r="D237" s="159" t="str">
        <f>INDEX(K2CostCategories[Actual Header],2)</f>
        <v>Tooling Hire Actual</v>
      </c>
      <c r="E237" s="159" t="str">
        <f>INDEX(K2CostCategories[Actual Mode],2)</f>
        <v>AUTO</v>
      </c>
      <c r="F237" s="161"/>
      <c r="G237" s="159" t="str">
        <f ca="1">IF(K2ActualCompleteness[[#This Row],[Date]]&gt;K2_ControlAsOfDate,"NOT DUE",IF(AND(K2ActualCompleteness[[#This Row],[Date]]=K2_ControlAsOfDate,MOD(NOW(),1)&lt;K2_DailyCloseTime),"OPEN","DUE"))</f>
        <v>NOT DUE</v>
      </c>
      <c r="H237" s="159"/>
      <c r="I237" s="159"/>
      <c r="J237" s="159" t="str">
        <f>INDEX(K2CostCategories[Owner],2)</f>
        <v>Toolstore Supervisor</v>
      </c>
      <c r="K237" s="163"/>
      <c r="L237" s="159" t="s">
        <v>2917</v>
      </c>
      <c r="M237" s="160">
        <f ca="1">IF(K2ActualCompleteness[[#This Row],[Status]]="MISSING",MAX(0,24*(NOW()-(K2ActualCompleteness[[#This Row],[Date]]+K2_DailyCloseTime))),0)</f>
        <v>0</v>
      </c>
      <c r="N237" s="159" t="s">
        <v>2276</v>
      </c>
    </row>
    <row r="238" spans="1:14" ht="14.4">
      <c r="A238" s="164">
        <f>INDEX(DailyTrackingTable[Date],30)</f>
        <v>46244</v>
      </c>
      <c r="B238" s="159" t="str">
        <f>INDEX(K2CostCategories[Cost Category ID],3)</f>
        <v>RADIO</v>
      </c>
      <c r="C238" s="159" t="str">
        <f>INDEX(K2CostCategories[Display Name],3)</f>
        <v>Radio Family</v>
      </c>
      <c r="D238" s="159" t="str">
        <f>INDEX(K2CostCategories[Actual Header],3)</f>
        <v>Radio Hire Actual</v>
      </c>
      <c r="E238" s="159" t="str">
        <f>INDEX(K2CostCategories[Actual Mode],3)</f>
        <v>AUTO_COMBINED</v>
      </c>
      <c r="F238" s="161"/>
      <c r="G238" s="159" t="str">
        <f ca="1">IF(K2ActualCompleteness[[#This Row],[Date]]&gt;K2_ControlAsOfDate,"NOT DUE",IF(AND(K2ActualCompleteness[[#This Row],[Date]]=K2_ControlAsOfDate,MOD(NOW(),1)&lt;K2_DailyCloseTime),"OPEN","DUE"))</f>
        <v>NOT DUE</v>
      </c>
      <c r="H238" s="159"/>
      <c r="I238" s="159"/>
      <c r="J238" s="159" t="str">
        <f>INDEX(K2CostCategories[Owner],3)</f>
        <v>Toolstore Supervisor</v>
      </c>
      <c r="K238" s="163"/>
      <c r="L238" s="159" t="s">
        <v>2917</v>
      </c>
      <c r="M238" s="160">
        <f ca="1">IF(K2ActualCompleteness[[#This Row],[Status]]="MISSING",MAX(0,24*(NOW()-(K2ActualCompleteness[[#This Row],[Date]]+K2_DailyCloseTime))),0)</f>
        <v>0</v>
      </c>
      <c r="N238" s="159" t="s">
        <v>2276</v>
      </c>
    </row>
    <row r="239" spans="1:14" ht="14.4">
      <c r="A239" s="164">
        <f>INDEX(DailyTrackingTable[Date],30)</f>
        <v>46244</v>
      </c>
      <c r="B239" s="159" t="str">
        <f>INDEX(K2CostCategories[Cost Category ID],4)</f>
        <v>GAS</v>
      </c>
      <c r="C239" s="159" t="str">
        <f>INDEX(K2CostCategories[Display Name],4)</f>
        <v>Gas Monitors</v>
      </c>
      <c r="D239" s="159" t="str">
        <f>INDEX(K2CostCategories[Actual Header],4)</f>
        <v>Gas Monitor Hire Actual</v>
      </c>
      <c r="E239" s="159" t="str">
        <f>INDEX(K2CostCategories[Actual Mode],4)</f>
        <v>AUTO</v>
      </c>
      <c r="F239" s="161"/>
      <c r="G239" s="159" t="str">
        <f ca="1">IF(K2ActualCompleteness[[#This Row],[Date]]&gt;K2_ControlAsOfDate,"NOT DUE",IF(AND(K2ActualCompleteness[[#This Row],[Date]]=K2_ControlAsOfDate,MOD(NOW(),1)&lt;K2_DailyCloseTime),"OPEN","DUE"))</f>
        <v>NOT DUE</v>
      </c>
      <c r="H239" s="159"/>
      <c r="I239" s="159"/>
      <c r="J239" s="159" t="str">
        <f>INDEX(K2CostCategories[Owner],4)</f>
        <v>Toolstore Supervisor</v>
      </c>
      <c r="K239" s="163"/>
      <c r="L239" s="159" t="s">
        <v>2917</v>
      </c>
      <c r="M239" s="160">
        <f ca="1">IF(K2ActualCompleteness[[#This Row],[Status]]="MISSING",MAX(0,24*(NOW()-(K2ActualCompleteness[[#This Row],[Date]]+K2_DailyCloseTime))),0)</f>
        <v>0</v>
      </c>
      <c r="N239" s="159" t="s">
        <v>2276</v>
      </c>
    </row>
    <row r="240" spans="1:14" ht="14.4">
      <c r="A240" s="164">
        <f>INDEX(DailyTrackingTable[Date],30)</f>
        <v>46244</v>
      </c>
      <c r="B240" s="159" t="str">
        <f>INDEX(K2CostCategories[Cost Category ID],5)</f>
        <v>LABOUR</v>
      </c>
      <c r="C240" s="159" t="str">
        <f>INDEX(K2CostCategories[Display Name],5)</f>
        <v>Personnel / Labour</v>
      </c>
      <c r="D240" s="159" t="str">
        <f>INDEX(K2CostCategories[Actual Header],5)</f>
        <v>Personnel / Labour Actual</v>
      </c>
      <c r="E240" s="159" t="str">
        <f>INDEX(K2CostCategories[Actual Mode],5)</f>
        <v>MANUAL</v>
      </c>
      <c r="F240" s="161"/>
      <c r="G240" s="159" t="str">
        <f ca="1">IF(K2ActualCompleteness[[#This Row],[Date]]&gt;K2_ControlAsOfDate,"NOT DUE",IF(AND(K2ActualCompleteness[[#This Row],[Date]]=K2_ControlAsOfDate,MOD(NOW(),1)&lt;K2_DailyCloseTime),"OPEN","DUE"))</f>
        <v>NOT DUE</v>
      </c>
      <c r="H240" s="159"/>
      <c r="I240" s="159"/>
      <c r="J240" s="159" t="str">
        <f>INDEX(K2CostCategories[Owner],5)</f>
        <v>Shutdown Manager</v>
      </c>
      <c r="K240" s="163"/>
      <c r="L240" s="159" t="s">
        <v>2917</v>
      </c>
      <c r="M240" s="160">
        <f ca="1">IF(K2ActualCompleteness[[#This Row],[Status]]="MISSING",MAX(0,24*(NOW()-(K2ActualCompleteness[[#This Row],[Date]]+K2_DailyCloseTime))),0)</f>
        <v>0</v>
      </c>
      <c r="N240" s="159" t="s">
        <v>2276</v>
      </c>
    </row>
    <row r="241" spans="1:14" ht="14.4">
      <c r="A241" s="164">
        <f>INDEX(DailyTrackingTable[Date],30)</f>
        <v>46244</v>
      </c>
      <c r="B241" s="159" t="str">
        <f>INDEX(K2CostCategories[Cost Category ID],6)</f>
        <v>ACCOM</v>
      </c>
      <c r="C241" s="159" t="str">
        <f>INDEX(K2CostCategories[Display Name],6)</f>
        <v>Accommodation</v>
      </c>
      <c r="D241" s="159" t="str">
        <f>INDEX(K2CostCategories[Actual Header],6)</f>
        <v>Accommodation Actual</v>
      </c>
      <c r="E241" s="159" t="str">
        <f>INDEX(K2CostCategories[Actual Mode],6)</f>
        <v>MANUAL</v>
      </c>
      <c r="F241" s="161"/>
      <c r="G241" s="159" t="str">
        <f ca="1">IF(K2ActualCompleteness[[#This Row],[Date]]&gt;K2_ControlAsOfDate,"NOT DUE",IF(AND(K2ActualCompleteness[[#This Row],[Date]]=K2_ControlAsOfDate,MOD(NOW(),1)&lt;K2_DailyCloseTime),"OPEN","DUE"))</f>
        <v>NOT DUE</v>
      </c>
      <c r="H241" s="159"/>
      <c r="I241" s="159"/>
      <c r="J241" s="159" t="str">
        <f>INDEX(K2CostCategories[Owner],6)</f>
        <v>Shutdown Manager</v>
      </c>
      <c r="K241" s="163"/>
      <c r="L241" s="159" t="s">
        <v>2917</v>
      </c>
      <c r="M241" s="160">
        <f ca="1">IF(K2ActualCompleteness[[#This Row],[Status]]="MISSING",MAX(0,24*(NOW()-(K2ActualCompleteness[[#This Row],[Date]]+K2_DailyCloseTime))),0)</f>
        <v>0</v>
      </c>
      <c r="N241" s="159" t="s">
        <v>2276</v>
      </c>
    </row>
    <row r="242" spans="1:14" ht="14.4">
      <c r="A242" s="164">
        <f>INDEX(DailyTrackingTable[Date],30)</f>
        <v>46244</v>
      </c>
      <c r="B242" s="159" t="str">
        <f>INDEX(K2CostCategories[Cost Category ID],7)</f>
        <v>TRANSPORT</v>
      </c>
      <c r="C242" s="159" t="str">
        <f>INDEX(K2CostCategories[Display Name],7)</f>
        <v>Transport</v>
      </c>
      <c r="D242" s="159" t="str">
        <f>INDEX(K2CostCategories[Actual Header],7)</f>
        <v>Transport Actual</v>
      </c>
      <c r="E242" s="159" t="str">
        <f>INDEX(K2CostCategories[Actual Mode],7)</f>
        <v>MANUAL</v>
      </c>
      <c r="F242" s="161"/>
      <c r="G242" s="159" t="str">
        <f ca="1">IF(K2ActualCompleteness[[#This Row],[Date]]&gt;K2_ControlAsOfDate,"NOT DUE",IF(AND(K2ActualCompleteness[[#This Row],[Date]]=K2_ControlAsOfDate,MOD(NOW(),1)&lt;K2_DailyCloseTime),"OPEN","DUE"))</f>
        <v>NOT DUE</v>
      </c>
      <c r="H242" s="159"/>
      <c r="I242" s="159"/>
      <c r="J242" s="159" t="str">
        <f>INDEX(K2CostCategories[Owner],7)</f>
        <v>Commercial Manager</v>
      </c>
      <c r="K242" s="163"/>
      <c r="L242" s="159" t="s">
        <v>2917</v>
      </c>
      <c r="M242" s="160">
        <f ca="1">IF(K2ActualCompleteness[[#This Row],[Status]]="MISSING",MAX(0,24*(NOW()-(K2ActualCompleteness[[#This Row],[Date]]+K2_DailyCloseTime))),0)</f>
        <v>0</v>
      </c>
      <c r="N242" s="159" t="s">
        <v>2276</v>
      </c>
    </row>
    <row r="243" spans="1:14" ht="14.4">
      <c r="A243" s="164">
        <f>INDEX(DailyTrackingTable[Date],30)</f>
        <v>46244</v>
      </c>
      <c r="B243" s="159" t="str">
        <f>INDEX(K2CostCategories[Cost Category ID],8)</f>
        <v>DAMAGE</v>
      </c>
      <c r="C243" s="159" t="str">
        <f>INDEX(K2CostCategories[Display Name],8)</f>
        <v>Damage Recovery</v>
      </c>
      <c r="D243" s="159" t="str">
        <f>INDEX(K2CostCategories[Actual Header],8)</f>
        <v>Damage Recovery Actual</v>
      </c>
      <c r="E243" s="159" t="str">
        <f>INDEX(K2CostCategories[Actual Mode],8)</f>
        <v>MANUAL</v>
      </c>
      <c r="F243" s="161"/>
      <c r="G243" s="159" t="str">
        <f ca="1">IF(K2ActualCompleteness[[#This Row],[Date]]&gt;K2_ControlAsOfDate,"NOT DUE",IF(AND(K2ActualCompleteness[[#This Row],[Date]]=K2_ControlAsOfDate,MOD(NOW(),1)&lt;K2_DailyCloseTime),"OPEN","DUE"))</f>
        <v>NOT DUE</v>
      </c>
      <c r="H243" s="159"/>
      <c r="I243" s="159"/>
      <c r="J243" s="159" t="str">
        <f>INDEX(K2CostCategories[Owner],8)</f>
        <v>Commercial Manager</v>
      </c>
      <c r="K243" s="163"/>
      <c r="L243" s="159" t="s">
        <v>2917</v>
      </c>
      <c r="M243" s="160">
        <f ca="1">IF(K2ActualCompleteness[[#This Row],[Status]]="MISSING",MAX(0,24*(NOW()-(K2ActualCompleteness[[#This Row],[Date]]+K2_DailyCloseTime))),0)</f>
        <v>0</v>
      </c>
      <c r="N243" s="159" t="s">
        <v>2276</v>
      </c>
    </row>
    <row r="244" spans="1:14" ht="14.4">
      <c r="A244" s="164">
        <f>INDEX(DailyTrackingTable[Date],31)</f>
        <v>46245</v>
      </c>
      <c r="B244" s="159" t="str">
        <f>INDEX(K2CostCategories[Cost Category ID],1)</f>
        <v>PLANT</v>
      </c>
      <c r="C244" s="159" t="str">
        <f>INDEX(K2CostCategories[Display Name],1)</f>
        <v>Plant Equipment</v>
      </c>
      <c r="D244" s="159" t="str">
        <f>INDEX(K2CostCategories[Actual Header],1)</f>
        <v>Plant Equipment Hire Actual</v>
      </c>
      <c r="E244" s="159" t="str">
        <f>INDEX(K2CostCategories[Actual Mode],1)</f>
        <v>AUTO</v>
      </c>
      <c r="F244" s="161"/>
      <c r="G244" s="159" t="str">
        <f ca="1">IF(K2ActualCompleteness[[#This Row],[Date]]&gt;K2_ControlAsOfDate,"NOT DUE",IF(AND(K2ActualCompleteness[[#This Row],[Date]]=K2_ControlAsOfDate,MOD(NOW(),1)&lt;K2_DailyCloseTime),"OPEN","DUE"))</f>
        <v>NOT DUE</v>
      </c>
      <c r="H244" s="159"/>
      <c r="I244" s="159"/>
      <c r="J244" s="159" t="str">
        <f>INDEX(K2CostCategories[Owner],1)</f>
        <v>Plant Coordinator</v>
      </c>
      <c r="K244" s="163"/>
      <c r="L244" s="159" t="s">
        <v>2917</v>
      </c>
      <c r="M244" s="160">
        <f ca="1">IF(K2ActualCompleteness[[#This Row],[Status]]="MISSING",MAX(0,24*(NOW()-(K2ActualCompleteness[[#This Row],[Date]]+K2_DailyCloseTime))),0)</f>
        <v>0</v>
      </c>
      <c r="N244" s="159" t="s">
        <v>2276</v>
      </c>
    </row>
    <row r="245" spans="1:14" ht="14.4">
      <c r="A245" s="164">
        <f>INDEX(DailyTrackingTable[Date],31)</f>
        <v>46245</v>
      </c>
      <c r="B245" s="159" t="str">
        <f>INDEX(K2CostCategories[Cost Category ID],2)</f>
        <v>TOOLING</v>
      </c>
      <c r="C245" s="159" t="str">
        <f>INDEX(K2CostCategories[Display Name],2)</f>
        <v>Tooling Hire</v>
      </c>
      <c r="D245" s="159" t="str">
        <f>INDEX(K2CostCategories[Actual Header],2)</f>
        <v>Tooling Hire Actual</v>
      </c>
      <c r="E245" s="159" t="str">
        <f>INDEX(K2CostCategories[Actual Mode],2)</f>
        <v>AUTO</v>
      </c>
      <c r="F245" s="161"/>
      <c r="G245" s="159" t="str">
        <f ca="1">IF(K2ActualCompleteness[[#This Row],[Date]]&gt;K2_ControlAsOfDate,"NOT DUE",IF(AND(K2ActualCompleteness[[#This Row],[Date]]=K2_ControlAsOfDate,MOD(NOW(),1)&lt;K2_DailyCloseTime),"OPEN","DUE"))</f>
        <v>NOT DUE</v>
      </c>
      <c r="H245" s="159"/>
      <c r="I245" s="159"/>
      <c r="J245" s="159" t="str">
        <f>INDEX(K2CostCategories[Owner],2)</f>
        <v>Toolstore Supervisor</v>
      </c>
      <c r="K245" s="163"/>
      <c r="L245" s="159" t="s">
        <v>2917</v>
      </c>
      <c r="M245" s="160">
        <f ca="1">IF(K2ActualCompleteness[[#This Row],[Status]]="MISSING",MAX(0,24*(NOW()-(K2ActualCompleteness[[#This Row],[Date]]+K2_DailyCloseTime))),0)</f>
        <v>0</v>
      </c>
      <c r="N245" s="159" t="s">
        <v>2276</v>
      </c>
    </row>
    <row r="246" spans="1:14" ht="14.4">
      <c r="A246" s="164">
        <f>INDEX(DailyTrackingTable[Date],31)</f>
        <v>46245</v>
      </c>
      <c r="B246" s="159" t="str">
        <f>INDEX(K2CostCategories[Cost Category ID],3)</f>
        <v>RADIO</v>
      </c>
      <c r="C246" s="159" t="str">
        <f>INDEX(K2CostCategories[Display Name],3)</f>
        <v>Radio Family</v>
      </c>
      <c r="D246" s="159" t="str">
        <f>INDEX(K2CostCategories[Actual Header],3)</f>
        <v>Radio Hire Actual</v>
      </c>
      <c r="E246" s="159" t="str">
        <f>INDEX(K2CostCategories[Actual Mode],3)</f>
        <v>AUTO_COMBINED</v>
      </c>
      <c r="F246" s="161"/>
      <c r="G246" s="159" t="str">
        <f ca="1">IF(K2ActualCompleteness[[#This Row],[Date]]&gt;K2_ControlAsOfDate,"NOT DUE",IF(AND(K2ActualCompleteness[[#This Row],[Date]]=K2_ControlAsOfDate,MOD(NOW(),1)&lt;K2_DailyCloseTime),"OPEN","DUE"))</f>
        <v>NOT DUE</v>
      </c>
      <c r="H246" s="159"/>
      <c r="I246" s="159"/>
      <c r="J246" s="159" t="str">
        <f>INDEX(K2CostCategories[Owner],3)</f>
        <v>Toolstore Supervisor</v>
      </c>
      <c r="K246" s="163"/>
      <c r="L246" s="159" t="s">
        <v>2917</v>
      </c>
      <c r="M246" s="160">
        <f ca="1">IF(K2ActualCompleteness[[#This Row],[Status]]="MISSING",MAX(0,24*(NOW()-(K2ActualCompleteness[[#This Row],[Date]]+K2_DailyCloseTime))),0)</f>
        <v>0</v>
      </c>
      <c r="N246" s="159" t="s">
        <v>2276</v>
      </c>
    </row>
    <row r="247" spans="1:14" ht="14.4">
      <c r="A247" s="164">
        <f>INDEX(DailyTrackingTable[Date],31)</f>
        <v>46245</v>
      </c>
      <c r="B247" s="159" t="str">
        <f>INDEX(K2CostCategories[Cost Category ID],4)</f>
        <v>GAS</v>
      </c>
      <c r="C247" s="159" t="str">
        <f>INDEX(K2CostCategories[Display Name],4)</f>
        <v>Gas Monitors</v>
      </c>
      <c r="D247" s="159" t="str">
        <f>INDEX(K2CostCategories[Actual Header],4)</f>
        <v>Gas Monitor Hire Actual</v>
      </c>
      <c r="E247" s="159" t="str">
        <f>INDEX(K2CostCategories[Actual Mode],4)</f>
        <v>AUTO</v>
      </c>
      <c r="F247" s="161"/>
      <c r="G247" s="159" t="str">
        <f ca="1">IF(K2ActualCompleteness[[#This Row],[Date]]&gt;K2_ControlAsOfDate,"NOT DUE",IF(AND(K2ActualCompleteness[[#This Row],[Date]]=K2_ControlAsOfDate,MOD(NOW(),1)&lt;K2_DailyCloseTime),"OPEN","DUE"))</f>
        <v>NOT DUE</v>
      </c>
      <c r="H247" s="159"/>
      <c r="I247" s="159"/>
      <c r="J247" s="159" t="str">
        <f>INDEX(K2CostCategories[Owner],4)</f>
        <v>Toolstore Supervisor</v>
      </c>
      <c r="K247" s="163"/>
      <c r="L247" s="159" t="s">
        <v>2917</v>
      </c>
      <c r="M247" s="160">
        <f ca="1">IF(K2ActualCompleteness[[#This Row],[Status]]="MISSING",MAX(0,24*(NOW()-(K2ActualCompleteness[[#This Row],[Date]]+K2_DailyCloseTime))),0)</f>
        <v>0</v>
      </c>
      <c r="N247" s="159" t="s">
        <v>2276</v>
      </c>
    </row>
    <row r="248" spans="1:14" ht="14.4">
      <c r="A248" s="164">
        <f>INDEX(DailyTrackingTable[Date],31)</f>
        <v>46245</v>
      </c>
      <c r="B248" s="159" t="str">
        <f>INDEX(K2CostCategories[Cost Category ID],5)</f>
        <v>LABOUR</v>
      </c>
      <c r="C248" s="159" t="str">
        <f>INDEX(K2CostCategories[Display Name],5)</f>
        <v>Personnel / Labour</v>
      </c>
      <c r="D248" s="159" t="str">
        <f>INDEX(K2CostCategories[Actual Header],5)</f>
        <v>Personnel / Labour Actual</v>
      </c>
      <c r="E248" s="159" t="str">
        <f>INDEX(K2CostCategories[Actual Mode],5)</f>
        <v>MANUAL</v>
      </c>
      <c r="F248" s="161"/>
      <c r="G248" s="159" t="str">
        <f ca="1">IF(K2ActualCompleteness[[#This Row],[Date]]&gt;K2_ControlAsOfDate,"NOT DUE",IF(AND(K2ActualCompleteness[[#This Row],[Date]]=K2_ControlAsOfDate,MOD(NOW(),1)&lt;K2_DailyCloseTime),"OPEN","DUE"))</f>
        <v>NOT DUE</v>
      </c>
      <c r="H248" s="159"/>
      <c r="I248" s="159"/>
      <c r="J248" s="159" t="str">
        <f>INDEX(K2CostCategories[Owner],5)</f>
        <v>Shutdown Manager</v>
      </c>
      <c r="K248" s="163"/>
      <c r="L248" s="159" t="s">
        <v>2917</v>
      </c>
      <c r="M248" s="160">
        <f ca="1">IF(K2ActualCompleteness[[#This Row],[Status]]="MISSING",MAX(0,24*(NOW()-(K2ActualCompleteness[[#This Row],[Date]]+K2_DailyCloseTime))),0)</f>
        <v>0</v>
      </c>
      <c r="N248" s="159" t="s">
        <v>2276</v>
      </c>
    </row>
    <row r="249" spans="1:14" ht="14.4">
      <c r="A249" s="164">
        <f>INDEX(DailyTrackingTable[Date],31)</f>
        <v>46245</v>
      </c>
      <c r="B249" s="159" t="str">
        <f>INDEX(K2CostCategories[Cost Category ID],6)</f>
        <v>ACCOM</v>
      </c>
      <c r="C249" s="159" t="str">
        <f>INDEX(K2CostCategories[Display Name],6)</f>
        <v>Accommodation</v>
      </c>
      <c r="D249" s="159" t="str">
        <f>INDEX(K2CostCategories[Actual Header],6)</f>
        <v>Accommodation Actual</v>
      </c>
      <c r="E249" s="159" t="str">
        <f>INDEX(K2CostCategories[Actual Mode],6)</f>
        <v>MANUAL</v>
      </c>
      <c r="F249" s="161"/>
      <c r="G249" s="159" t="str">
        <f ca="1">IF(K2ActualCompleteness[[#This Row],[Date]]&gt;K2_ControlAsOfDate,"NOT DUE",IF(AND(K2ActualCompleteness[[#This Row],[Date]]=K2_ControlAsOfDate,MOD(NOW(),1)&lt;K2_DailyCloseTime),"OPEN","DUE"))</f>
        <v>NOT DUE</v>
      </c>
      <c r="H249" s="159"/>
      <c r="I249" s="159"/>
      <c r="J249" s="159" t="str">
        <f>INDEX(K2CostCategories[Owner],6)</f>
        <v>Shutdown Manager</v>
      </c>
      <c r="K249" s="163"/>
      <c r="L249" s="159" t="s">
        <v>2917</v>
      </c>
      <c r="M249" s="160">
        <f ca="1">IF(K2ActualCompleteness[[#This Row],[Status]]="MISSING",MAX(0,24*(NOW()-(K2ActualCompleteness[[#This Row],[Date]]+K2_DailyCloseTime))),0)</f>
        <v>0</v>
      </c>
      <c r="N249" s="159" t="s">
        <v>2276</v>
      </c>
    </row>
    <row r="250" spans="1:14" ht="14.4">
      <c r="A250" s="164">
        <f>INDEX(DailyTrackingTable[Date],31)</f>
        <v>46245</v>
      </c>
      <c r="B250" s="159" t="str">
        <f>INDEX(K2CostCategories[Cost Category ID],7)</f>
        <v>TRANSPORT</v>
      </c>
      <c r="C250" s="159" t="str">
        <f>INDEX(K2CostCategories[Display Name],7)</f>
        <v>Transport</v>
      </c>
      <c r="D250" s="159" t="str">
        <f>INDEX(K2CostCategories[Actual Header],7)</f>
        <v>Transport Actual</v>
      </c>
      <c r="E250" s="159" t="str">
        <f>INDEX(K2CostCategories[Actual Mode],7)</f>
        <v>MANUAL</v>
      </c>
      <c r="F250" s="161"/>
      <c r="G250" s="159" t="str">
        <f ca="1">IF(K2ActualCompleteness[[#This Row],[Date]]&gt;K2_ControlAsOfDate,"NOT DUE",IF(AND(K2ActualCompleteness[[#This Row],[Date]]=K2_ControlAsOfDate,MOD(NOW(),1)&lt;K2_DailyCloseTime),"OPEN","DUE"))</f>
        <v>NOT DUE</v>
      </c>
      <c r="H250" s="159"/>
      <c r="I250" s="159"/>
      <c r="J250" s="159" t="str">
        <f>INDEX(K2CostCategories[Owner],7)</f>
        <v>Commercial Manager</v>
      </c>
      <c r="K250" s="163"/>
      <c r="L250" s="159" t="s">
        <v>2917</v>
      </c>
      <c r="M250" s="160">
        <f ca="1">IF(K2ActualCompleteness[[#This Row],[Status]]="MISSING",MAX(0,24*(NOW()-(K2ActualCompleteness[[#This Row],[Date]]+K2_DailyCloseTime))),0)</f>
        <v>0</v>
      </c>
      <c r="N250" s="159" t="s">
        <v>2276</v>
      </c>
    </row>
    <row r="251" spans="1:14" ht="14.4">
      <c r="A251" s="164">
        <f>INDEX(DailyTrackingTable[Date],31)</f>
        <v>46245</v>
      </c>
      <c r="B251" s="159" t="str">
        <f>INDEX(K2CostCategories[Cost Category ID],8)</f>
        <v>DAMAGE</v>
      </c>
      <c r="C251" s="159" t="str">
        <f>INDEX(K2CostCategories[Display Name],8)</f>
        <v>Damage Recovery</v>
      </c>
      <c r="D251" s="159" t="str">
        <f>INDEX(K2CostCategories[Actual Header],8)</f>
        <v>Damage Recovery Actual</v>
      </c>
      <c r="E251" s="159" t="str">
        <f>INDEX(K2CostCategories[Actual Mode],8)</f>
        <v>MANUAL</v>
      </c>
      <c r="F251" s="161"/>
      <c r="G251" s="159" t="str">
        <f ca="1">IF(K2ActualCompleteness[[#This Row],[Date]]&gt;K2_ControlAsOfDate,"NOT DUE",IF(AND(K2ActualCompleteness[[#This Row],[Date]]=K2_ControlAsOfDate,MOD(NOW(),1)&lt;K2_DailyCloseTime),"OPEN","DUE"))</f>
        <v>NOT DUE</v>
      </c>
      <c r="H251" s="159"/>
      <c r="I251" s="159"/>
      <c r="J251" s="159" t="str">
        <f>INDEX(K2CostCategories[Owner],8)</f>
        <v>Commercial Manager</v>
      </c>
      <c r="K251" s="163"/>
      <c r="L251" s="159" t="s">
        <v>2917</v>
      </c>
      <c r="M251" s="160">
        <f ca="1">IF(K2ActualCompleteness[[#This Row],[Status]]="MISSING",MAX(0,24*(NOW()-(K2ActualCompleteness[[#This Row],[Date]]+K2_DailyCloseTime))),0)</f>
        <v>0</v>
      </c>
      <c r="N251" s="159" t="s">
        <v>2276</v>
      </c>
    </row>
    <row r="252" spans="1:14" ht="14.4">
      <c r="A252" s="164">
        <f>INDEX(DailyTrackingTable[Date],32)</f>
        <v>46246</v>
      </c>
      <c r="B252" s="159" t="str">
        <f>INDEX(K2CostCategories[Cost Category ID],1)</f>
        <v>PLANT</v>
      </c>
      <c r="C252" s="159" t="str">
        <f>INDEX(K2CostCategories[Display Name],1)</f>
        <v>Plant Equipment</v>
      </c>
      <c r="D252" s="159" t="str">
        <f>INDEX(K2CostCategories[Actual Header],1)</f>
        <v>Plant Equipment Hire Actual</v>
      </c>
      <c r="E252" s="159" t="str">
        <f>INDEX(K2CostCategories[Actual Mode],1)</f>
        <v>AUTO</v>
      </c>
      <c r="F252" s="161"/>
      <c r="G252" s="159" t="str">
        <f ca="1">IF(K2ActualCompleteness[[#This Row],[Date]]&gt;K2_ControlAsOfDate,"NOT DUE",IF(AND(K2ActualCompleteness[[#This Row],[Date]]=K2_ControlAsOfDate,MOD(NOW(),1)&lt;K2_DailyCloseTime),"OPEN","DUE"))</f>
        <v>NOT DUE</v>
      </c>
      <c r="H252" s="159"/>
      <c r="I252" s="159"/>
      <c r="J252" s="159" t="str">
        <f>INDEX(K2CostCategories[Owner],1)</f>
        <v>Plant Coordinator</v>
      </c>
      <c r="K252" s="163"/>
      <c r="L252" s="159" t="s">
        <v>2917</v>
      </c>
      <c r="M252" s="160">
        <f ca="1">IF(K2ActualCompleteness[[#This Row],[Status]]="MISSING",MAX(0,24*(NOW()-(K2ActualCompleteness[[#This Row],[Date]]+K2_DailyCloseTime))),0)</f>
        <v>0</v>
      </c>
      <c r="N252" s="159" t="s">
        <v>2276</v>
      </c>
    </row>
    <row r="253" spans="1:14" ht="14.4">
      <c r="A253" s="164">
        <f>INDEX(DailyTrackingTable[Date],32)</f>
        <v>46246</v>
      </c>
      <c r="B253" s="159" t="str">
        <f>INDEX(K2CostCategories[Cost Category ID],2)</f>
        <v>TOOLING</v>
      </c>
      <c r="C253" s="159" t="str">
        <f>INDEX(K2CostCategories[Display Name],2)</f>
        <v>Tooling Hire</v>
      </c>
      <c r="D253" s="159" t="str">
        <f>INDEX(K2CostCategories[Actual Header],2)</f>
        <v>Tooling Hire Actual</v>
      </c>
      <c r="E253" s="159" t="str">
        <f>INDEX(K2CostCategories[Actual Mode],2)</f>
        <v>AUTO</v>
      </c>
      <c r="F253" s="161"/>
      <c r="G253" s="159" t="str">
        <f ca="1">IF(K2ActualCompleteness[[#This Row],[Date]]&gt;K2_ControlAsOfDate,"NOT DUE",IF(AND(K2ActualCompleteness[[#This Row],[Date]]=K2_ControlAsOfDate,MOD(NOW(),1)&lt;K2_DailyCloseTime),"OPEN","DUE"))</f>
        <v>NOT DUE</v>
      </c>
      <c r="H253" s="159"/>
      <c r="I253" s="159"/>
      <c r="J253" s="159" t="str">
        <f>INDEX(K2CostCategories[Owner],2)</f>
        <v>Toolstore Supervisor</v>
      </c>
      <c r="K253" s="163"/>
      <c r="L253" s="159" t="s">
        <v>2917</v>
      </c>
      <c r="M253" s="160">
        <f ca="1">IF(K2ActualCompleteness[[#This Row],[Status]]="MISSING",MAX(0,24*(NOW()-(K2ActualCompleteness[[#This Row],[Date]]+K2_DailyCloseTime))),0)</f>
        <v>0</v>
      </c>
      <c r="N253" s="159" t="s">
        <v>2276</v>
      </c>
    </row>
    <row r="254" spans="1:14" ht="14.4">
      <c r="A254" s="164">
        <f>INDEX(DailyTrackingTable[Date],32)</f>
        <v>46246</v>
      </c>
      <c r="B254" s="159" t="str">
        <f>INDEX(K2CostCategories[Cost Category ID],3)</f>
        <v>RADIO</v>
      </c>
      <c r="C254" s="159" t="str">
        <f>INDEX(K2CostCategories[Display Name],3)</f>
        <v>Radio Family</v>
      </c>
      <c r="D254" s="159" t="str">
        <f>INDEX(K2CostCategories[Actual Header],3)</f>
        <v>Radio Hire Actual</v>
      </c>
      <c r="E254" s="159" t="str">
        <f>INDEX(K2CostCategories[Actual Mode],3)</f>
        <v>AUTO_COMBINED</v>
      </c>
      <c r="F254" s="161"/>
      <c r="G254" s="159" t="str">
        <f ca="1">IF(K2ActualCompleteness[[#This Row],[Date]]&gt;K2_ControlAsOfDate,"NOT DUE",IF(AND(K2ActualCompleteness[[#This Row],[Date]]=K2_ControlAsOfDate,MOD(NOW(),1)&lt;K2_DailyCloseTime),"OPEN","DUE"))</f>
        <v>NOT DUE</v>
      </c>
      <c r="H254" s="159"/>
      <c r="I254" s="159"/>
      <c r="J254" s="159" t="str">
        <f>INDEX(K2CostCategories[Owner],3)</f>
        <v>Toolstore Supervisor</v>
      </c>
      <c r="K254" s="163"/>
      <c r="L254" s="159" t="s">
        <v>2917</v>
      </c>
      <c r="M254" s="160">
        <f ca="1">IF(K2ActualCompleteness[[#This Row],[Status]]="MISSING",MAX(0,24*(NOW()-(K2ActualCompleteness[[#This Row],[Date]]+K2_DailyCloseTime))),0)</f>
        <v>0</v>
      </c>
      <c r="N254" s="159" t="s">
        <v>2276</v>
      </c>
    </row>
    <row r="255" spans="1:14" ht="14.4">
      <c r="A255" s="164">
        <f>INDEX(DailyTrackingTable[Date],32)</f>
        <v>46246</v>
      </c>
      <c r="B255" s="159" t="str">
        <f>INDEX(K2CostCategories[Cost Category ID],4)</f>
        <v>GAS</v>
      </c>
      <c r="C255" s="159" t="str">
        <f>INDEX(K2CostCategories[Display Name],4)</f>
        <v>Gas Monitors</v>
      </c>
      <c r="D255" s="159" t="str">
        <f>INDEX(K2CostCategories[Actual Header],4)</f>
        <v>Gas Monitor Hire Actual</v>
      </c>
      <c r="E255" s="159" t="str">
        <f>INDEX(K2CostCategories[Actual Mode],4)</f>
        <v>AUTO</v>
      </c>
      <c r="F255" s="161"/>
      <c r="G255" s="159" t="str">
        <f ca="1">IF(K2ActualCompleteness[[#This Row],[Date]]&gt;K2_ControlAsOfDate,"NOT DUE",IF(AND(K2ActualCompleteness[[#This Row],[Date]]=K2_ControlAsOfDate,MOD(NOW(),1)&lt;K2_DailyCloseTime),"OPEN","DUE"))</f>
        <v>NOT DUE</v>
      </c>
      <c r="H255" s="159"/>
      <c r="I255" s="159"/>
      <c r="J255" s="159" t="str">
        <f>INDEX(K2CostCategories[Owner],4)</f>
        <v>Toolstore Supervisor</v>
      </c>
      <c r="K255" s="163"/>
      <c r="L255" s="159" t="s">
        <v>2917</v>
      </c>
      <c r="M255" s="160">
        <f ca="1">IF(K2ActualCompleteness[[#This Row],[Status]]="MISSING",MAX(0,24*(NOW()-(K2ActualCompleteness[[#This Row],[Date]]+K2_DailyCloseTime))),0)</f>
        <v>0</v>
      </c>
      <c r="N255" s="159" t="s">
        <v>2276</v>
      </c>
    </row>
    <row r="256" spans="1:14" ht="14.4">
      <c r="A256" s="164">
        <f>INDEX(DailyTrackingTable[Date],32)</f>
        <v>46246</v>
      </c>
      <c r="B256" s="159" t="str">
        <f>INDEX(K2CostCategories[Cost Category ID],5)</f>
        <v>LABOUR</v>
      </c>
      <c r="C256" s="159" t="str">
        <f>INDEX(K2CostCategories[Display Name],5)</f>
        <v>Personnel / Labour</v>
      </c>
      <c r="D256" s="159" t="str">
        <f>INDEX(K2CostCategories[Actual Header],5)</f>
        <v>Personnel / Labour Actual</v>
      </c>
      <c r="E256" s="159" t="str">
        <f>INDEX(K2CostCategories[Actual Mode],5)</f>
        <v>MANUAL</v>
      </c>
      <c r="F256" s="161"/>
      <c r="G256" s="159" t="str">
        <f ca="1">IF(K2ActualCompleteness[[#This Row],[Date]]&gt;K2_ControlAsOfDate,"NOT DUE",IF(AND(K2ActualCompleteness[[#This Row],[Date]]=K2_ControlAsOfDate,MOD(NOW(),1)&lt;K2_DailyCloseTime),"OPEN","DUE"))</f>
        <v>NOT DUE</v>
      </c>
      <c r="H256" s="159"/>
      <c r="I256" s="159"/>
      <c r="J256" s="159" t="str">
        <f>INDEX(K2CostCategories[Owner],5)</f>
        <v>Shutdown Manager</v>
      </c>
      <c r="K256" s="163"/>
      <c r="L256" s="159" t="s">
        <v>2917</v>
      </c>
      <c r="M256" s="160">
        <f ca="1">IF(K2ActualCompleteness[[#This Row],[Status]]="MISSING",MAX(0,24*(NOW()-(K2ActualCompleteness[[#This Row],[Date]]+K2_DailyCloseTime))),0)</f>
        <v>0</v>
      </c>
      <c r="N256" s="159" t="s">
        <v>2276</v>
      </c>
    </row>
    <row r="257" spans="1:14" ht="14.4">
      <c r="A257" s="164">
        <f>INDEX(DailyTrackingTable[Date],32)</f>
        <v>46246</v>
      </c>
      <c r="B257" s="159" t="str">
        <f>INDEX(K2CostCategories[Cost Category ID],6)</f>
        <v>ACCOM</v>
      </c>
      <c r="C257" s="159" t="str">
        <f>INDEX(K2CostCategories[Display Name],6)</f>
        <v>Accommodation</v>
      </c>
      <c r="D257" s="159" t="str">
        <f>INDEX(K2CostCategories[Actual Header],6)</f>
        <v>Accommodation Actual</v>
      </c>
      <c r="E257" s="159" t="str">
        <f>INDEX(K2CostCategories[Actual Mode],6)</f>
        <v>MANUAL</v>
      </c>
      <c r="F257" s="161"/>
      <c r="G257" s="159" t="str">
        <f ca="1">IF(K2ActualCompleteness[[#This Row],[Date]]&gt;K2_ControlAsOfDate,"NOT DUE",IF(AND(K2ActualCompleteness[[#This Row],[Date]]=K2_ControlAsOfDate,MOD(NOW(),1)&lt;K2_DailyCloseTime),"OPEN","DUE"))</f>
        <v>NOT DUE</v>
      </c>
      <c r="H257" s="159"/>
      <c r="I257" s="159"/>
      <c r="J257" s="159" t="str">
        <f>INDEX(K2CostCategories[Owner],6)</f>
        <v>Shutdown Manager</v>
      </c>
      <c r="K257" s="163"/>
      <c r="L257" s="159" t="s">
        <v>2917</v>
      </c>
      <c r="M257" s="160">
        <f ca="1">IF(K2ActualCompleteness[[#This Row],[Status]]="MISSING",MAX(0,24*(NOW()-(K2ActualCompleteness[[#This Row],[Date]]+K2_DailyCloseTime))),0)</f>
        <v>0</v>
      </c>
      <c r="N257" s="159" t="s">
        <v>2276</v>
      </c>
    </row>
    <row r="258" spans="1:14" ht="14.4">
      <c r="A258" s="164">
        <f>INDEX(DailyTrackingTable[Date],32)</f>
        <v>46246</v>
      </c>
      <c r="B258" s="159" t="str">
        <f>INDEX(K2CostCategories[Cost Category ID],7)</f>
        <v>TRANSPORT</v>
      </c>
      <c r="C258" s="159" t="str">
        <f>INDEX(K2CostCategories[Display Name],7)</f>
        <v>Transport</v>
      </c>
      <c r="D258" s="159" t="str">
        <f>INDEX(K2CostCategories[Actual Header],7)</f>
        <v>Transport Actual</v>
      </c>
      <c r="E258" s="159" t="str">
        <f>INDEX(K2CostCategories[Actual Mode],7)</f>
        <v>MANUAL</v>
      </c>
      <c r="F258" s="161"/>
      <c r="G258" s="159" t="str">
        <f ca="1">IF(K2ActualCompleteness[[#This Row],[Date]]&gt;K2_ControlAsOfDate,"NOT DUE",IF(AND(K2ActualCompleteness[[#This Row],[Date]]=K2_ControlAsOfDate,MOD(NOW(),1)&lt;K2_DailyCloseTime),"OPEN","DUE"))</f>
        <v>NOT DUE</v>
      </c>
      <c r="H258" s="159"/>
      <c r="I258" s="159"/>
      <c r="J258" s="159" t="str">
        <f>INDEX(K2CostCategories[Owner],7)</f>
        <v>Commercial Manager</v>
      </c>
      <c r="K258" s="163"/>
      <c r="L258" s="159" t="s">
        <v>2917</v>
      </c>
      <c r="M258" s="160">
        <f ca="1">IF(K2ActualCompleteness[[#This Row],[Status]]="MISSING",MAX(0,24*(NOW()-(K2ActualCompleteness[[#This Row],[Date]]+K2_DailyCloseTime))),0)</f>
        <v>0</v>
      </c>
      <c r="N258" s="159" t="s">
        <v>2276</v>
      </c>
    </row>
    <row r="259" spans="1:14" ht="14.4">
      <c r="A259" s="164">
        <f>INDEX(DailyTrackingTable[Date],32)</f>
        <v>46246</v>
      </c>
      <c r="B259" s="159" t="str">
        <f>INDEX(K2CostCategories[Cost Category ID],8)</f>
        <v>DAMAGE</v>
      </c>
      <c r="C259" s="159" t="str">
        <f>INDEX(K2CostCategories[Display Name],8)</f>
        <v>Damage Recovery</v>
      </c>
      <c r="D259" s="159" t="str">
        <f>INDEX(K2CostCategories[Actual Header],8)</f>
        <v>Damage Recovery Actual</v>
      </c>
      <c r="E259" s="159" t="str">
        <f>INDEX(K2CostCategories[Actual Mode],8)</f>
        <v>MANUAL</v>
      </c>
      <c r="F259" s="161"/>
      <c r="G259" s="159" t="str">
        <f ca="1">IF(K2ActualCompleteness[[#This Row],[Date]]&gt;K2_ControlAsOfDate,"NOT DUE",IF(AND(K2ActualCompleteness[[#This Row],[Date]]=K2_ControlAsOfDate,MOD(NOW(),1)&lt;K2_DailyCloseTime),"OPEN","DUE"))</f>
        <v>NOT DUE</v>
      </c>
      <c r="H259" s="159"/>
      <c r="I259" s="159"/>
      <c r="J259" s="159" t="str">
        <f>INDEX(K2CostCategories[Owner],8)</f>
        <v>Commercial Manager</v>
      </c>
      <c r="K259" s="163"/>
      <c r="L259" s="159" t="s">
        <v>2917</v>
      </c>
      <c r="M259" s="160">
        <f ca="1">IF(K2ActualCompleteness[[#This Row],[Status]]="MISSING",MAX(0,24*(NOW()-(K2ActualCompleteness[[#This Row],[Date]]+K2_DailyCloseTime))),0)</f>
        <v>0</v>
      </c>
      <c r="N259" s="159" t="s">
        <v>2276</v>
      </c>
    </row>
    <row r="260" spans="1:14" ht="14.4">
      <c r="A260" s="164">
        <f>INDEX(DailyTrackingTable[Date],33)</f>
        <v>46247</v>
      </c>
      <c r="B260" s="159" t="str">
        <f>INDEX(K2CostCategories[Cost Category ID],1)</f>
        <v>PLANT</v>
      </c>
      <c r="C260" s="159" t="str">
        <f>INDEX(K2CostCategories[Display Name],1)</f>
        <v>Plant Equipment</v>
      </c>
      <c r="D260" s="159" t="str">
        <f>INDEX(K2CostCategories[Actual Header],1)</f>
        <v>Plant Equipment Hire Actual</v>
      </c>
      <c r="E260" s="159" t="str">
        <f>INDEX(K2CostCategories[Actual Mode],1)</f>
        <v>AUTO</v>
      </c>
      <c r="F260" s="161"/>
      <c r="G260" s="159" t="str">
        <f ca="1">IF(K2ActualCompleteness[[#This Row],[Date]]&gt;K2_ControlAsOfDate,"NOT DUE",IF(AND(K2ActualCompleteness[[#This Row],[Date]]=K2_ControlAsOfDate,MOD(NOW(),1)&lt;K2_DailyCloseTime),"OPEN","DUE"))</f>
        <v>NOT DUE</v>
      </c>
      <c r="H260" s="159"/>
      <c r="I260" s="159"/>
      <c r="J260" s="159" t="str">
        <f>INDEX(K2CostCategories[Owner],1)</f>
        <v>Plant Coordinator</v>
      </c>
      <c r="K260" s="163"/>
      <c r="L260" s="159" t="s">
        <v>2917</v>
      </c>
      <c r="M260" s="160">
        <f ca="1">IF(K2ActualCompleteness[[#This Row],[Status]]="MISSING",MAX(0,24*(NOW()-(K2ActualCompleteness[[#This Row],[Date]]+K2_DailyCloseTime))),0)</f>
        <v>0</v>
      </c>
      <c r="N260" s="159" t="s">
        <v>2276</v>
      </c>
    </row>
    <row r="261" spans="1:14" ht="14.4">
      <c r="A261" s="164">
        <f>INDEX(DailyTrackingTable[Date],33)</f>
        <v>46247</v>
      </c>
      <c r="B261" s="159" t="str">
        <f>INDEX(K2CostCategories[Cost Category ID],2)</f>
        <v>TOOLING</v>
      </c>
      <c r="C261" s="159" t="str">
        <f>INDEX(K2CostCategories[Display Name],2)</f>
        <v>Tooling Hire</v>
      </c>
      <c r="D261" s="159" t="str">
        <f>INDEX(K2CostCategories[Actual Header],2)</f>
        <v>Tooling Hire Actual</v>
      </c>
      <c r="E261" s="159" t="str">
        <f>INDEX(K2CostCategories[Actual Mode],2)</f>
        <v>AUTO</v>
      </c>
      <c r="F261" s="161"/>
      <c r="G261" s="159" t="str">
        <f ca="1">IF(K2ActualCompleteness[[#This Row],[Date]]&gt;K2_ControlAsOfDate,"NOT DUE",IF(AND(K2ActualCompleteness[[#This Row],[Date]]=K2_ControlAsOfDate,MOD(NOW(),1)&lt;K2_DailyCloseTime),"OPEN","DUE"))</f>
        <v>NOT DUE</v>
      </c>
      <c r="H261" s="159"/>
      <c r="I261" s="159"/>
      <c r="J261" s="159" t="str">
        <f>INDEX(K2CostCategories[Owner],2)</f>
        <v>Toolstore Supervisor</v>
      </c>
      <c r="K261" s="163"/>
      <c r="L261" s="159" t="s">
        <v>2917</v>
      </c>
      <c r="M261" s="160">
        <f ca="1">IF(K2ActualCompleteness[[#This Row],[Status]]="MISSING",MAX(0,24*(NOW()-(K2ActualCompleteness[[#This Row],[Date]]+K2_DailyCloseTime))),0)</f>
        <v>0</v>
      </c>
      <c r="N261" s="159" t="s">
        <v>2276</v>
      </c>
    </row>
    <row r="262" spans="1:14" ht="14.4">
      <c r="A262" s="164">
        <f>INDEX(DailyTrackingTable[Date],33)</f>
        <v>46247</v>
      </c>
      <c r="B262" s="159" t="str">
        <f>INDEX(K2CostCategories[Cost Category ID],3)</f>
        <v>RADIO</v>
      </c>
      <c r="C262" s="159" t="str">
        <f>INDEX(K2CostCategories[Display Name],3)</f>
        <v>Radio Family</v>
      </c>
      <c r="D262" s="159" t="str">
        <f>INDEX(K2CostCategories[Actual Header],3)</f>
        <v>Radio Hire Actual</v>
      </c>
      <c r="E262" s="159" t="str">
        <f>INDEX(K2CostCategories[Actual Mode],3)</f>
        <v>AUTO_COMBINED</v>
      </c>
      <c r="F262" s="161"/>
      <c r="G262" s="159" t="str">
        <f ca="1">IF(K2ActualCompleteness[[#This Row],[Date]]&gt;K2_ControlAsOfDate,"NOT DUE",IF(AND(K2ActualCompleteness[[#This Row],[Date]]=K2_ControlAsOfDate,MOD(NOW(),1)&lt;K2_DailyCloseTime),"OPEN","DUE"))</f>
        <v>NOT DUE</v>
      </c>
      <c r="H262" s="159"/>
      <c r="I262" s="159"/>
      <c r="J262" s="159" t="str">
        <f>INDEX(K2CostCategories[Owner],3)</f>
        <v>Toolstore Supervisor</v>
      </c>
      <c r="K262" s="163"/>
      <c r="L262" s="159" t="s">
        <v>2917</v>
      </c>
      <c r="M262" s="160">
        <f ca="1">IF(K2ActualCompleteness[[#This Row],[Status]]="MISSING",MAX(0,24*(NOW()-(K2ActualCompleteness[[#This Row],[Date]]+K2_DailyCloseTime))),0)</f>
        <v>0</v>
      </c>
      <c r="N262" s="159" t="s">
        <v>2276</v>
      </c>
    </row>
    <row r="263" spans="1:14" ht="14.4">
      <c r="A263" s="164">
        <f>INDEX(DailyTrackingTable[Date],33)</f>
        <v>46247</v>
      </c>
      <c r="B263" s="159" t="str">
        <f>INDEX(K2CostCategories[Cost Category ID],4)</f>
        <v>GAS</v>
      </c>
      <c r="C263" s="159" t="str">
        <f>INDEX(K2CostCategories[Display Name],4)</f>
        <v>Gas Monitors</v>
      </c>
      <c r="D263" s="159" t="str">
        <f>INDEX(K2CostCategories[Actual Header],4)</f>
        <v>Gas Monitor Hire Actual</v>
      </c>
      <c r="E263" s="159" t="str">
        <f>INDEX(K2CostCategories[Actual Mode],4)</f>
        <v>AUTO</v>
      </c>
      <c r="F263" s="161"/>
      <c r="G263" s="159" t="str">
        <f ca="1">IF(K2ActualCompleteness[[#This Row],[Date]]&gt;K2_ControlAsOfDate,"NOT DUE",IF(AND(K2ActualCompleteness[[#This Row],[Date]]=K2_ControlAsOfDate,MOD(NOW(),1)&lt;K2_DailyCloseTime),"OPEN","DUE"))</f>
        <v>NOT DUE</v>
      </c>
      <c r="H263" s="159"/>
      <c r="I263" s="159"/>
      <c r="J263" s="159" t="str">
        <f>INDEX(K2CostCategories[Owner],4)</f>
        <v>Toolstore Supervisor</v>
      </c>
      <c r="K263" s="163"/>
      <c r="L263" s="159" t="s">
        <v>2917</v>
      </c>
      <c r="M263" s="160">
        <f ca="1">IF(K2ActualCompleteness[[#This Row],[Status]]="MISSING",MAX(0,24*(NOW()-(K2ActualCompleteness[[#This Row],[Date]]+K2_DailyCloseTime))),0)</f>
        <v>0</v>
      </c>
      <c r="N263" s="159" t="s">
        <v>2276</v>
      </c>
    </row>
    <row r="264" spans="1:14" ht="14.4">
      <c r="A264" s="164">
        <f>INDEX(DailyTrackingTable[Date],33)</f>
        <v>46247</v>
      </c>
      <c r="B264" s="159" t="str">
        <f>INDEX(K2CostCategories[Cost Category ID],5)</f>
        <v>LABOUR</v>
      </c>
      <c r="C264" s="159" t="str">
        <f>INDEX(K2CostCategories[Display Name],5)</f>
        <v>Personnel / Labour</v>
      </c>
      <c r="D264" s="159" t="str">
        <f>INDEX(K2CostCategories[Actual Header],5)</f>
        <v>Personnel / Labour Actual</v>
      </c>
      <c r="E264" s="159" t="str">
        <f>INDEX(K2CostCategories[Actual Mode],5)</f>
        <v>MANUAL</v>
      </c>
      <c r="F264" s="161"/>
      <c r="G264" s="159" t="str">
        <f ca="1">IF(K2ActualCompleteness[[#This Row],[Date]]&gt;K2_ControlAsOfDate,"NOT DUE",IF(AND(K2ActualCompleteness[[#This Row],[Date]]=K2_ControlAsOfDate,MOD(NOW(),1)&lt;K2_DailyCloseTime),"OPEN","DUE"))</f>
        <v>NOT DUE</v>
      </c>
      <c r="H264" s="159"/>
      <c r="I264" s="159"/>
      <c r="J264" s="159" t="str">
        <f>INDEX(K2CostCategories[Owner],5)</f>
        <v>Shutdown Manager</v>
      </c>
      <c r="K264" s="163"/>
      <c r="L264" s="159" t="s">
        <v>2917</v>
      </c>
      <c r="M264" s="160">
        <f ca="1">IF(K2ActualCompleteness[[#This Row],[Status]]="MISSING",MAX(0,24*(NOW()-(K2ActualCompleteness[[#This Row],[Date]]+K2_DailyCloseTime))),0)</f>
        <v>0</v>
      </c>
      <c r="N264" s="159" t="s">
        <v>2276</v>
      </c>
    </row>
    <row r="265" spans="1:14" ht="14.4">
      <c r="A265" s="164">
        <f>INDEX(DailyTrackingTable[Date],33)</f>
        <v>46247</v>
      </c>
      <c r="B265" s="159" t="str">
        <f>INDEX(K2CostCategories[Cost Category ID],6)</f>
        <v>ACCOM</v>
      </c>
      <c r="C265" s="159" t="str">
        <f>INDEX(K2CostCategories[Display Name],6)</f>
        <v>Accommodation</v>
      </c>
      <c r="D265" s="159" t="str">
        <f>INDEX(K2CostCategories[Actual Header],6)</f>
        <v>Accommodation Actual</v>
      </c>
      <c r="E265" s="159" t="str">
        <f>INDEX(K2CostCategories[Actual Mode],6)</f>
        <v>MANUAL</v>
      </c>
      <c r="F265" s="161"/>
      <c r="G265" s="159" t="str">
        <f ca="1">IF(K2ActualCompleteness[[#This Row],[Date]]&gt;K2_ControlAsOfDate,"NOT DUE",IF(AND(K2ActualCompleteness[[#This Row],[Date]]=K2_ControlAsOfDate,MOD(NOW(),1)&lt;K2_DailyCloseTime),"OPEN","DUE"))</f>
        <v>NOT DUE</v>
      </c>
      <c r="H265" s="159"/>
      <c r="I265" s="159"/>
      <c r="J265" s="159" t="str">
        <f>INDEX(K2CostCategories[Owner],6)</f>
        <v>Shutdown Manager</v>
      </c>
      <c r="K265" s="163"/>
      <c r="L265" s="159" t="s">
        <v>2917</v>
      </c>
      <c r="M265" s="160">
        <f ca="1">IF(K2ActualCompleteness[[#This Row],[Status]]="MISSING",MAX(0,24*(NOW()-(K2ActualCompleteness[[#This Row],[Date]]+K2_DailyCloseTime))),0)</f>
        <v>0</v>
      </c>
      <c r="N265" s="159" t="s">
        <v>2276</v>
      </c>
    </row>
    <row r="266" spans="1:14" ht="14.4">
      <c r="A266" s="164">
        <f>INDEX(DailyTrackingTable[Date],33)</f>
        <v>46247</v>
      </c>
      <c r="B266" s="159" t="str">
        <f>INDEX(K2CostCategories[Cost Category ID],7)</f>
        <v>TRANSPORT</v>
      </c>
      <c r="C266" s="159" t="str">
        <f>INDEX(K2CostCategories[Display Name],7)</f>
        <v>Transport</v>
      </c>
      <c r="D266" s="159" t="str">
        <f>INDEX(K2CostCategories[Actual Header],7)</f>
        <v>Transport Actual</v>
      </c>
      <c r="E266" s="159" t="str">
        <f>INDEX(K2CostCategories[Actual Mode],7)</f>
        <v>MANUAL</v>
      </c>
      <c r="F266" s="161"/>
      <c r="G266" s="159" t="str">
        <f ca="1">IF(K2ActualCompleteness[[#This Row],[Date]]&gt;K2_ControlAsOfDate,"NOT DUE",IF(AND(K2ActualCompleteness[[#This Row],[Date]]=K2_ControlAsOfDate,MOD(NOW(),1)&lt;K2_DailyCloseTime),"OPEN","DUE"))</f>
        <v>NOT DUE</v>
      </c>
      <c r="H266" s="159"/>
      <c r="I266" s="159"/>
      <c r="J266" s="159" t="str">
        <f>INDEX(K2CostCategories[Owner],7)</f>
        <v>Commercial Manager</v>
      </c>
      <c r="K266" s="163"/>
      <c r="L266" s="159" t="s">
        <v>2917</v>
      </c>
      <c r="M266" s="160">
        <f ca="1">IF(K2ActualCompleteness[[#This Row],[Status]]="MISSING",MAX(0,24*(NOW()-(K2ActualCompleteness[[#This Row],[Date]]+K2_DailyCloseTime))),0)</f>
        <v>0</v>
      </c>
      <c r="N266" s="159" t="s">
        <v>2276</v>
      </c>
    </row>
    <row r="267" spans="1:14" ht="14.4">
      <c r="A267" s="164">
        <f>INDEX(DailyTrackingTable[Date],33)</f>
        <v>46247</v>
      </c>
      <c r="B267" s="159" t="str">
        <f>INDEX(K2CostCategories[Cost Category ID],8)</f>
        <v>DAMAGE</v>
      </c>
      <c r="C267" s="159" t="str">
        <f>INDEX(K2CostCategories[Display Name],8)</f>
        <v>Damage Recovery</v>
      </c>
      <c r="D267" s="159" t="str">
        <f>INDEX(K2CostCategories[Actual Header],8)</f>
        <v>Damage Recovery Actual</v>
      </c>
      <c r="E267" s="159" t="str">
        <f>INDEX(K2CostCategories[Actual Mode],8)</f>
        <v>MANUAL</v>
      </c>
      <c r="F267" s="161"/>
      <c r="G267" s="159" t="str">
        <f ca="1">IF(K2ActualCompleteness[[#This Row],[Date]]&gt;K2_ControlAsOfDate,"NOT DUE",IF(AND(K2ActualCompleteness[[#This Row],[Date]]=K2_ControlAsOfDate,MOD(NOW(),1)&lt;K2_DailyCloseTime),"OPEN","DUE"))</f>
        <v>NOT DUE</v>
      </c>
      <c r="H267" s="159"/>
      <c r="I267" s="159"/>
      <c r="J267" s="159" t="str">
        <f>INDEX(K2CostCategories[Owner],8)</f>
        <v>Commercial Manager</v>
      </c>
      <c r="K267" s="163"/>
      <c r="L267" s="159" t="s">
        <v>2917</v>
      </c>
      <c r="M267" s="160">
        <f ca="1">IF(K2ActualCompleteness[[#This Row],[Status]]="MISSING",MAX(0,24*(NOW()-(K2ActualCompleteness[[#This Row],[Date]]+K2_DailyCloseTime))),0)</f>
        <v>0</v>
      </c>
      <c r="N267" s="159" t="s">
        <v>2276</v>
      </c>
    </row>
    <row r="268" spans="1:14" ht="14.4">
      <c r="A268" s="164">
        <f>INDEX(DailyTrackingTable[Date],34)</f>
        <v>46248</v>
      </c>
      <c r="B268" s="159" t="str">
        <f>INDEX(K2CostCategories[Cost Category ID],1)</f>
        <v>PLANT</v>
      </c>
      <c r="C268" s="159" t="str">
        <f>INDEX(K2CostCategories[Display Name],1)</f>
        <v>Plant Equipment</v>
      </c>
      <c r="D268" s="159" t="str">
        <f>INDEX(K2CostCategories[Actual Header],1)</f>
        <v>Plant Equipment Hire Actual</v>
      </c>
      <c r="E268" s="159" t="str">
        <f>INDEX(K2CostCategories[Actual Mode],1)</f>
        <v>AUTO</v>
      </c>
      <c r="F268" s="161"/>
      <c r="G268" s="159" t="str">
        <f ca="1">IF(K2ActualCompleteness[[#This Row],[Date]]&gt;K2_ControlAsOfDate,"NOT DUE",IF(AND(K2ActualCompleteness[[#This Row],[Date]]=K2_ControlAsOfDate,MOD(NOW(),1)&lt;K2_DailyCloseTime),"OPEN","DUE"))</f>
        <v>NOT DUE</v>
      </c>
      <c r="H268" s="159"/>
      <c r="I268" s="159"/>
      <c r="J268" s="159" t="str">
        <f>INDEX(K2CostCategories[Owner],1)</f>
        <v>Plant Coordinator</v>
      </c>
      <c r="K268" s="163"/>
      <c r="L268" s="159" t="s">
        <v>2917</v>
      </c>
      <c r="M268" s="160">
        <f ca="1">IF(K2ActualCompleteness[[#This Row],[Status]]="MISSING",MAX(0,24*(NOW()-(K2ActualCompleteness[[#This Row],[Date]]+K2_DailyCloseTime))),0)</f>
        <v>0</v>
      </c>
      <c r="N268" s="159" t="s">
        <v>2276</v>
      </c>
    </row>
    <row r="269" spans="1:14" ht="14.4">
      <c r="A269" s="164">
        <f>INDEX(DailyTrackingTable[Date],34)</f>
        <v>46248</v>
      </c>
      <c r="B269" s="159" t="str">
        <f>INDEX(K2CostCategories[Cost Category ID],2)</f>
        <v>TOOLING</v>
      </c>
      <c r="C269" s="159" t="str">
        <f>INDEX(K2CostCategories[Display Name],2)</f>
        <v>Tooling Hire</v>
      </c>
      <c r="D269" s="159" t="str">
        <f>INDEX(K2CostCategories[Actual Header],2)</f>
        <v>Tooling Hire Actual</v>
      </c>
      <c r="E269" s="159" t="str">
        <f>INDEX(K2CostCategories[Actual Mode],2)</f>
        <v>AUTO</v>
      </c>
      <c r="F269" s="161"/>
      <c r="G269" s="159" t="str">
        <f ca="1">IF(K2ActualCompleteness[[#This Row],[Date]]&gt;K2_ControlAsOfDate,"NOT DUE",IF(AND(K2ActualCompleteness[[#This Row],[Date]]=K2_ControlAsOfDate,MOD(NOW(),1)&lt;K2_DailyCloseTime),"OPEN","DUE"))</f>
        <v>NOT DUE</v>
      </c>
      <c r="H269" s="159"/>
      <c r="I269" s="159"/>
      <c r="J269" s="159" t="str">
        <f>INDEX(K2CostCategories[Owner],2)</f>
        <v>Toolstore Supervisor</v>
      </c>
      <c r="K269" s="163"/>
      <c r="L269" s="159" t="s">
        <v>2917</v>
      </c>
      <c r="M269" s="160">
        <f ca="1">IF(K2ActualCompleteness[[#This Row],[Status]]="MISSING",MAX(0,24*(NOW()-(K2ActualCompleteness[[#This Row],[Date]]+K2_DailyCloseTime))),0)</f>
        <v>0</v>
      </c>
      <c r="N269" s="159" t="s">
        <v>2276</v>
      </c>
    </row>
    <row r="270" spans="1:14" ht="14.4">
      <c r="A270" s="164">
        <f>INDEX(DailyTrackingTable[Date],34)</f>
        <v>46248</v>
      </c>
      <c r="B270" s="159" t="str">
        <f>INDEX(K2CostCategories[Cost Category ID],3)</f>
        <v>RADIO</v>
      </c>
      <c r="C270" s="159" t="str">
        <f>INDEX(K2CostCategories[Display Name],3)</f>
        <v>Radio Family</v>
      </c>
      <c r="D270" s="159" t="str">
        <f>INDEX(K2CostCategories[Actual Header],3)</f>
        <v>Radio Hire Actual</v>
      </c>
      <c r="E270" s="159" t="str">
        <f>INDEX(K2CostCategories[Actual Mode],3)</f>
        <v>AUTO_COMBINED</v>
      </c>
      <c r="F270" s="161"/>
      <c r="G270" s="159" t="str">
        <f ca="1">IF(K2ActualCompleteness[[#This Row],[Date]]&gt;K2_ControlAsOfDate,"NOT DUE",IF(AND(K2ActualCompleteness[[#This Row],[Date]]=K2_ControlAsOfDate,MOD(NOW(),1)&lt;K2_DailyCloseTime),"OPEN","DUE"))</f>
        <v>NOT DUE</v>
      </c>
      <c r="H270" s="159"/>
      <c r="I270" s="159"/>
      <c r="J270" s="159" t="str">
        <f>INDEX(K2CostCategories[Owner],3)</f>
        <v>Toolstore Supervisor</v>
      </c>
      <c r="K270" s="163"/>
      <c r="L270" s="159" t="s">
        <v>2917</v>
      </c>
      <c r="M270" s="160">
        <f ca="1">IF(K2ActualCompleteness[[#This Row],[Status]]="MISSING",MAX(0,24*(NOW()-(K2ActualCompleteness[[#This Row],[Date]]+K2_DailyCloseTime))),0)</f>
        <v>0</v>
      </c>
      <c r="N270" s="159" t="s">
        <v>2276</v>
      </c>
    </row>
    <row r="271" spans="1:14" ht="14.4">
      <c r="A271" s="164">
        <f>INDEX(DailyTrackingTable[Date],34)</f>
        <v>46248</v>
      </c>
      <c r="B271" s="159" t="str">
        <f>INDEX(K2CostCategories[Cost Category ID],4)</f>
        <v>GAS</v>
      </c>
      <c r="C271" s="159" t="str">
        <f>INDEX(K2CostCategories[Display Name],4)</f>
        <v>Gas Monitors</v>
      </c>
      <c r="D271" s="159" t="str">
        <f>INDEX(K2CostCategories[Actual Header],4)</f>
        <v>Gas Monitor Hire Actual</v>
      </c>
      <c r="E271" s="159" t="str">
        <f>INDEX(K2CostCategories[Actual Mode],4)</f>
        <v>AUTO</v>
      </c>
      <c r="F271" s="161"/>
      <c r="G271" s="159" t="str">
        <f ca="1">IF(K2ActualCompleteness[[#This Row],[Date]]&gt;K2_ControlAsOfDate,"NOT DUE",IF(AND(K2ActualCompleteness[[#This Row],[Date]]=K2_ControlAsOfDate,MOD(NOW(),1)&lt;K2_DailyCloseTime),"OPEN","DUE"))</f>
        <v>NOT DUE</v>
      </c>
      <c r="H271" s="159"/>
      <c r="I271" s="159"/>
      <c r="J271" s="159" t="str">
        <f>INDEX(K2CostCategories[Owner],4)</f>
        <v>Toolstore Supervisor</v>
      </c>
      <c r="K271" s="163"/>
      <c r="L271" s="159" t="s">
        <v>2917</v>
      </c>
      <c r="M271" s="160">
        <f ca="1">IF(K2ActualCompleteness[[#This Row],[Status]]="MISSING",MAX(0,24*(NOW()-(K2ActualCompleteness[[#This Row],[Date]]+K2_DailyCloseTime))),0)</f>
        <v>0</v>
      </c>
      <c r="N271" s="159" t="s">
        <v>2276</v>
      </c>
    </row>
    <row r="272" spans="1:14" ht="14.4">
      <c r="A272" s="164">
        <f>INDEX(DailyTrackingTable[Date],34)</f>
        <v>46248</v>
      </c>
      <c r="B272" s="159" t="str">
        <f>INDEX(K2CostCategories[Cost Category ID],5)</f>
        <v>LABOUR</v>
      </c>
      <c r="C272" s="159" t="str">
        <f>INDEX(K2CostCategories[Display Name],5)</f>
        <v>Personnel / Labour</v>
      </c>
      <c r="D272" s="159" t="str">
        <f>INDEX(K2CostCategories[Actual Header],5)</f>
        <v>Personnel / Labour Actual</v>
      </c>
      <c r="E272" s="159" t="str">
        <f>INDEX(K2CostCategories[Actual Mode],5)</f>
        <v>MANUAL</v>
      </c>
      <c r="F272" s="161"/>
      <c r="G272" s="159" t="str">
        <f ca="1">IF(K2ActualCompleteness[[#This Row],[Date]]&gt;K2_ControlAsOfDate,"NOT DUE",IF(AND(K2ActualCompleteness[[#This Row],[Date]]=K2_ControlAsOfDate,MOD(NOW(),1)&lt;K2_DailyCloseTime),"OPEN","DUE"))</f>
        <v>NOT DUE</v>
      </c>
      <c r="H272" s="159"/>
      <c r="I272" s="159"/>
      <c r="J272" s="159" t="str">
        <f>INDEX(K2CostCategories[Owner],5)</f>
        <v>Shutdown Manager</v>
      </c>
      <c r="K272" s="163"/>
      <c r="L272" s="159" t="s">
        <v>2917</v>
      </c>
      <c r="M272" s="160">
        <f ca="1">IF(K2ActualCompleteness[[#This Row],[Status]]="MISSING",MAX(0,24*(NOW()-(K2ActualCompleteness[[#This Row],[Date]]+K2_DailyCloseTime))),0)</f>
        <v>0</v>
      </c>
      <c r="N272" s="159" t="s">
        <v>2276</v>
      </c>
    </row>
    <row r="273" spans="1:14" ht="14.4">
      <c r="A273" s="164">
        <f>INDEX(DailyTrackingTable[Date],34)</f>
        <v>46248</v>
      </c>
      <c r="B273" s="159" t="str">
        <f>INDEX(K2CostCategories[Cost Category ID],6)</f>
        <v>ACCOM</v>
      </c>
      <c r="C273" s="159" t="str">
        <f>INDEX(K2CostCategories[Display Name],6)</f>
        <v>Accommodation</v>
      </c>
      <c r="D273" s="159" t="str">
        <f>INDEX(K2CostCategories[Actual Header],6)</f>
        <v>Accommodation Actual</v>
      </c>
      <c r="E273" s="159" t="str">
        <f>INDEX(K2CostCategories[Actual Mode],6)</f>
        <v>MANUAL</v>
      </c>
      <c r="F273" s="161"/>
      <c r="G273" s="159" t="str">
        <f ca="1">IF(K2ActualCompleteness[[#This Row],[Date]]&gt;K2_ControlAsOfDate,"NOT DUE",IF(AND(K2ActualCompleteness[[#This Row],[Date]]=K2_ControlAsOfDate,MOD(NOW(),1)&lt;K2_DailyCloseTime),"OPEN","DUE"))</f>
        <v>NOT DUE</v>
      </c>
      <c r="H273" s="159"/>
      <c r="I273" s="159"/>
      <c r="J273" s="159" t="str">
        <f>INDEX(K2CostCategories[Owner],6)</f>
        <v>Shutdown Manager</v>
      </c>
      <c r="K273" s="163"/>
      <c r="L273" s="159" t="s">
        <v>2917</v>
      </c>
      <c r="M273" s="160">
        <f ca="1">IF(K2ActualCompleteness[[#This Row],[Status]]="MISSING",MAX(0,24*(NOW()-(K2ActualCompleteness[[#This Row],[Date]]+K2_DailyCloseTime))),0)</f>
        <v>0</v>
      </c>
      <c r="N273" s="159" t="s">
        <v>2276</v>
      </c>
    </row>
    <row r="274" spans="1:14" ht="14.4">
      <c r="A274" s="164">
        <f>INDEX(DailyTrackingTable[Date],34)</f>
        <v>46248</v>
      </c>
      <c r="B274" s="159" t="str">
        <f>INDEX(K2CostCategories[Cost Category ID],7)</f>
        <v>TRANSPORT</v>
      </c>
      <c r="C274" s="159" t="str">
        <f>INDEX(K2CostCategories[Display Name],7)</f>
        <v>Transport</v>
      </c>
      <c r="D274" s="159" t="str">
        <f>INDEX(K2CostCategories[Actual Header],7)</f>
        <v>Transport Actual</v>
      </c>
      <c r="E274" s="159" t="str">
        <f>INDEX(K2CostCategories[Actual Mode],7)</f>
        <v>MANUAL</v>
      </c>
      <c r="F274" s="161"/>
      <c r="G274" s="159" t="str">
        <f ca="1">IF(K2ActualCompleteness[[#This Row],[Date]]&gt;K2_ControlAsOfDate,"NOT DUE",IF(AND(K2ActualCompleteness[[#This Row],[Date]]=K2_ControlAsOfDate,MOD(NOW(),1)&lt;K2_DailyCloseTime),"OPEN","DUE"))</f>
        <v>NOT DUE</v>
      </c>
      <c r="H274" s="159"/>
      <c r="I274" s="159"/>
      <c r="J274" s="159" t="str">
        <f>INDEX(K2CostCategories[Owner],7)</f>
        <v>Commercial Manager</v>
      </c>
      <c r="K274" s="163"/>
      <c r="L274" s="159" t="s">
        <v>2917</v>
      </c>
      <c r="M274" s="160">
        <f ca="1">IF(K2ActualCompleteness[[#This Row],[Status]]="MISSING",MAX(0,24*(NOW()-(K2ActualCompleteness[[#This Row],[Date]]+K2_DailyCloseTime))),0)</f>
        <v>0</v>
      </c>
      <c r="N274" s="159" t="s">
        <v>2276</v>
      </c>
    </row>
    <row r="275" spans="1:14" ht="14.4">
      <c r="A275" s="164">
        <f>INDEX(DailyTrackingTable[Date],34)</f>
        <v>46248</v>
      </c>
      <c r="B275" s="159" t="str">
        <f>INDEX(K2CostCategories[Cost Category ID],8)</f>
        <v>DAMAGE</v>
      </c>
      <c r="C275" s="159" t="str">
        <f>INDEX(K2CostCategories[Display Name],8)</f>
        <v>Damage Recovery</v>
      </c>
      <c r="D275" s="159" t="str">
        <f>INDEX(K2CostCategories[Actual Header],8)</f>
        <v>Damage Recovery Actual</v>
      </c>
      <c r="E275" s="159" t="str">
        <f>INDEX(K2CostCategories[Actual Mode],8)</f>
        <v>MANUAL</v>
      </c>
      <c r="F275" s="161"/>
      <c r="G275" s="159" t="str">
        <f ca="1">IF(K2ActualCompleteness[[#This Row],[Date]]&gt;K2_ControlAsOfDate,"NOT DUE",IF(AND(K2ActualCompleteness[[#This Row],[Date]]=K2_ControlAsOfDate,MOD(NOW(),1)&lt;K2_DailyCloseTime),"OPEN","DUE"))</f>
        <v>NOT DUE</v>
      </c>
      <c r="H275" s="159"/>
      <c r="I275" s="159"/>
      <c r="J275" s="159" t="str">
        <f>INDEX(K2CostCategories[Owner],8)</f>
        <v>Commercial Manager</v>
      </c>
      <c r="K275" s="163"/>
      <c r="L275" s="159" t="s">
        <v>2917</v>
      </c>
      <c r="M275" s="160">
        <f ca="1">IF(K2ActualCompleteness[[#This Row],[Status]]="MISSING",MAX(0,24*(NOW()-(K2ActualCompleteness[[#This Row],[Date]]+K2_DailyCloseTime))),0)</f>
        <v>0</v>
      </c>
      <c r="N275" s="159" t="s">
        <v>2276</v>
      </c>
    </row>
    <row r="276" spans="1:14" ht="14.4">
      <c r="A276" s="164">
        <f>INDEX(DailyTrackingTable[Date],35)</f>
        <v>46249</v>
      </c>
      <c r="B276" s="159" t="str">
        <f>INDEX(K2CostCategories[Cost Category ID],1)</f>
        <v>PLANT</v>
      </c>
      <c r="C276" s="159" t="str">
        <f>INDEX(K2CostCategories[Display Name],1)</f>
        <v>Plant Equipment</v>
      </c>
      <c r="D276" s="159" t="str">
        <f>INDEX(K2CostCategories[Actual Header],1)</f>
        <v>Plant Equipment Hire Actual</v>
      </c>
      <c r="E276" s="159" t="str">
        <f>INDEX(K2CostCategories[Actual Mode],1)</f>
        <v>AUTO</v>
      </c>
      <c r="F276" s="161"/>
      <c r="G276" s="159" t="str">
        <f ca="1">IF(K2ActualCompleteness[[#This Row],[Date]]&gt;K2_ControlAsOfDate,"NOT DUE",IF(AND(K2ActualCompleteness[[#This Row],[Date]]=K2_ControlAsOfDate,MOD(NOW(),1)&lt;K2_DailyCloseTime),"OPEN","DUE"))</f>
        <v>NOT DUE</v>
      </c>
      <c r="H276" s="159"/>
      <c r="I276" s="159"/>
      <c r="J276" s="159" t="str">
        <f>INDEX(K2CostCategories[Owner],1)</f>
        <v>Plant Coordinator</v>
      </c>
      <c r="K276" s="163"/>
      <c r="L276" s="159" t="s">
        <v>2917</v>
      </c>
      <c r="M276" s="160">
        <f ca="1">IF(K2ActualCompleteness[[#This Row],[Status]]="MISSING",MAX(0,24*(NOW()-(K2ActualCompleteness[[#This Row],[Date]]+K2_DailyCloseTime))),0)</f>
        <v>0</v>
      </c>
      <c r="N276" s="159" t="s">
        <v>2276</v>
      </c>
    </row>
    <row r="277" spans="1:14" ht="14.4">
      <c r="A277" s="164">
        <f>INDEX(DailyTrackingTable[Date],35)</f>
        <v>46249</v>
      </c>
      <c r="B277" s="159" t="str">
        <f>INDEX(K2CostCategories[Cost Category ID],2)</f>
        <v>TOOLING</v>
      </c>
      <c r="C277" s="159" t="str">
        <f>INDEX(K2CostCategories[Display Name],2)</f>
        <v>Tooling Hire</v>
      </c>
      <c r="D277" s="159" t="str">
        <f>INDEX(K2CostCategories[Actual Header],2)</f>
        <v>Tooling Hire Actual</v>
      </c>
      <c r="E277" s="159" t="str">
        <f>INDEX(K2CostCategories[Actual Mode],2)</f>
        <v>AUTO</v>
      </c>
      <c r="F277" s="161"/>
      <c r="G277" s="159" t="str">
        <f ca="1">IF(K2ActualCompleteness[[#This Row],[Date]]&gt;K2_ControlAsOfDate,"NOT DUE",IF(AND(K2ActualCompleteness[[#This Row],[Date]]=K2_ControlAsOfDate,MOD(NOW(),1)&lt;K2_DailyCloseTime),"OPEN","DUE"))</f>
        <v>NOT DUE</v>
      </c>
      <c r="H277" s="159"/>
      <c r="I277" s="159"/>
      <c r="J277" s="159" t="str">
        <f>INDEX(K2CostCategories[Owner],2)</f>
        <v>Toolstore Supervisor</v>
      </c>
      <c r="K277" s="163"/>
      <c r="L277" s="159" t="s">
        <v>2917</v>
      </c>
      <c r="M277" s="160">
        <f ca="1">IF(K2ActualCompleteness[[#This Row],[Status]]="MISSING",MAX(0,24*(NOW()-(K2ActualCompleteness[[#This Row],[Date]]+K2_DailyCloseTime))),0)</f>
        <v>0</v>
      </c>
      <c r="N277" s="159" t="s">
        <v>2276</v>
      </c>
    </row>
    <row r="278" spans="1:14" ht="14.4">
      <c r="A278" s="164">
        <f>INDEX(DailyTrackingTable[Date],35)</f>
        <v>46249</v>
      </c>
      <c r="B278" s="159" t="str">
        <f>INDEX(K2CostCategories[Cost Category ID],3)</f>
        <v>RADIO</v>
      </c>
      <c r="C278" s="159" t="str">
        <f>INDEX(K2CostCategories[Display Name],3)</f>
        <v>Radio Family</v>
      </c>
      <c r="D278" s="159" t="str">
        <f>INDEX(K2CostCategories[Actual Header],3)</f>
        <v>Radio Hire Actual</v>
      </c>
      <c r="E278" s="159" t="str">
        <f>INDEX(K2CostCategories[Actual Mode],3)</f>
        <v>AUTO_COMBINED</v>
      </c>
      <c r="F278" s="161"/>
      <c r="G278" s="159" t="str">
        <f ca="1">IF(K2ActualCompleteness[[#This Row],[Date]]&gt;K2_ControlAsOfDate,"NOT DUE",IF(AND(K2ActualCompleteness[[#This Row],[Date]]=K2_ControlAsOfDate,MOD(NOW(),1)&lt;K2_DailyCloseTime),"OPEN","DUE"))</f>
        <v>NOT DUE</v>
      </c>
      <c r="H278" s="159"/>
      <c r="I278" s="159"/>
      <c r="J278" s="159" t="str">
        <f>INDEX(K2CostCategories[Owner],3)</f>
        <v>Toolstore Supervisor</v>
      </c>
      <c r="K278" s="163"/>
      <c r="L278" s="159" t="s">
        <v>2917</v>
      </c>
      <c r="M278" s="160">
        <f ca="1">IF(K2ActualCompleteness[[#This Row],[Status]]="MISSING",MAX(0,24*(NOW()-(K2ActualCompleteness[[#This Row],[Date]]+K2_DailyCloseTime))),0)</f>
        <v>0</v>
      </c>
      <c r="N278" s="159" t="s">
        <v>2276</v>
      </c>
    </row>
    <row r="279" spans="1:14" ht="14.4">
      <c r="A279" s="164">
        <f>INDEX(DailyTrackingTable[Date],35)</f>
        <v>46249</v>
      </c>
      <c r="B279" s="159" t="str">
        <f>INDEX(K2CostCategories[Cost Category ID],4)</f>
        <v>GAS</v>
      </c>
      <c r="C279" s="159" t="str">
        <f>INDEX(K2CostCategories[Display Name],4)</f>
        <v>Gas Monitors</v>
      </c>
      <c r="D279" s="159" t="str">
        <f>INDEX(K2CostCategories[Actual Header],4)</f>
        <v>Gas Monitor Hire Actual</v>
      </c>
      <c r="E279" s="159" t="str">
        <f>INDEX(K2CostCategories[Actual Mode],4)</f>
        <v>AUTO</v>
      </c>
      <c r="F279" s="161"/>
      <c r="G279" s="159" t="str">
        <f ca="1">IF(K2ActualCompleteness[[#This Row],[Date]]&gt;K2_ControlAsOfDate,"NOT DUE",IF(AND(K2ActualCompleteness[[#This Row],[Date]]=K2_ControlAsOfDate,MOD(NOW(),1)&lt;K2_DailyCloseTime),"OPEN","DUE"))</f>
        <v>NOT DUE</v>
      </c>
      <c r="H279" s="159"/>
      <c r="I279" s="159"/>
      <c r="J279" s="159" t="str">
        <f>INDEX(K2CostCategories[Owner],4)</f>
        <v>Toolstore Supervisor</v>
      </c>
      <c r="K279" s="163"/>
      <c r="L279" s="159" t="s">
        <v>2917</v>
      </c>
      <c r="M279" s="160">
        <f ca="1">IF(K2ActualCompleteness[[#This Row],[Status]]="MISSING",MAX(0,24*(NOW()-(K2ActualCompleteness[[#This Row],[Date]]+K2_DailyCloseTime))),0)</f>
        <v>0</v>
      </c>
      <c r="N279" s="159" t="s">
        <v>2276</v>
      </c>
    </row>
    <row r="280" spans="1:14" ht="14.4">
      <c r="A280" s="164">
        <f>INDEX(DailyTrackingTable[Date],35)</f>
        <v>46249</v>
      </c>
      <c r="B280" s="159" t="str">
        <f>INDEX(K2CostCategories[Cost Category ID],5)</f>
        <v>LABOUR</v>
      </c>
      <c r="C280" s="159" t="str">
        <f>INDEX(K2CostCategories[Display Name],5)</f>
        <v>Personnel / Labour</v>
      </c>
      <c r="D280" s="159" t="str">
        <f>INDEX(K2CostCategories[Actual Header],5)</f>
        <v>Personnel / Labour Actual</v>
      </c>
      <c r="E280" s="159" t="str">
        <f>INDEX(K2CostCategories[Actual Mode],5)</f>
        <v>MANUAL</v>
      </c>
      <c r="F280" s="161"/>
      <c r="G280" s="159" t="str">
        <f ca="1">IF(K2ActualCompleteness[[#This Row],[Date]]&gt;K2_ControlAsOfDate,"NOT DUE",IF(AND(K2ActualCompleteness[[#This Row],[Date]]=K2_ControlAsOfDate,MOD(NOW(),1)&lt;K2_DailyCloseTime),"OPEN","DUE"))</f>
        <v>NOT DUE</v>
      </c>
      <c r="H280" s="159"/>
      <c r="I280" s="159"/>
      <c r="J280" s="159" t="str">
        <f>INDEX(K2CostCategories[Owner],5)</f>
        <v>Shutdown Manager</v>
      </c>
      <c r="K280" s="163"/>
      <c r="L280" s="159" t="s">
        <v>2917</v>
      </c>
      <c r="M280" s="160">
        <f ca="1">IF(K2ActualCompleteness[[#This Row],[Status]]="MISSING",MAX(0,24*(NOW()-(K2ActualCompleteness[[#This Row],[Date]]+K2_DailyCloseTime))),0)</f>
        <v>0</v>
      </c>
      <c r="N280" s="159" t="s">
        <v>2276</v>
      </c>
    </row>
    <row r="281" spans="1:14" ht="14.4">
      <c r="A281" s="164">
        <f>INDEX(DailyTrackingTable[Date],35)</f>
        <v>46249</v>
      </c>
      <c r="B281" s="159" t="str">
        <f>INDEX(K2CostCategories[Cost Category ID],6)</f>
        <v>ACCOM</v>
      </c>
      <c r="C281" s="159" t="str">
        <f>INDEX(K2CostCategories[Display Name],6)</f>
        <v>Accommodation</v>
      </c>
      <c r="D281" s="159" t="str">
        <f>INDEX(K2CostCategories[Actual Header],6)</f>
        <v>Accommodation Actual</v>
      </c>
      <c r="E281" s="159" t="str">
        <f>INDEX(K2CostCategories[Actual Mode],6)</f>
        <v>MANUAL</v>
      </c>
      <c r="F281" s="161"/>
      <c r="G281" s="159" t="str">
        <f ca="1">IF(K2ActualCompleteness[[#This Row],[Date]]&gt;K2_ControlAsOfDate,"NOT DUE",IF(AND(K2ActualCompleteness[[#This Row],[Date]]=K2_ControlAsOfDate,MOD(NOW(),1)&lt;K2_DailyCloseTime),"OPEN","DUE"))</f>
        <v>NOT DUE</v>
      </c>
      <c r="H281" s="159"/>
      <c r="I281" s="159"/>
      <c r="J281" s="159" t="str">
        <f>INDEX(K2CostCategories[Owner],6)</f>
        <v>Shutdown Manager</v>
      </c>
      <c r="K281" s="163"/>
      <c r="L281" s="159" t="s">
        <v>2917</v>
      </c>
      <c r="M281" s="160">
        <f ca="1">IF(K2ActualCompleteness[[#This Row],[Status]]="MISSING",MAX(0,24*(NOW()-(K2ActualCompleteness[[#This Row],[Date]]+K2_DailyCloseTime))),0)</f>
        <v>0</v>
      </c>
      <c r="N281" s="159" t="s">
        <v>2276</v>
      </c>
    </row>
    <row r="282" spans="1:14" ht="14.4">
      <c r="A282" s="164">
        <f>INDEX(DailyTrackingTable[Date],35)</f>
        <v>46249</v>
      </c>
      <c r="B282" s="159" t="str">
        <f>INDEX(K2CostCategories[Cost Category ID],7)</f>
        <v>TRANSPORT</v>
      </c>
      <c r="C282" s="159" t="str">
        <f>INDEX(K2CostCategories[Display Name],7)</f>
        <v>Transport</v>
      </c>
      <c r="D282" s="159" t="str">
        <f>INDEX(K2CostCategories[Actual Header],7)</f>
        <v>Transport Actual</v>
      </c>
      <c r="E282" s="159" t="str">
        <f>INDEX(K2CostCategories[Actual Mode],7)</f>
        <v>MANUAL</v>
      </c>
      <c r="F282" s="161"/>
      <c r="G282" s="159" t="str">
        <f ca="1">IF(K2ActualCompleteness[[#This Row],[Date]]&gt;K2_ControlAsOfDate,"NOT DUE",IF(AND(K2ActualCompleteness[[#This Row],[Date]]=K2_ControlAsOfDate,MOD(NOW(),1)&lt;K2_DailyCloseTime),"OPEN","DUE"))</f>
        <v>NOT DUE</v>
      </c>
      <c r="H282" s="159"/>
      <c r="I282" s="159"/>
      <c r="J282" s="159" t="str">
        <f>INDEX(K2CostCategories[Owner],7)</f>
        <v>Commercial Manager</v>
      </c>
      <c r="K282" s="163"/>
      <c r="L282" s="159" t="s">
        <v>2917</v>
      </c>
      <c r="M282" s="160">
        <f ca="1">IF(K2ActualCompleteness[[#This Row],[Status]]="MISSING",MAX(0,24*(NOW()-(K2ActualCompleteness[[#This Row],[Date]]+K2_DailyCloseTime))),0)</f>
        <v>0</v>
      </c>
      <c r="N282" s="159" t="s">
        <v>2276</v>
      </c>
    </row>
    <row r="283" spans="1:14" ht="14.4">
      <c r="A283" s="164">
        <f>INDEX(DailyTrackingTable[Date],35)</f>
        <v>46249</v>
      </c>
      <c r="B283" s="159" t="str">
        <f>INDEX(K2CostCategories[Cost Category ID],8)</f>
        <v>DAMAGE</v>
      </c>
      <c r="C283" s="159" t="str">
        <f>INDEX(K2CostCategories[Display Name],8)</f>
        <v>Damage Recovery</v>
      </c>
      <c r="D283" s="159" t="str">
        <f>INDEX(K2CostCategories[Actual Header],8)</f>
        <v>Damage Recovery Actual</v>
      </c>
      <c r="E283" s="159" t="str">
        <f>INDEX(K2CostCategories[Actual Mode],8)</f>
        <v>MANUAL</v>
      </c>
      <c r="F283" s="161"/>
      <c r="G283" s="159" t="str">
        <f ca="1">IF(K2ActualCompleteness[[#This Row],[Date]]&gt;K2_ControlAsOfDate,"NOT DUE",IF(AND(K2ActualCompleteness[[#This Row],[Date]]=K2_ControlAsOfDate,MOD(NOW(),1)&lt;K2_DailyCloseTime),"OPEN","DUE"))</f>
        <v>NOT DUE</v>
      </c>
      <c r="H283" s="159"/>
      <c r="I283" s="159"/>
      <c r="J283" s="159" t="str">
        <f>INDEX(K2CostCategories[Owner],8)</f>
        <v>Commercial Manager</v>
      </c>
      <c r="K283" s="163"/>
      <c r="L283" s="159" t="s">
        <v>2917</v>
      </c>
      <c r="M283" s="160">
        <f ca="1">IF(K2ActualCompleteness[[#This Row],[Status]]="MISSING",MAX(0,24*(NOW()-(K2ActualCompleteness[[#This Row],[Date]]+K2_DailyCloseTime))),0)</f>
        <v>0</v>
      </c>
      <c r="N283" s="159" t="s">
        <v>2276</v>
      </c>
    </row>
  </sheetData>
  <mergeCells count="1">
    <mergeCell ref="A1:AZ1"/>
  </mergeCells>
  <pageMargins left="0.25" right="0.25" top="0.35" bottom="0.35" header="0.1" footer="0.1"/>
  <pageSetup paperSize="9" orientation="landscape"/>
  <tableParts count="4">
    <tablePart r:id="rId1"/>
    <tablePart r:id="rId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68F2F-4EAF-4BC9-ACEE-AD8446B08D95}">
  <sheetPr>
    <tabColor rgb="FFFA4600"/>
  </sheetPr>
  <dimension ref="A1:G62"/>
  <sheetViews>
    <sheetView showGridLines="0" workbookViewId="0">
      <pane ySplit="4" topLeftCell="A5" activePane="bottomLeft" state="frozen"/>
      <selection pane="bottomLeft" activeCell="C28" sqref="C28"/>
    </sheetView>
  </sheetViews>
  <sheetFormatPr defaultColWidth="9" defaultRowHeight="13.2"/>
  <cols>
    <col min="1" max="1" width="18.09765625" style="320" bestFit="1" customWidth="1"/>
    <col min="2" max="2" width="15.296875" style="320" bestFit="1" customWidth="1"/>
    <col min="3" max="3" width="58.69921875" style="320" bestFit="1" customWidth="1"/>
    <col min="4" max="5" width="15.09765625" style="331" bestFit="1" customWidth="1"/>
    <col min="6" max="6" width="14.59765625" style="331" bestFit="1" customWidth="1"/>
    <col min="7" max="7" width="10" style="331" bestFit="1" customWidth="1"/>
    <col min="8" max="16384" width="9" style="320"/>
  </cols>
  <sheetData>
    <row r="1" spans="1:7" ht="31.95" customHeight="1">
      <c r="A1" s="578" t="s">
        <v>3060</v>
      </c>
      <c r="B1" s="578"/>
      <c r="C1" s="578"/>
      <c r="D1" s="578"/>
      <c r="E1" s="578"/>
      <c r="F1" s="578"/>
      <c r="G1" s="578"/>
    </row>
    <row r="2" spans="1:7" ht="18" customHeight="1">
      <c r="A2" s="576" t="s">
        <v>3061</v>
      </c>
      <c r="B2" s="576"/>
      <c r="C2" s="576"/>
      <c r="D2" s="576"/>
      <c r="E2" s="576"/>
      <c r="F2" s="576"/>
      <c r="G2" s="576"/>
    </row>
    <row r="3" spans="1:7" ht="13.95" customHeight="1">
      <c r="A3" s="577" t="s">
        <v>3062</v>
      </c>
      <c r="B3" s="577"/>
      <c r="C3" s="577"/>
      <c r="D3" s="577"/>
      <c r="E3" s="577"/>
      <c r="F3" s="577"/>
      <c r="G3" s="577"/>
    </row>
    <row r="4" spans="1:7">
      <c r="A4" s="336" t="s">
        <v>128</v>
      </c>
      <c r="B4" s="322" t="s">
        <v>2937</v>
      </c>
      <c r="C4" s="322" t="s">
        <v>636</v>
      </c>
      <c r="D4" s="333" t="s">
        <v>2938</v>
      </c>
      <c r="E4" s="333" t="s">
        <v>2939</v>
      </c>
      <c r="F4" s="333" t="s">
        <v>2940</v>
      </c>
      <c r="G4" s="337" t="s">
        <v>573</v>
      </c>
    </row>
    <row r="5" spans="1:7">
      <c r="A5" s="338" t="s">
        <v>2941</v>
      </c>
      <c r="B5" s="263" t="s">
        <v>2942</v>
      </c>
      <c r="C5" s="263" t="s">
        <v>2943</v>
      </c>
      <c r="D5" s="244">
        <v>10</v>
      </c>
      <c r="E5" s="244">
        <v>0</v>
      </c>
      <c r="F5" s="244">
        <v>0</v>
      </c>
      <c r="G5" s="339" t="s">
        <v>2944</v>
      </c>
    </row>
    <row r="6" spans="1:7">
      <c r="A6" s="338" t="s">
        <v>2941</v>
      </c>
      <c r="B6" s="263" t="s">
        <v>2945</v>
      </c>
      <c r="C6" s="263" t="s">
        <v>2946</v>
      </c>
      <c r="D6" s="244">
        <v>30</v>
      </c>
      <c r="E6" s="244">
        <v>0</v>
      </c>
      <c r="F6" s="244">
        <v>0</v>
      </c>
      <c r="G6" s="339" t="s">
        <v>2944</v>
      </c>
    </row>
    <row r="7" spans="1:7">
      <c r="A7" s="338" t="s">
        <v>2941</v>
      </c>
      <c r="B7" s="263" t="s">
        <v>2947</v>
      </c>
      <c r="C7" s="263" t="s">
        <v>2948</v>
      </c>
      <c r="D7" s="244">
        <v>107</v>
      </c>
      <c r="E7" s="244">
        <v>0</v>
      </c>
      <c r="F7" s="244">
        <v>0</v>
      </c>
      <c r="G7" s="339" t="s">
        <v>2944</v>
      </c>
    </row>
    <row r="8" spans="1:7">
      <c r="A8" s="338" t="s">
        <v>2941</v>
      </c>
      <c r="B8" s="263" t="s">
        <v>2949</v>
      </c>
      <c r="C8" s="263" t="s">
        <v>2950</v>
      </c>
      <c r="D8" s="244">
        <v>0</v>
      </c>
      <c r="E8" s="244">
        <v>0</v>
      </c>
      <c r="F8" s="244">
        <v>0</v>
      </c>
      <c r="G8" s="339" t="s">
        <v>2944</v>
      </c>
    </row>
    <row r="9" spans="1:7">
      <c r="A9" s="338" t="s">
        <v>2941</v>
      </c>
      <c r="B9" s="263" t="s">
        <v>2951</v>
      </c>
      <c r="C9" s="263" t="s">
        <v>2952</v>
      </c>
      <c r="D9" s="244">
        <v>400</v>
      </c>
      <c r="E9" s="244">
        <v>0</v>
      </c>
      <c r="F9" s="244">
        <v>0</v>
      </c>
      <c r="G9" s="339" t="s">
        <v>2944</v>
      </c>
    </row>
    <row r="10" spans="1:7">
      <c r="A10" s="338" t="s">
        <v>2941</v>
      </c>
      <c r="B10" s="263" t="s">
        <v>2953</v>
      </c>
      <c r="C10" s="263" t="s">
        <v>2954</v>
      </c>
      <c r="D10" s="244">
        <v>2</v>
      </c>
      <c r="E10" s="244">
        <v>0</v>
      </c>
      <c r="F10" s="244">
        <v>0</v>
      </c>
      <c r="G10" s="339" t="s">
        <v>2944</v>
      </c>
    </row>
    <row r="11" spans="1:7">
      <c r="A11" s="338" t="s">
        <v>2941</v>
      </c>
      <c r="B11" s="263" t="s">
        <v>2955</v>
      </c>
      <c r="C11" s="263" t="s">
        <v>2956</v>
      </c>
      <c r="D11" s="244">
        <v>3</v>
      </c>
      <c r="E11" s="244">
        <v>0</v>
      </c>
      <c r="F11" s="244">
        <v>0</v>
      </c>
      <c r="G11" s="339" t="s">
        <v>2944</v>
      </c>
    </row>
    <row r="12" spans="1:7">
      <c r="A12" s="338" t="s">
        <v>2941</v>
      </c>
      <c r="B12" s="263" t="s">
        <v>2957</v>
      </c>
      <c r="C12" s="263" t="s">
        <v>2958</v>
      </c>
      <c r="D12" s="244">
        <v>24</v>
      </c>
      <c r="E12" s="244">
        <v>0</v>
      </c>
      <c r="F12" s="244">
        <v>0</v>
      </c>
      <c r="G12" s="339" t="s">
        <v>2944</v>
      </c>
    </row>
    <row r="13" spans="1:7">
      <c r="A13" s="338" t="s">
        <v>2941</v>
      </c>
      <c r="B13" s="263" t="s">
        <v>2959</v>
      </c>
      <c r="C13" s="263" t="s">
        <v>2960</v>
      </c>
      <c r="D13" s="244">
        <v>6</v>
      </c>
      <c r="E13" s="244">
        <v>0</v>
      </c>
      <c r="F13" s="244">
        <v>0</v>
      </c>
      <c r="G13" s="339" t="s">
        <v>2944</v>
      </c>
    </row>
    <row r="14" spans="1:7">
      <c r="A14" s="338" t="s">
        <v>2941</v>
      </c>
      <c r="B14" s="263" t="s">
        <v>2961</v>
      </c>
      <c r="C14" s="263" t="s">
        <v>2962</v>
      </c>
      <c r="D14" s="244">
        <v>2</v>
      </c>
      <c r="E14" s="244">
        <v>0</v>
      </c>
      <c r="F14" s="244">
        <v>0</v>
      </c>
      <c r="G14" s="339" t="s">
        <v>2944</v>
      </c>
    </row>
    <row r="15" spans="1:7">
      <c r="A15" s="338" t="s">
        <v>2941</v>
      </c>
      <c r="B15" s="263" t="s">
        <v>2963</v>
      </c>
      <c r="C15" s="263" t="s">
        <v>2964</v>
      </c>
      <c r="D15" s="244">
        <v>23</v>
      </c>
      <c r="E15" s="244">
        <v>0</v>
      </c>
      <c r="F15" s="244">
        <v>0</v>
      </c>
      <c r="G15" s="339" t="s">
        <v>2944</v>
      </c>
    </row>
    <row r="16" spans="1:7">
      <c r="A16" s="338" t="s">
        <v>2941</v>
      </c>
      <c r="B16" s="263" t="s">
        <v>2965</v>
      </c>
      <c r="C16" s="263" t="s">
        <v>2966</v>
      </c>
      <c r="D16" s="244">
        <v>3</v>
      </c>
      <c r="E16" s="244">
        <v>0</v>
      </c>
      <c r="F16" s="244">
        <v>0</v>
      </c>
      <c r="G16" s="339" t="s">
        <v>2944</v>
      </c>
    </row>
    <row r="17" spans="1:7">
      <c r="A17" s="338" t="s">
        <v>2941</v>
      </c>
      <c r="B17" s="263" t="s">
        <v>2967</v>
      </c>
      <c r="C17" s="263" t="s">
        <v>2968</v>
      </c>
      <c r="D17" s="244">
        <v>101</v>
      </c>
      <c r="E17" s="244">
        <v>0</v>
      </c>
      <c r="F17" s="244">
        <v>0</v>
      </c>
      <c r="G17" s="339" t="s">
        <v>2944</v>
      </c>
    </row>
    <row r="18" spans="1:7">
      <c r="A18" s="338" t="s">
        <v>2941</v>
      </c>
      <c r="B18" s="263" t="s">
        <v>2969</v>
      </c>
      <c r="C18" s="263" t="s">
        <v>2970</v>
      </c>
      <c r="D18" s="244">
        <v>94</v>
      </c>
      <c r="E18" s="244">
        <v>0</v>
      </c>
      <c r="F18" s="244">
        <v>0</v>
      </c>
      <c r="G18" s="339" t="s">
        <v>2944</v>
      </c>
    </row>
    <row r="19" spans="1:7">
      <c r="A19" s="338" t="s">
        <v>2941</v>
      </c>
      <c r="B19" s="263" t="s">
        <v>2971</v>
      </c>
      <c r="C19" s="263" t="s">
        <v>2972</v>
      </c>
      <c r="D19" s="244">
        <v>6</v>
      </c>
      <c r="E19" s="244">
        <v>0</v>
      </c>
      <c r="F19" s="244">
        <v>0</v>
      </c>
      <c r="G19" s="339" t="s">
        <v>2944</v>
      </c>
    </row>
    <row r="20" spans="1:7">
      <c r="A20" s="338" t="s">
        <v>2941</v>
      </c>
      <c r="B20" s="263" t="s">
        <v>2973</v>
      </c>
      <c r="C20" s="263" t="s">
        <v>2974</v>
      </c>
      <c r="D20" s="244">
        <v>53</v>
      </c>
      <c r="E20" s="244">
        <v>0</v>
      </c>
      <c r="F20" s="244">
        <v>0</v>
      </c>
      <c r="G20" s="339" t="s">
        <v>2944</v>
      </c>
    </row>
    <row r="21" spans="1:7">
      <c r="A21" s="338" t="s">
        <v>2941</v>
      </c>
      <c r="B21" s="263" t="s">
        <v>2975</v>
      </c>
      <c r="C21" s="263" t="s">
        <v>2976</v>
      </c>
      <c r="D21" s="244">
        <v>2</v>
      </c>
      <c r="E21" s="244">
        <v>0</v>
      </c>
      <c r="F21" s="244">
        <v>0</v>
      </c>
      <c r="G21" s="339" t="s">
        <v>2944</v>
      </c>
    </row>
    <row r="22" spans="1:7">
      <c r="A22" s="338" t="s">
        <v>2941</v>
      </c>
      <c r="B22" s="263" t="s">
        <v>2977</v>
      </c>
      <c r="C22" s="263" t="s">
        <v>2978</v>
      </c>
      <c r="D22" s="244">
        <v>2</v>
      </c>
      <c r="E22" s="244">
        <v>0</v>
      </c>
      <c r="F22" s="244">
        <v>0</v>
      </c>
      <c r="G22" s="339" t="s">
        <v>2944</v>
      </c>
    </row>
    <row r="23" spans="1:7">
      <c r="A23" s="338" t="s">
        <v>2941</v>
      </c>
      <c r="B23" s="263" t="s">
        <v>2979</v>
      </c>
      <c r="C23" s="263" t="s">
        <v>2980</v>
      </c>
      <c r="D23" s="244">
        <v>16</v>
      </c>
      <c r="E23" s="244">
        <v>0</v>
      </c>
      <c r="F23" s="244">
        <v>0</v>
      </c>
      <c r="G23" s="339" t="s">
        <v>2944</v>
      </c>
    </row>
    <row r="24" spans="1:7">
      <c r="A24" s="338" t="s">
        <v>2941</v>
      </c>
      <c r="B24" s="263" t="s">
        <v>2981</v>
      </c>
      <c r="C24" s="263" t="s">
        <v>2982</v>
      </c>
      <c r="D24" s="244">
        <v>14</v>
      </c>
      <c r="E24" s="244">
        <v>0</v>
      </c>
      <c r="F24" s="244">
        <v>0</v>
      </c>
      <c r="G24" s="339" t="s">
        <v>2944</v>
      </c>
    </row>
    <row r="25" spans="1:7">
      <c r="A25" s="338" t="s">
        <v>2941</v>
      </c>
      <c r="B25" s="263" t="s">
        <v>2983</v>
      </c>
      <c r="C25" s="263" t="s">
        <v>2984</v>
      </c>
      <c r="D25" s="244">
        <v>18</v>
      </c>
      <c r="E25" s="244">
        <v>0</v>
      </c>
      <c r="F25" s="244">
        <v>0</v>
      </c>
      <c r="G25" s="339" t="s">
        <v>2944</v>
      </c>
    </row>
    <row r="26" spans="1:7">
      <c r="A26" s="338" t="s">
        <v>2941</v>
      </c>
      <c r="B26" s="263" t="s">
        <v>2985</v>
      </c>
      <c r="C26" s="263" t="s">
        <v>2986</v>
      </c>
      <c r="D26" s="244">
        <v>9</v>
      </c>
      <c r="E26" s="244">
        <v>0</v>
      </c>
      <c r="F26" s="244">
        <v>0</v>
      </c>
      <c r="G26" s="339" t="s">
        <v>2944</v>
      </c>
    </row>
    <row r="27" spans="1:7">
      <c r="A27" s="338" t="s">
        <v>2941</v>
      </c>
      <c r="B27" s="263" t="s">
        <v>2987</v>
      </c>
      <c r="C27" s="263" t="s">
        <v>2988</v>
      </c>
      <c r="D27" s="244">
        <v>36</v>
      </c>
      <c r="E27" s="244">
        <v>0</v>
      </c>
      <c r="F27" s="244">
        <v>0</v>
      </c>
      <c r="G27" s="339" t="s">
        <v>2944</v>
      </c>
    </row>
    <row r="28" spans="1:7">
      <c r="A28" s="338" t="s">
        <v>2941</v>
      </c>
      <c r="B28" s="263" t="s">
        <v>2989</v>
      </c>
      <c r="C28" s="263" t="s">
        <v>2990</v>
      </c>
      <c r="D28" s="244">
        <v>5</v>
      </c>
      <c r="E28" s="244">
        <v>0</v>
      </c>
      <c r="F28" s="244">
        <v>0</v>
      </c>
      <c r="G28" s="339" t="s">
        <v>2944</v>
      </c>
    </row>
    <row r="29" spans="1:7">
      <c r="A29" s="338" t="s">
        <v>2941</v>
      </c>
      <c r="B29" s="263" t="s">
        <v>2991</v>
      </c>
      <c r="C29" s="263" t="s">
        <v>2992</v>
      </c>
      <c r="D29" s="244">
        <v>3</v>
      </c>
      <c r="E29" s="244">
        <v>0</v>
      </c>
      <c r="F29" s="244">
        <v>0</v>
      </c>
      <c r="G29" s="339" t="s">
        <v>2944</v>
      </c>
    </row>
    <row r="30" spans="1:7">
      <c r="A30" s="338" t="s">
        <v>2941</v>
      </c>
      <c r="B30" s="263" t="s">
        <v>2993</v>
      </c>
      <c r="C30" s="263" t="s">
        <v>2994</v>
      </c>
      <c r="D30" s="244">
        <v>60</v>
      </c>
      <c r="E30" s="244">
        <v>0</v>
      </c>
      <c r="F30" s="244">
        <v>0</v>
      </c>
      <c r="G30" s="339" t="s">
        <v>2944</v>
      </c>
    </row>
    <row r="31" spans="1:7">
      <c r="A31" s="338" t="s">
        <v>2941</v>
      </c>
      <c r="B31" s="263" t="s">
        <v>3927</v>
      </c>
      <c r="C31" s="263" t="s">
        <v>3928</v>
      </c>
      <c r="D31" s="244">
        <v>3</v>
      </c>
      <c r="E31" s="244">
        <v>0</v>
      </c>
      <c r="F31" s="244">
        <v>0</v>
      </c>
      <c r="G31" s="339" t="s">
        <v>2944</v>
      </c>
    </row>
    <row r="32" spans="1:7">
      <c r="A32" s="338" t="s">
        <v>3697</v>
      </c>
      <c r="B32" s="263" t="s">
        <v>3927</v>
      </c>
      <c r="C32" s="263" t="s">
        <v>3928</v>
      </c>
      <c r="D32" s="244">
        <v>0</v>
      </c>
      <c r="E32" s="244">
        <v>0</v>
      </c>
      <c r="F32" s="244">
        <v>0</v>
      </c>
      <c r="G32" s="339" t="s">
        <v>2944</v>
      </c>
    </row>
    <row r="33" spans="1:7">
      <c r="A33" s="338" t="s">
        <v>2941</v>
      </c>
      <c r="B33" s="263" t="s">
        <v>2995</v>
      </c>
      <c r="C33" s="263" t="s">
        <v>2996</v>
      </c>
      <c r="D33" s="244">
        <v>24</v>
      </c>
      <c r="E33" s="244">
        <v>0</v>
      </c>
      <c r="F33" s="244">
        <v>0</v>
      </c>
      <c r="G33" s="339" t="s">
        <v>2944</v>
      </c>
    </row>
    <row r="34" spans="1:7">
      <c r="A34" s="338" t="s">
        <v>2941</v>
      </c>
      <c r="B34" s="263" t="s">
        <v>2997</v>
      </c>
      <c r="C34" s="263" t="s">
        <v>2998</v>
      </c>
      <c r="D34" s="244">
        <v>0</v>
      </c>
      <c r="E34" s="244">
        <v>0</v>
      </c>
      <c r="F34" s="244">
        <v>0</v>
      </c>
      <c r="G34" s="339" t="s">
        <v>2944</v>
      </c>
    </row>
    <row r="35" spans="1:7">
      <c r="A35" s="338" t="s">
        <v>2941</v>
      </c>
      <c r="B35" s="263" t="s">
        <v>2999</v>
      </c>
      <c r="C35" s="263" t="s">
        <v>3000</v>
      </c>
      <c r="D35" s="244">
        <v>100</v>
      </c>
      <c r="E35" s="244">
        <v>0</v>
      </c>
      <c r="F35" s="244">
        <v>0</v>
      </c>
      <c r="G35" s="339" t="s">
        <v>2944</v>
      </c>
    </row>
    <row r="36" spans="1:7">
      <c r="A36" s="338" t="s">
        <v>2941</v>
      </c>
      <c r="B36" s="263" t="s">
        <v>3001</v>
      </c>
      <c r="C36" s="263" t="s">
        <v>3002</v>
      </c>
      <c r="D36" s="244">
        <v>103</v>
      </c>
      <c r="E36" s="244">
        <v>0</v>
      </c>
      <c r="F36" s="244">
        <v>0</v>
      </c>
      <c r="G36" s="339" t="s">
        <v>2944</v>
      </c>
    </row>
    <row r="37" spans="1:7">
      <c r="A37" s="338" t="s">
        <v>2941</v>
      </c>
      <c r="B37" s="263" t="s">
        <v>3003</v>
      </c>
      <c r="C37" s="263" t="s">
        <v>3004</v>
      </c>
      <c r="D37" s="244">
        <v>97</v>
      </c>
      <c r="E37" s="244">
        <v>0</v>
      </c>
      <c r="F37" s="244">
        <v>0</v>
      </c>
      <c r="G37" s="339" t="s">
        <v>2944</v>
      </c>
    </row>
    <row r="38" spans="1:7">
      <c r="A38" s="338" t="s">
        <v>2941</v>
      </c>
      <c r="B38" s="263" t="s">
        <v>3005</v>
      </c>
      <c r="C38" s="263" t="s">
        <v>3006</v>
      </c>
      <c r="D38" s="244">
        <v>19</v>
      </c>
      <c r="E38" s="244">
        <v>0</v>
      </c>
      <c r="F38" s="244">
        <v>0</v>
      </c>
      <c r="G38" s="339" t="s">
        <v>2944</v>
      </c>
    </row>
    <row r="39" spans="1:7">
      <c r="A39" s="338" t="s">
        <v>2941</v>
      </c>
      <c r="B39" s="263" t="s">
        <v>3007</v>
      </c>
      <c r="C39" s="263" t="s">
        <v>3008</v>
      </c>
      <c r="D39" s="244">
        <v>3</v>
      </c>
      <c r="E39" s="244">
        <v>0</v>
      </c>
      <c r="F39" s="244">
        <v>0</v>
      </c>
      <c r="G39" s="339" t="s">
        <v>2944</v>
      </c>
    </row>
    <row r="40" spans="1:7">
      <c r="A40" s="338" t="s">
        <v>2941</v>
      </c>
      <c r="B40" s="263" t="s">
        <v>3009</v>
      </c>
      <c r="C40" s="263" t="s">
        <v>3010</v>
      </c>
      <c r="D40" s="244">
        <v>2</v>
      </c>
      <c r="E40" s="244">
        <v>0</v>
      </c>
      <c r="F40" s="244">
        <v>0</v>
      </c>
      <c r="G40" s="339" t="s">
        <v>2944</v>
      </c>
    </row>
    <row r="41" spans="1:7">
      <c r="A41" s="338" t="s">
        <v>2941</v>
      </c>
      <c r="B41" s="263" t="s">
        <v>3011</v>
      </c>
      <c r="C41" s="263" t="s">
        <v>3012</v>
      </c>
      <c r="D41" s="244">
        <v>5</v>
      </c>
      <c r="E41" s="244">
        <v>0</v>
      </c>
      <c r="F41" s="244">
        <v>0</v>
      </c>
      <c r="G41" s="339" t="s">
        <v>2944</v>
      </c>
    </row>
    <row r="42" spans="1:7">
      <c r="A42" s="338" t="s">
        <v>2941</v>
      </c>
      <c r="B42" s="263" t="s">
        <v>3013</v>
      </c>
      <c r="C42" s="263" t="s">
        <v>3014</v>
      </c>
      <c r="D42" s="244">
        <v>2</v>
      </c>
      <c r="E42" s="244">
        <v>0</v>
      </c>
      <c r="F42" s="244">
        <v>0</v>
      </c>
      <c r="G42" s="339" t="s">
        <v>2944</v>
      </c>
    </row>
    <row r="43" spans="1:7">
      <c r="A43" s="338" t="s">
        <v>2941</v>
      </c>
      <c r="B43" s="263" t="s">
        <v>3015</v>
      </c>
      <c r="C43" s="263" t="s">
        <v>3016</v>
      </c>
      <c r="D43" s="244">
        <v>239</v>
      </c>
      <c r="E43" s="244">
        <v>0</v>
      </c>
      <c r="F43" s="244">
        <v>0</v>
      </c>
      <c r="G43" s="339" t="s">
        <v>2944</v>
      </c>
    </row>
    <row r="44" spans="1:7">
      <c r="A44" s="338" t="s">
        <v>2941</v>
      </c>
      <c r="B44" s="263" t="s">
        <v>3017</v>
      </c>
      <c r="C44" s="263" t="s">
        <v>3018</v>
      </c>
      <c r="D44" s="244">
        <v>190</v>
      </c>
      <c r="E44" s="244">
        <v>0</v>
      </c>
      <c r="F44" s="244">
        <v>0</v>
      </c>
      <c r="G44" s="339" t="s">
        <v>2944</v>
      </c>
    </row>
    <row r="45" spans="1:7">
      <c r="A45" s="338" t="s">
        <v>2941</v>
      </c>
      <c r="B45" s="263" t="s">
        <v>3019</v>
      </c>
      <c r="C45" s="263" t="s">
        <v>3020</v>
      </c>
      <c r="D45" s="244">
        <v>250</v>
      </c>
      <c r="E45" s="244">
        <v>0</v>
      </c>
      <c r="F45" s="244">
        <v>0</v>
      </c>
      <c r="G45" s="339" t="s">
        <v>2944</v>
      </c>
    </row>
    <row r="46" spans="1:7">
      <c r="A46" s="338" t="s">
        <v>2941</v>
      </c>
      <c r="B46" s="263" t="s">
        <v>3021</v>
      </c>
      <c r="C46" s="263" t="s">
        <v>3022</v>
      </c>
      <c r="D46" s="244">
        <v>212</v>
      </c>
      <c r="E46" s="244">
        <v>0</v>
      </c>
      <c r="F46" s="244">
        <v>0</v>
      </c>
      <c r="G46" s="339" t="s">
        <v>2944</v>
      </c>
    </row>
    <row r="47" spans="1:7">
      <c r="A47" s="338" t="s">
        <v>2941</v>
      </c>
      <c r="B47" s="263" t="s">
        <v>3023</v>
      </c>
      <c r="C47" s="263" t="s">
        <v>3024</v>
      </c>
      <c r="D47" s="244">
        <v>0</v>
      </c>
      <c r="E47" s="244">
        <v>0</v>
      </c>
      <c r="F47" s="244">
        <v>0</v>
      </c>
      <c r="G47" s="339" t="s">
        <v>2944</v>
      </c>
    </row>
    <row r="48" spans="1:7">
      <c r="A48" s="338" t="s">
        <v>2941</v>
      </c>
      <c r="B48" s="263" t="s">
        <v>3025</v>
      </c>
      <c r="C48" s="263" t="s">
        <v>3026</v>
      </c>
      <c r="D48" s="244">
        <v>250</v>
      </c>
      <c r="E48" s="244">
        <v>0</v>
      </c>
      <c r="F48" s="244">
        <v>0</v>
      </c>
      <c r="G48" s="339" t="s">
        <v>2944</v>
      </c>
    </row>
    <row r="49" spans="1:7">
      <c r="A49" s="338" t="s">
        <v>2941</v>
      </c>
      <c r="B49" s="263" t="s">
        <v>3027</v>
      </c>
      <c r="C49" s="263" t="s">
        <v>3028</v>
      </c>
      <c r="D49" s="244">
        <v>1410</v>
      </c>
      <c r="E49" s="244">
        <v>0</v>
      </c>
      <c r="F49" s="244">
        <v>0</v>
      </c>
      <c r="G49" s="339" t="s">
        <v>2944</v>
      </c>
    </row>
    <row r="50" spans="1:7">
      <c r="A50" s="338" t="s">
        <v>2941</v>
      </c>
      <c r="B50" s="263" t="s">
        <v>3029</v>
      </c>
      <c r="C50" s="263" t="s">
        <v>3030</v>
      </c>
      <c r="D50" s="244">
        <v>105</v>
      </c>
      <c r="E50" s="244">
        <v>0</v>
      </c>
      <c r="F50" s="244">
        <v>0</v>
      </c>
      <c r="G50" s="339" t="s">
        <v>2944</v>
      </c>
    </row>
    <row r="51" spans="1:7">
      <c r="A51" s="338" t="s">
        <v>2941</v>
      </c>
      <c r="B51" s="263" t="s">
        <v>3031</v>
      </c>
      <c r="C51" s="263" t="s">
        <v>3032</v>
      </c>
      <c r="D51" s="244">
        <v>1371</v>
      </c>
      <c r="E51" s="244">
        <v>0</v>
      </c>
      <c r="F51" s="244">
        <v>0</v>
      </c>
      <c r="G51" s="339" t="s">
        <v>2944</v>
      </c>
    </row>
    <row r="52" spans="1:7">
      <c r="A52" s="338" t="s">
        <v>2941</v>
      </c>
      <c r="B52" s="263" t="s">
        <v>3033</v>
      </c>
      <c r="C52" s="263" t="s">
        <v>3034</v>
      </c>
      <c r="D52" s="244">
        <v>93</v>
      </c>
      <c r="E52" s="244">
        <v>0</v>
      </c>
      <c r="F52" s="244">
        <v>0</v>
      </c>
      <c r="G52" s="339" t="s">
        <v>2944</v>
      </c>
    </row>
    <row r="53" spans="1:7">
      <c r="A53" s="338" t="s">
        <v>2941</v>
      </c>
      <c r="B53" s="263" t="s">
        <v>3035</v>
      </c>
      <c r="C53" s="263" t="s">
        <v>3036</v>
      </c>
      <c r="D53" s="244">
        <v>15</v>
      </c>
      <c r="E53" s="244">
        <v>0</v>
      </c>
      <c r="F53" s="244">
        <v>0</v>
      </c>
      <c r="G53" s="339" t="s">
        <v>2944</v>
      </c>
    </row>
    <row r="54" spans="1:7">
      <c r="A54" s="338" t="s">
        <v>2941</v>
      </c>
      <c r="B54" s="263" t="s">
        <v>3037</v>
      </c>
      <c r="C54" s="263" t="s">
        <v>3038</v>
      </c>
      <c r="D54" s="244">
        <v>20</v>
      </c>
      <c r="E54" s="244">
        <v>0</v>
      </c>
      <c r="F54" s="244">
        <v>0</v>
      </c>
      <c r="G54" s="339" t="s">
        <v>2944</v>
      </c>
    </row>
    <row r="55" spans="1:7">
      <c r="A55" s="338" t="s">
        <v>2941</v>
      </c>
      <c r="B55" s="263" t="s">
        <v>3039</v>
      </c>
      <c r="C55" s="263" t="s">
        <v>3040</v>
      </c>
      <c r="D55" s="244">
        <v>20</v>
      </c>
      <c r="E55" s="244">
        <v>0</v>
      </c>
      <c r="F55" s="244">
        <v>0</v>
      </c>
      <c r="G55" s="339" t="s">
        <v>2944</v>
      </c>
    </row>
    <row r="56" spans="1:7">
      <c r="A56" s="338" t="s">
        <v>2941</v>
      </c>
      <c r="B56" s="263" t="s">
        <v>3041</v>
      </c>
      <c r="C56" s="263" t="s">
        <v>3042</v>
      </c>
      <c r="D56" s="244">
        <v>3</v>
      </c>
      <c r="E56" s="244">
        <v>0</v>
      </c>
      <c r="F56" s="244">
        <v>0</v>
      </c>
      <c r="G56" s="339" t="s">
        <v>2944</v>
      </c>
    </row>
    <row r="57" spans="1:7">
      <c r="A57" s="338" t="s">
        <v>2941</v>
      </c>
      <c r="B57" s="263" t="s">
        <v>3043</v>
      </c>
      <c r="C57" s="263" t="s">
        <v>3044</v>
      </c>
      <c r="D57" s="244">
        <v>12</v>
      </c>
      <c r="E57" s="244">
        <v>0</v>
      </c>
      <c r="F57" s="244">
        <v>0</v>
      </c>
      <c r="G57" s="339" t="s">
        <v>2944</v>
      </c>
    </row>
    <row r="58" spans="1:7">
      <c r="A58" s="338" t="s">
        <v>2941</v>
      </c>
      <c r="B58" s="263" t="s">
        <v>3045</v>
      </c>
      <c r="C58" s="263" t="s">
        <v>3046</v>
      </c>
      <c r="D58" s="244">
        <v>36</v>
      </c>
      <c r="E58" s="244">
        <v>0</v>
      </c>
      <c r="F58" s="244">
        <v>0</v>
      </c>
      <c r="G58" s="339" t="s">
        <v>2944</v>
      </c>
    </row>
    <row r="59" spans="1:7">
      <c r="A59" s="338" t="s">
        <v>2941</v>
      </c>
      <c r="B59" s="263" t="s">
        <v>3047</v>
      </c>
      <c r="C59" s="263" t="s">
        <v>3048</v>
      </c>
      <c r="D59" s="244">
        <v>30</v>
      </c>
      <c r="E59" s="244">
        <v>0</v>
      </c>
      <c r="F59" s="244">
        <v>0</v>
      </c>
      <c r="G59" s="339" t="s">
        <v>2944</v>
      </c>
    </row>
    <row r="60" spans="1:7">
      <c r="A60" s="340" t="s">
        <v>2941</v>
      </c>
      <c r="B60" s="329" t="s">
        <v>3049</v>
      </c>
      <c r="C60" s="329" t="s">
        <v>3050</v>
      </c>
      <c r="D60" s="335">
        <v>85</v>
      </c>
      <c r="E60" s="335">
        <v>0</v>
      </c>
      <c r="F60" s="335">
        <v>0</v>
      </c>
      <c r="G60" s="341" t="s">
        <v>2944</v>
      </c>
    </row>
    <row r="61" spans="1:7">
      <c r="A61" s="320" t="s">
        <v>2941</v>
      </c>
      <c r="B61" s="320" t="s">
        <v>3051</v>
      </c>
      <c r="C61" s="320" t="s">
        <v>3052</v>
      </c>
      <c r="D61" s="320">
        <v>6</v>
      </c>
      <c r="E61" s="320">
        <v>0</v>
      </c>
      <c r="F61" s="320">
        <v>0</v>
      </c>
      <c r="G61" s="320" t="s">
        <v>2944</v>
      </c>
    </row>
    <row r="62" spans="1:7">
      <c r="A62" s="320" t="s">
        <v>2941</v>
      </c>
      <c r="B62" s="320" t="s">
        <v>3053</v>
      </c>
      <c r="C62" s="320" t="s">
        <v>3054</v>
      </c>
      <c r="D62" s="320">
        <v>9</v>
      </c>
      <c r="E62" s="320">
        <v>0</v>
      </c>
      <c r="F62" s="320">
        <v>0</v>
      </c>
      <c r="G62" s="320" t="s">
        <v>2944</v>
      </c>
    </row>
  </sheetData>
  <mergeCells count="3">
    <mergeCell ref="A2:G2"/>
    <mergeCell ref="A3:G3"/>
    <mergeCell ref="A1:G1"/>
  </mergeCells>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49C87-EC59-4156-A4C3-1579AD400BAA}">
  <sheetPr>
    <tabColor rgb="FFFA4600"/>
  </sheetPr>
  <dimension ref="A1:G61"/>
  <sheetViews>
    <sheetView showGridLines="0" workbookViewId="0">
      <pane ySplit="4" topLeftCell="A5" activePane="bottomLeft" state="frozen"/>
      <selection pane="bottomLeft" activeCell="E31" sqref="E31"/>
    </sheetView>
  </sheetViews>
  <sheetFormatPr defaultColWidth="9" defaultRowHeight="13.2"/>
  <cols>
    <col min="1" max="1" width="58.69921875" style="320" bestFit="1" customWidth="1"/>
    <col min="2" max="2" width="16.796875" style="331" bestFit="1" customWidth="1"/>
    <col min="3" max="3" width="14" style="331" bestFit="1" customWidth="1"/>
    <col min="4" max="4" width="16.59765625" style="331" bestFit="1" customWidth="1"/>
    <col min="5" max="5" width="19.69921875" style="331" bestFit="1" customWidth="1"/>
    <col min="6" max="6" width="15.69921875" style="331" bestFit="1" customWidth="1"/>
    <col min="7" max="7" width="14.796875" style="342" bestFit="1" customWidth="1"/>
    <col min="8" max="16384" width="9" style="320"/>
  </cols>
  <sheetData>
    <row r="1" spans="1:7" ht="31.95" customHeight="1">
      <c r="A1" s="578" t="s">
        <v>3066</v>
      </c>
      <c r="B1" s="578"/>
      <c r="C1" s="578"/>
      <c r="D1" s="578"/>
      <c r="E1" s="578"/>
      <c r="F1" s="578"/>
      <c r="G1" s="578"/>
    </row>
    <row r="2" spans="1:7" s="343" customFormat="1" ht="18" customHeight="1">
      <c r="A2" s="579" t="s">
        <v>3067</v>
      </c>
      <c r="B2" s="579"/>
      <c r="C2" s="579"/>
      <c r="D2" s="579"/>
      <c r="E2" s="579"/>
      <c r="F2" s="579"/>
      <c r="G2" s="579"/>
    </row>
    <row r="3" spans="1:7" ht="13.95" customHeight="1">
      <c r="A3" s="580" t="s">
        <v>3068</v>
      </c>
      <c r="B3" s="580"/>
      <c r="C3" s="580"/>
      <c r="D3" s="580"/>
      <c r="E3" s="580"/>
      <c r="F3" s="580"/>
      <c r="G3" s="580"/>
    </row>
    <row r="4" spans="1:7">
      <c r="A4" s="260" t="s">
        <v>636</v>
      </c>
      <c r="B4" s="261" t="s">
        <v>3055</v>
      </c>
      <c r="C4" s="261" t="s">
        <v>3056</v>
      </c>
      <c r="D4" s="261" t="s">
        <v>3057</v>
      </c>
      <c r="E4" s="261" t="s">
        <v>3058</v>
      </c>
      <c r="F4" s="261" t="s">
        <v>135</v>
      </c>
      <c r="G4" s="262" t="s">
        <v>3059</v>
      </c>
    </row>
    <row r="5" spans="1:7">
      <c r="A5" s="263" t="s">
        <v>3018</v>
      </c>
      <c r="B5" s="244">
        <v>190</v>
      </c>
      <c r="C5" s="244">
        <v>60</v>
      </c>
      <c r="D5" s="244">
        <v>0</v>
      </c>
      <c r="E5" s="244">
        <v>3</v>
      </c>
      <c r="F5" s="244">
        <v>3</v>
      </c>
      <c r="G5" s="245">
        <v>0.24</v>
      </c>
    </row>
    <row r="6" spans="1:7">
      <c r="A6" s="263" t="s">
        <v>3028</v>
      </c>
      <c r="B6" s="244">
        <v>1410</v>
      </c>
      <c r="C6" s="244">
        <v>50</v>
      </c>
      <c r="D6" s="244">
        <v>0</v>
      </c>
      <c r="E6" s="244">
        <v>3</v>
      </c>
      <c r="F6" s="244">
        <v>3</v>
      </c>
      <c r="G6" s="245">
        <v>3.42465753424658E-2</v>
      </c>
    </row>
    <row r="7" spans="1:7">
      <c r="A7" s="263" t="s">
        <v>3032</v>
      </c>
      <c r="B7" s="244">
        <v>1371</v>
      </c>
      <c r="C7" s="244">
        <v>45</v>
      </c>
      <c r="D7" s="244">
        <v>0</v>
      </c>
      <c r="E7" s="244">
        <v>4</v>
      </c>
      <c r="F7" s="244">
        <v>4</v>
      </c>
      <c r="G7" s="245">
        <v>3.17796610169492E-2</v>
      </c>
    </row>
    <row r="8" spans="1:7">
      <c r="A8" s="263" t="s">
        <v>3022</v>
      </c>
      <c r="B8" s="244">
        <v>212</v>
      </c>
      <c r="C8" s="244">
        <v>38</v>
      </c>
      <c r="D8" s="244">
        <v>0</v>
      </c>
      <c r="E8" s="244">
        <v>1</v>
      </c>
      <c r="F8" s="244">
        <v>2</v>
      </c>
      <c r="G8" s="245">
        <v>0.152</v>
      </c>
    </row>
    <row r="9" spans="1:7">
      <c r="A9" s="263" t="s">
        <v>2994</v>
      </c>
      <c r="B9" s="244">
        <v>60</v>
      </c>
      <c r="C9" s="244">
        <v>30</v>
      </c>
      <c r="D9" s="244">
        <v>0</v>
      </c>
      <c r="E9" s="244">
        <v>1</v>
      </c>
      <c r="F9" s="244">
        <v>1</v>
      </c>
      <c r="G9" s="245">
        <v>0.33333333333333298</v>
      </c>
    </row>
    <row r="10" spans="1:7">
      <c r="A10" s="263" t="s">
        <v>3044</v>
      </c>
      <c r="B10" s="244">
        <v>12</v>
      </c>
      <c r="C10" s="244">
        <v>18</v>
      </c>
      <c r="D10" s="244">
        <v>0</v>
      </c>
      <c r="E10" s="244">
        <v>7</v>
      </c>
      <c r="F10" s="244">
        <v>9</v>
      </c>
      <c r="G10" s="245">
        <v>0.6</v>
      </c>
    </row>
    <row r="11" spans="1:7">
      <c r="A11" s="263" t="s">
        <v>2970</v>
      </c>
      <c r="B11" s="244">
        <v>94</v>
      </c>
      <c r="C11" s="244">
        <v>15</v>
      </c>
      <c r="D11" s="244">
        <v>0</v>
      </c>
      <c r="E11" s="244">
        <v>3</v>
      </c>
      <c r="F11" s="244">
        <v>5</v>
      </c>
      <c r="G11" s="245">
        <v>0.13761467889908299</v>
      </c>
    </row>
    <row r="12" spans="1:7">
      <c r="A12" s="263" t="s">
        <v>2996</v>
      </c>
      <c r="B12" s="244">
        <v>24</v>
      </c>
      <c r="C12" s="244">
        <v>15</v>
      </c>
      <c r="D12" s="244">
        <v>0</v>
      </c>
      <c r="E12" s="244">
        <v>4</v>
      </c>
      <c r="F12" s="244">
        <v>6</v>
      </c>
      <c r="G12" s="245">
        <v>0.38461538461538503</v>
      </c>
    </row>
    <row r="13" spans="1:7">
      <c r="A13" s="263" t="s">
        <v>3016</v>
      </c>
      <c r="B13" s="244">
        <v>239</v>
      </c>
      <c r="C13" s="244">
        <v>11</v>
      </c>
      <c r="D13" s="244">
        <v>0</v>
      </c>
      <c r="E13" s="244">
        <v>2</v>
      </c>
      <c r="F13" s="244">
        <v>2</v>
      </c>
      <c r="G13" s="245">
        <v>4.3999999999999997E-2</v>
      </c>
    </row>
    <row r="14" spans="1:7">
      <c r="A14" s="263" t="s">
        <v>2946</v>
      </c>
      <c r="B14" s="244">
        <v>30</v>
      </c>
      <c r="C14" s="244">
        <v>10</v>
      </c>
      <c r="D14" s="244">
        <v>0</v>
      </c>
      <c r="E14" s="244">
        <v>1</v>
      </c>
      <c r="F14" s="244">
        <v>1</v>
      </c>
      <c r="G14" s="245">
        <v>0.25</v>
      </c>
    </row>
    <row r="15" spans="1:7">
      <c r="A15" s="263" t="s">
        <v>2998</v>
      </c>
      <c r="B15" s="244">
        <v>0</v>
      </c>
      <c r="C15" s="244">
        <v>10</v>
      </c>
      <c r="D15" s="244">
        <v>0</v>
      </c>
      <c r="E15" s="244">
        <v>2</v>
      </c>
      <c r="F15" s="244">
        <v>2</v>
      </c>
      <c r="G15" s="245">
        <v>1</v>
      </c>
    </row>
    <row r="16" spans="1:7">
      <c r="A16" s="263" t="s">
        <v>2974</v>
      </c>
      <c r="B16" s="244">
        <v>53</v>
      </c>
      <c r="C16" s="244">
        <v>6</v>
      </c>
      <c r="D16" s="244">
        <v>0</v>
      </c>
      <c r="E16" s="244">
        <v>1</v>
      </c>
      <c r="F16" s="244">
        <v>1</v>
      </c>
      <c r="G16" s="245">
        <v>0.101694915254237</v>
      </c>
    </row>
    <row r="17" spans="1:7">
      <c r="A17" s="263" t="s">
        <v>2982</v>
      </c>
      <c r="B17" s="244">
        <v>14</v>
      </c>
      <c r="C17" s="244">
        <v>6</v>
      </c>
      <c r="D17" s="244">
        <v>0</v>
      </c>
      <c r="E17" s="244">
        <v>2</v>
      </c>
      <c r="F17" s="244">
        <v>2</v>
      </c>
      <c r="G17" s="245">
        <v>0.3</v>
      </c>
    </row>
    <row r="18" spans="1:7">
      <c r="A18" s="263" t="s">
        <v>2984</v>
      </c>
      <c r="B18" s="244">
        <v>18</v>
      </c>
      <c r="C18" s="244">
        <v>6</v>
      </c>
      <c r="D18" s="244">
        <v>0</v>
      </c>
      <c r="E18" s="244">
        <v>2</v>
      </c>
      <c r="F18" s="244">
        <v>2</v>
      </c>
      <c r="G18" s="245">
        <v>0.25</v>
      </c>
    </row>
    <row r="19" spans="1:7">
      <c r="A19" s="263" t="s">
        <v>3002</v>
      </c>
      <c r="B19" s="244">
        <v>103</v>
      </c>
      <c r="C19" s="244">
        <v>6</v>
      </c>
      <c r="D19" s="244">
        <v>0</v>
      </c>
      <c r="E19" s="244">
        <v>1</v>
      </c>
      <c r="F19" s="244">
        <v>2</v>
      </c>
      <c r="G19" s="245">
        <v>5.5045871559633003E-2</v>
      </c>
    </row>
    <row r="20" spans="1:7">
      <c r="A20" s="263" t="s">
        <v>3048</v>
      </c>
      <c r="B20" s="244">
        <v>30</v>
      </c>
      <c r="C20" s="244">
        <v>6</v>
      </c>
      <c r="D20" s="244">
        <v>0</v>
      </c>
      <c r="E20" s="244">
        <v>3</v>
      </c>
      <c r="F20" s="244">
        <v>6</v>
      </c>
      <c r="G20" s="245">
        <v>0.16666666666666699</v>
      </c>
    </row>
    <row r="21" spans="1:7">
      <c r="A21" s="263" t="s">
        <v>2956</v>
      </c>
      <c r="B21" s="244">
        <v>3</v>
      </c>
      <c r="C21" s="244">
        <v>5</v>
      </c>
      <c r="D21" s="244">
        <v>0</v>
      </c>
      <c r="E21" s="244">
        <v>2</v>
      </c>
      <c r="F21" s="244">
        <v>2</v>
      </c>
      <c r="G21" s="245">
        <v>0.625</v>
      </c>
    </row>
    <row r="22" spans="1:7">
      <c r="A22" s="263" t="s">
        <v>3054</v>
      </c>
      <c r="B22" s="244">
        <v>9</v>
      </c>
      <c r="C22" s="244">
        <v>5</v>
      </c>
      <c r="D22" s="244">
        <v>0</v>
      </c>
      <c r="E22" s="244">
        <v>3</v>
      </c>
      <c r="F22" s="244">
        <v>4</v>
      </c>
      <c r="G22" s="245">
        <v>0.35714285714285698</v>
      </c>
    </row>
    <row r="23" spans="1:7">
      <c r="A23" s="263" t="s">
        <v>2960</v>
      </c>
      <c r="B23" s="244">
        <v>6</v>
      </c>
      <c r="C23" s="244">
        <v>4</v>
      </c>
      <c r="D23" s="244">
        <v>0</v>
      </c>
      <c r="E23" s="244">
        <v>1</v>
      </c>
      <c r="F23" s="244">
        <v>1</v>
      </c>
      <c r="G23" s="245">
        <v>0.4</v>
      </c>
    </row>
    <row r="24" spans="1:7">
      <c r="A24" s="263" t="s">
        <v>3014</v>
      </c>
      <c r="B24" s="244">
        <v>2</v>
      </c>
      <c r="C24" s="244">
        <v>3</v>
      </c>
      <c r="D24" s="244">
        <v>0</v>
      </c>
      <c r="E24" s="244">
        <v>2</v>
      </c>
      <c r="F24" s="244">
        <v>2</v>
      </c>
      <c r="G24" s="245">
        <v>0.6</v>
      </c>
    </row>
    <row r="25" spans="1:7">
      <c r="A25" s="263" t="s">
        <v>2948</v>
      </c>
      <c r="B25" s="244">
        <v>107</v>
      </c>
      <c r="C25" s="244">
        <v>2</v>
      </c>
      <c r="D25" s="244">
        <v>0</v>
      </c>
      <c r="E25" s="244">
        <v>1</v>
      </c>
      <c r="F25" s="244">
        <v>1</v>
      </c>
      <c r="G25" s="245">
        <v>1.8348623853211E-2</v>
      </c>
    </row>
    <row r="26" spans="1:7">
      <c r="A26" s="263" t="s">
        <v>2964</v>
      </c>
      <c r="B26" s="244">
        <v>23</v>
      </c>
      <c r="C26" s="244">
        <v>2</v>
      </c>
      <c r="D26" s="244">
        <v>0</v>
      </c>
      <c r="E26" s="244">
        <v>1</v>
      </c>
      <c r="F26" s="244">
        <v>1</v>
      </c>
      <c r="G26" s="245">
        <v>0.08</v>
      </c>
    </row>
    <row r="27" spans="1:7">
      <c r="A27" s="263" t="s">
        <v>3004</v>
      </c>
      <c r="B27" s="244">
        <v>97</v>
      </c>
      <c r="C27" s="244">
        <v>2</v>
      </c>
      <c r="D27" s="244">
        <v>0</v>
      </c>
      <c r="E27" s="244">
        <v>1</v>
      </c>
      <c r="F27" s="244">
        <v>1</v>
      </c>
      <c r="G27" s="245">
        <v>2.02020202020202E-2</v>
      </c>
    </row>
    <row r="28" spans="1:7">
      <c r="A28" s="263" t="s">
        <v>3038</v>
      </c>
      <c r="B28" s="244">
        <v>20</v>
      </c>
      <c r="C28" s="244">
        <v>2</v>
      </c>
      <c r="D28" s="244">
        <v>0</v>
      </c>
      <c r="E28" s="244">
        <v>2</v>
      </c>
      <c r="F28" s="244">
        <v>2</v>
      </c>
      <c r="G28" s="245">
        <v>9.0909090909090898E-2</v>
      </c>
    </row>
    <row r="29" spans="1:7">
      <c r="A29" s="263" t="s">
        <v>3042</v>
      </c>
      <c r="B29" s="244">
        <v>3</v>
      </c>
      <c r="C29" s="244">
        <v>2</v>
      </c>
      <c r="D29" s="244">
        <v>0</v>
      </c>
      <c r="E29" s="244">
        <v>2</v>
      </c>
      <c r="F29" s="244">
        <v>2</v>
      </c>
      <c r="G29" s="245">
        <v>0.4</v>
      </c>
    </row>
    <row r="30" spans="1:7">
      <c r="A30" s="263" t="s">
        <v>2966</v>
      </c>
      <c r="B30" s="244">
        <v>3</v>
      </c>
      <c r="C30" s="244">
        <v>1</v>
      </c>
      <c r="D30" s="244">
        <v>0</v>
      </c>
      <c r="E30" s="244">
        <v>1</v>
      </c>
      <c r="F30" s="244">
        <v>1</v>
      </c>
      <c r="G30" s="245">
        <v>0.25</v>
      </c>
    </row>
    <row r="31" spans="1:7">
      <c r="A31" s="263" t="s">
        <v>2972</v>
      </c>
      <c r="B31" s="244">
        <v>6</v>
      </c>
      <c r="C31" s="244">
        <v>1</v>
      </c>
      <c r="D31" s="244">
        <v>0</v>
      </c>
      <c r="E31" s="244">
        <v>1</v>
      </c>
      <c r="F31" s="244">
        <v>1</v>
      </c>
      <c r="G31" s="245">
        <v>0.14285714285714299</v>
      </c>
    </row>
    <row r="32" spans="1:7">
      <c r="A32" s="263" t="s">
        <v>2978</v>
      </c>
      <c r="B32" s="244">
        <v>2</v>
      </c>
      <c r="C32" s="244">
        <v>1</v>
      </c>
      <c r="D32" s="244">
        <v>0</v>
      </c>
      <c r="E32" s="244">
        <v>1</v>
      </c>
      <c r="F32" s="244">
        <v>1</v>
      </c>
      <c r="G32" s="245">
        <v>0.33333333333333298</v>
      </c>
    </row>
    <row r="33" spans="1:7">
      <c r="A33" s="263" t="s">
        <v>3040</v>
      </c>
      <c r="B33" s="244">
        <v>20</v>
      </c>
      <c r="C33" s="244">
        <v>1</v>
      </c>
      <c r="D33" s="244">
        <v>0</v>
      </c>
      <c r="E33" s="244">
        <v>1</v>
      </c>
      <c r="F33" s="244">
        <v>1</v>
      </c>
      <c r="G33" s="245">
        <v>4.7619047619047603E-2</v>
      </c>
    </row>
    <row r="34" spans="1:7">
      <c r="A34" s="263" t="s">
        <v>3046</v>
      </c>
      <c r="B34" s="244">
        <v>36</v>
      </c>
      <c r="C34" s="244">
        <v>1</v>
      </c>
      <c r="D34" s="244">
        <v>0</v>
      </c>
      <c r="E34" s="244">
        <v>1</v>
      </c>
      <c r="F34" s="244">
        <v>1</v>
      </c>
      <c r="G34" s="245">
        <v>2.7027027027027001E-2</v>
      </c>
    </row>
    <row r="35" spans="1:7">
      <c r="A35" s="263" t="s">
        <v>2943</v>
      </c>
      <c r="B35" s="244">
        <v>10</v>
      </c>
      <c r="C35" s="244">
        <v>0</v>
      </c>
      <c r="D35" s="244">
        <v>0</v>
      </c>
      <c r="E35" s="244">
        <v>0</v>
      </c>
      <c r="F35" s="244">
        <v>0</v>
      </c>
      <c r="G35" s="245">
        <v>0</v>
      </c>
    </row>
    <row r="36" spans="1:7">
      <c r="A36" s="263" t="s">
        <v>2950</v>
      </c>
      <c r="B36" s="244">
        <v>0</v>
      </c>
      <c r="C36" s="244">
        <v>0</v>
      </c>
      <c r="D36" s="244">
        <v>0</v>
      </c>
      <c r="E36" s="244">
        <v>0</v>
      </c>
      <c r="F36" s="244">
        <v>0</v>
      </c>
      <c r="G36" s="245">
        <v>0</v>
      </c>
    </row>
    <row r="37" spans="1:7">
      <c r="A37" s="263" t="s">
        <v>2952</v>
      </c>
      <c r="B37" s="244">
        <v>400</v>
      </c>
      <c r="C37" s="244">
        <v>0</v>
      </c>
      <c r="D37" s="244">
        <v>0</v>
      </c>
      <c r="E37" s="244">
        <v>0</v>
      </c>
      <c r="F37" s="244">
        <v>0</v>
      </c>
      <c r="G37" s="245">
        <v>0</v>
      </c>
    </row>
    <row r="38" spans="1:7">
      <c r="A38" s="263" t="s">
        <v>2954</v>
      </c>
      <c r="B38" s="244">
        <v>2</v>
      </c>
      <c r="C38" s="244">
        <v>0</v>
      </c>
      <c r="D38" s="244">
        <v>0</v>
      </c>
      <c r="E38" s="244">
        <v>0</v>
      </c>
      <c r="F38" s="244">
        <v>0</v>
      </c>
      <c r="G38" s="245">
        <v>0</v>
      </c>
    </row>
    <row r="39" spans="1:7">
      <c r="A39" s="263" t="s">
        <v>2958</v>
      </c>
      <c r="B39" s="244">
        <v>24</v>
      </c>
      <c r="C39" s="244">
        <v>0</v>
      </c>
      <c r="D39" s="244">
        <v>0</v>
      </c>
      <c r="E39" s="244">
        <v>0</v>
      </c>
      <c r="F39" s="244">
        <v>0</v>
      </c>
      <c r="G39" s="245">
        <v>0</v>
      </c>
    </row>
    <row r="40" spans="1:7">
      <c r="A40" s="263" t="s">
        <v>2962</v>
      </c>
      <c r="B40" s="244">
        <v>2</v>
      </c>
      <c r="C40" s="244">
        <v>0</v>
      </c>
      <c r="D40" s="244">
        <v>0</v>
      </c>
      <c r="E40" s="244">
        <v>0</v>
      </c>
      <c r="F40" s="244">
        <v>0</v>
      </c>
      <c r="G40" s="245">
        <v>0</v>
      </c>
    </row>
    <row r="41" spans="1:7">
      <c r="A41" s="263" t="s">
        <v>2968</v>
      </c>
      <c r="B41" s="244">
        <v>101</v>
      </c>
      <c r="C41" s="244">
        <v>0</v>
      </c>
      <c r="D41" s="244">
        <v>0</v>
      </c>
      <c r="E41" s="244">
        <v>0</v>
      </c>
      <c r="F41" s="244">
        <v>0</v>
      </c>
      <c r="G41" s="245">
        <v>0</v>
      </c>
    </row>
    <row r="42" spans="1:7">
      <c r="A42" s="263" t="s">
        <v>2976</v>
      </c>
      <c r="B42" s="244">
        <v>2</v>
      </c>
      <c r="C42" s="244">
        <v>0</v>
      </c>
      <c r="D42" s="244">
        <v>0</v>
      </c>
      <c r="E42" s="244">
        <v>0</v>
      </c>
      <c r="F42" s="244">
        <v>0</v>
      </c>
      <c r="G42" s="245">
        <v>0</v>
      </c>
    </row>
    <row r="43" spans="1:7">
      <c r="A43" s="263" t="s">
        <v>2980</v>
      </c>
      <c r="B43" s="244">
        <v>16</v>
      </c>
      <c r="C43" s="244">
        <v>0</v>
      </c>
      <c r="D43" s="244">
        <v>0</v>
      </c>
      <c r="E43" s="244">
        <v>0</v>
      </c>
      <c r="F43" s="244">
        <v>0</v>
      </c>
      <c r="G43" s="245">
        <v>0</v>
      </c>
    </row>
    <row r="44" spans="1:7">
      <c r="A44" s="263" t="s">
        <v>2986</v>
      </c>
      <c r="B44" s="244">
        <v>9</v>
      </c>
      <c r="C44" s="244">
        <v>0</v>
      </c>
      <c r="D44" s="244">
        <v>0</v>
      </c>
      <c r="E44" s="244">
        <v>0</v>
      </c>
      <c r="F44" s="244">
        <v>0</v>
      </c>
      <c r="G44" s="245">
        <v>0</v>
      </c>
    </row>
    <row r="45" spans="1:7">
      <c r="A45" s="263" t="s">
        <v>2988</v>
      </c>
      <c r="B45" s="244">
        <v>36</v>
      </c>
      <c r="C45" s="244">
        <v>0</v>
      </c>
      <c r="D45" s="244">
        <v>0</v>
      </c>
      <c r="E45" s="244">
        <v>0</v>
      </c>
      <c r="F45" s="244">
        <v>0</v>
      </c>
      <c r="G45" s="245">
        <v>0</v>
      </c>
    </row>
    <row r="46" spans="1:7">
      <c r="A46" s="263" t="s">
        <v>2990</v>
      </c>
      <c r="B46" s="244">
        <v>5</v>
      </c>
      <c r="C46" s="244">
        <v>0</v>
      </c>
      <c r="D46" s="244">
        <v>0</v>
      </c>
      <c r="E46" s="244">
        <v>0</v>
      </c>
      <c r="F46" s="244">
        <v>0</v>
      </c>
      <c r="G46" s="245">
        <v>0</v>
      </c>
    </row>
    <row r="47" spans="1:7">
      <c r="A47" s="263" t="s">
        <v>2992</v>
      </c>
      <c r="B47" s="244">
        <v>3</v>
      </c>
      <c r="C47" s="244">
        <v>0</v>
      </c>
      <c r="D47" s="244">
        <v>0</v>
      </c>
      <c r="E47" s="244">
        <v>0</v>
      </c>
      <c r="F47" s="244">
        <v>0</v>
      </c>
      <c r="G47" s="245">
        <v>0</v>
      </c>
    </row>
    <row r="48" spans="1:7">
      <c r="A48" s="263" t="s">
        <v>3928</v>
      </c>
      <c r="B48" s="244">
        <v>3</v>
      </c>
      <c r="C48" s="244">
        <v>0</v>
      </c>
      <c r="D48" s="244">
        <v>0</v>
      </c>
      <c r="E48" s="244">
        <v>0</v>
      </c>
      <c r="F48" s="244">
        <v>0</v>
      </c>
      <c r="G48" s="245">
        <v>0</v>
      </c>
    </row>
    <row r="49" spans="1:7">
      <c r="A49" s="263" t="s">
        <v>3000</v>
      </c>
      <c r="B49" s="244">
        <v>100</v>
      </c>
      <c r="C49" s="244">
        <v>0</v>
      </c>
      <c r="D49" s="244">
        <v>0</v>
      </c>
      <c r="E49" s="244">
        <v>0</v>
      </c>
      <c r="F49" s="244">
        <v>0</v>
      </c>
      <c r="G49" s="245">
        <v>0</v>
      </c>
    </row>
    <row r="50" spans="1:7">
      <c r="A50" s="263" t="s">
        <v>3006</v>
      </c>
      <c r="B50" s="244">
        <v>19</v>
      </c>
      <c r="C50" s="244">
        <v>0</v>
      </c>
      <c r="D50" s="244">
        <v>0</v>
      </c>
      <c r="E50" s="244">
        <v>0</v>
      </c>
      <c r="F50" s="244">
        <v>0</v>
      </c>
      <c r="G50" s="245">
        <v>0</v>
      </c>
    </row>
    <row r="51" spans="1:7">
      <c r="A51" s="263" t="s">
        <v>3008</v>
      </c>
      <c r="B51" s="244">
        <v>3</v>
      </c>
      <c r="C51" s="244">
        <v>0</v>
      </c>
      <c r="D51" s="244">
        <v>0</v>
      </c>
      <c r="E51" s="244">
        <v>0</v>
      </c>
      <c r="F51" s="244">
        <v>0</v>
      </c>
      <c r="G51" s="245">
        <v>0</v>
      </c>
    </row>
    <row r="52" spans="1:7">
      <c r="A52" s="263" t="s">
        <v>3010</v>
      </c>
      <c r="B52" s="244">
        <v>2</v>
      </c>
      <c r="C52" s="244">
        <v>0</v>
      </c>
      <c r="D52" s="244">
        <v>0</v>
      </c>
      <c r="E52" s="244">
        <v>0</v>
      </c>
      <c r="F52" s="244">
        <v>0</v>
      </c>
      <c r="G52" s="245">
        <v>0</v>
      </c>
    </row>
    <row r="53" spans="1:7">
      <c r="A53" s="263" t="s">
        <v>3012</v>
      </c>
      <c r="B53" s="244">
        <v>5</v>
      </c>
      <c r="C53" s="244">
        <v>0</v>
      </c>
      <c r="D53" s="244">
        <v>0</v>
      </c>
      <c r="E53" s="244">
        <v>0</v>
      </c>
      <c r="F53" s="244">
        <v>0</v>
      </c>
      <c r="G53" s="245">
        <v>0</v>
      </c>
    </row>
    <row r="54" spans="1:7">
      <c r="A54" s="263" t="s">
        <v>3020</v>
      </c>
      <c r="B54" s="244">
        <v>250</v>
      </c>
      <c r="C54" s="244">
        <v>0</v>
      </c>
      <c r="D54" s="244">
        <v>0</v>
      </c>
      <c r="E54" s="244">
        <v>0</v>
      </c>
      <c r="F54" s="244">
        <v>0</v>
      </c>
      <c r="G54" s="245">
        <v>0</v>
      </c>
    </row>
    <row r="55" spans="1:7">
      <c r="A55" s="263" t="s">
        <v>3024</v>
      </c>
      <c r="B55" s="244">
        <v>0</v>
      </c>
      <c r="C55" s="244">
        <v>0</v>
      </c>
      <c r="D55" s="244">
        <v>0</v>
      </c>
      <c r="E55" s="244">
        <v>0</v>
      </c>
      <c r="F55" s="244">
        <v>0</v>
      </c>
      <c r="G55" s="245">
        <v>0</v>
      </c>
    </row>
    <row r="56" spans="1:7">
      <c r="A56" s="263" t="s">
        <v>3026</v>
      </c>
      <c r="B56" s="244">
        <v>250</v>
      </c>
      <c r="C56" s="244">
        <v>0</v>
      </c>
      <c r="D56" s="244">
        <v>0</v>
      </c>
      <c r="E56" s="244">
        <v>0</v>
      </c>
      <c r="F56" s="244">
        <v>0</v>
      </c>
      <c r="G56" s="245">
        <v>0</v>
      </c>
    </row>
    <row r="57" spans="1:7">
      <c r="A57" s="263" t="s">
        <v>3030</v>
      </c>
      <c r="B57" s="244">
        <v>105</v>
      </c>
      <c r="C57" s="244">
        <v>0</v>
      </c>
      <c r="D57" s="244">
        <v>0</v>
      </c>
      <c r="E57" s="244">
        <v>0</v>
      </c>
      <c r="F57" s="244">
        <v>0</v>
      </c>
      <c r="G57" s="245">
        <v>0</v>
      </c>
    </row>
    <row r="58" spans="1:7">
      <c r="A58" s="263" t="s">
        <v>3034</v>
      </c>
      <c r="B58" s="244">
        <v>93</v>
      </c>
      <c r="C58" s="244">
        <v>0</v>
      </c>
      <c r="D58" s="244">
        <v>0</v>
      </c>
      <c r="E58" s="244">
        <v>0</v>
      </c>
      <c r="F58" s="244">
        <v>0</v>
      </c>
      <c r="G58" s="245">
        <v>0</v>
      </c>
    </row>
    <row r="59" spans="1:7">
      <c r="A59" s="263" t="s">
        <v>3036</v>
      </c>
      <c r="B59" s="244">
        <v>15</v>
      </c>
      <c r="C59" s="244">
        <v>0</v>
      </c>
      <c r="D59" s="244">
        <v>0</v>
      </c>
      <c r="E59" s="244">
        <v>0</v>
      </c>
      <c r="F59" s="244">
        <v>0</v>
      </c>
      <c r="G59" s="245">
        <v>0</v>
      </c>
    </row>
    <row r="60" spans="1:7">
      <c r="A60" s="263" t="s">
        <v>3050</v>
      </c>
      <c r="B60" s="244">
        <v>85</v>
      </c>
      <c r="C60" s="244">
        <v>0</v>
      </c>
      <c r="D60" s="244">
        <v>0</v>
      </c>
      <c r="E60" s="244">
        <v>0</v>
      </c>
      <c r="F60" s="244">
        <v>0</v>
      </c>
      <c r="G60" s="245">
        <v>0</v>
      </c>
    </row>
    <row r="61" spans="1:7">
      <c r="A61" s="320" t="s">
        <v>3052</v>
      </c>
      <c r="B61" s="320">
        <v>6</v>
      </c>
      <c r="C61" s="320">
        <v>0</v>
      </c>
      <c r="D61" s="320">
        <v>0</v>
      </c>
      <c r="E61" s="320">
        <v>0</v>
      </c>
      <c r="F61" s="320">
        <v>0</v>
      </c>
      <c r="G61" s="320">
        <v>0</v>
      </c>
    </row>
  </sheetData>
  <mergeCells count="3">
    <mergeCell ref="A1:G1"/>
    <mergeCell ref="A2:G2"/>
    <mergeCell ref="A3:G3"/>
  </mergeCells>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17B81-6101-4F14-80B8-46CB4272FAA9}">
  <sheetPr>
    <tabColor rgb="FFFA4600"/>
  </sheetPr>
  <dimension ref="A1:F79"/>
  <sheetViews>
    <sheetView showGridLines="0" workbookViewId="0">
      <pane ySplit="4" topLeftCell="A5" activePane="bottomLeft" state="frozen"/>
      <selection pane="bottomLeft" activeCell="F19" sqref="F19"/>
    </sheetView>
  </sheetViews>
  <sheetFormatPr defaultColWidth="9" defaultRowHeight="13.2"/>
  <cols>
    <col min="1" max="1" width="26" style="320" bestFit="1" customWidth="1"/>
    <col min="2" max="2" width="20.09765625" style="320" bestFit="1" customWidth="1"/>
    <col min="3" max="3" width="58.69921875" style="320" bestFit="1" customWidth="1"/>
    <col min="4" max="4" width="12.8984375" style="331" bestFit="1" customWidth="1"/>
    <col min="5" max="5" width="17.09765625" style="332" bestFit="1" customWidth="1"/>
    <col min="6" max="6" width="11.296875" style="320" bestFit="1" customWidth="1"/>
    <col min="7" max="16384" width="9" style="320"/>
  </cols>
  <sheetData>
    <row r="1" spans="1:6" ht="31.95" customHeight="1">
      <c r="A1" s="582" t="s">
        <v>3063</v>
      </c>
      <c r="B1" s="582"/>
      <c r="C1" s="582"/>
      <c r="D1" s="582"/>
      <c r="E1" s="582"/>
      <c r="F1" s="582"/>
    </row>
    <row r="2" spans="1:6" ht="37.5" customHeight="1">
      <c r="A2" s="581" t="s">
        <v>3064</v>
      </c>
      <c r="B2" s="581"/>
      <c r="C2" s="581"/>
      <c r="D2" s="581"/>
      <c r="E2" s="581"/>
      <c r="F2" s="581"/>
    </row>
    <row r="3" spans="1:6" ht="30" customHeight="1">
      <c r="A3" s="583" t="s">
        <v>3065</v>
      </c>
      <c r="B3" s="583"/>
      <c r="C3" s="583"/>
      <c r="D3" s="583"/>
      <c r="E3" s="583"/>
      <c r="F3" s="583"/>
    </row>
    <row r="4" spans="1:6">
      <c r="A4" s="260" t="s">
        <v>0</v>
      </c>
      <c r="B4" s="260" t="s">
        <v>1</v>
      </c>
      <c r="C4" s="260" t="s">
        <v>636</v>
      </c>
      <c r="D4" s="261" t="s">
        <v>2934</v>
      </c>
      <c r="E4" s="345" t="s">
        <v>2935</v>
      </c>
      <c r="F4" s="260" t="s">
        <v>2936</v>
      </c>
    </row>
    <row r="5" spans="1:6">
      <c r="A5" s="263" t="s">
        <v>14</v>
      </c>
      <c r="B5" s="263" t="s">
        <v>3929</v>
      </c>
      <c r="C5" s="263" t="s">
        <v>3002</v>
      </c>
      <c r="D5" s="244">
        <v>4</v>
      </c>
      <c r="E5" s="346">
        <v>46229</v>
      </c>
      <c r="F5" s="263" t="s">
        <v>3930</v>
      </c>
    </row>
    <row r="6" spans="1:6">
      <c r="A6" s="263" t="s">
        <v>14</v>
      </c>
      <c r="B6" s="263" t="s">
        <v>4020</v>
      </c>
      <c r="C6" s="263" t="s">
        <v>3032</v>
      </c>
      <c r="D6" s="244">
        <v>1</v>
      </c>
      <c r="E6" s="346">
        <v>46229</v>
      </c>
      <c r="F6" s="263" t="s">
        <v>4021</v>
      </c>
    </row>
    <row r="7" spans="1:6">
      <c r="A7" s="263" t="s">
        <v>3839</v>
      </c>
      <c r="B7" s="263" t="s">
        <v>4022</v>
      </c>
      <c r="C7" s="263" t="s">
        <v>3004</v>
      </c>
      <c r="D7" s="244">
        <v>2</v>
      </c>
      <c r="E7" s="346">
        <v>46229</v>
      </c>
      <c r="F7" s="263" t="s">
        <v>4023</v>
      </c>
    </row>
    <row r="8" spans="1:6">
      <c r="A8" s="263" t="s">
        <v>3839</v>
      </c>
      <c r="B8" s="263" t="s">
        <v>4024</v>
      </c>
      <c r="C8" s="263" t="s">
        <v>3042</v>
      </c>
      <c r="D8" s="244">
        <v>1</v>
      </c>
      <c r="E8" s="346">
        <v>46229</v>
      </c>
      <c r="F8" s="263" t="s">
        <v>3740</v>
      </c>
    </row>
    <row r="9" spans="1:6">
      <c r="A9" s="320" t="s">
        <v>11</v>
      </c>
      <c r="B9" s="320" t="s">
        <v>3949</v>
      </c>
      <c r="C9" s="320" t="s">
        <v>2994</v>
      </c>
      <c r="D9" s="320">
        <v>30</v>
      </c>
      <c r="E9" s="320">
        <v>46229</v>
      </c>
      <c r="F9" s="320" t="s">
        <v>3169</v>
      </c>
    </row>
    <row r="10" spans="1:6">
      <c r="A10" s="320" t="s">
        <v>11</v>
      </c>
      <c r="B10" s="320" t="s">
        <v>4025</v>
      </c>
      <c r="C10" s="320" t="s">
        <v>3054</v>
      </c>
      <c r="D10" s="320">
        <v>1</v>
      </c>
      <c r="E10" s="320">
        <v>46229</v>
      </c>
      <c r="F10" s="320" t="s">
        <v>4026</v>
      </c>
    </row>
    <row r="11" spans="1:6">
      <c r="A11" s="320" t="s">
        <v>3074</v>
      </c>
      <c r="B11" s="320" t="s">
        <v>4027</v>
      </c>
      <c r="C11" s="320" t="s">
        <v>3054</v>
      </c>
      <c r="D11" s="320">
        <v>2</v>
      </c>
      <c r="E11" s="320">
        <v>46229</v>
      </c>
      <c r="F11" s="320" t="s">
        <v>4028</v>
      </c>
    </row>
    <row r="12" spans="1:6">
      <c r="A12" s="320" t="s">
        <v>3074</v>
      </c>
      <c r="B12" s="320" t="s">
        <v>4029</v>
      </c>
      <c r="C12" s="320" t="s">
        <v>3046</v>
      </c>
      <c r="D12" s="320">
        <v>1</v>
      </c>
      <c r="E12" s="320">
        <v>46229</v>
      </c>
      <c r="F12" s="320" t="s">
        <v>4030</v>
      </c>
    </row>
    <row r="13" spans="1:6">
      <c r="A13" s="320" t="s">
        <v>3074</v>
      </c>
      <c r="B13" s="320" t="s">
        <v>4027</v>
      </c>
      <c r="C13" s="320" t="s">
        <v>3044</v>
      </c>
      <c r="D13" s="320">
        <v>1</v>
      </c>
      <c r="E13" s="320">
        <v>46229</v>
      </c>
      <c r="F13" s="320" t="s">
        <v>4028</v>
      </c>
    </row>
    <row r="14" spans="1:6">
      <c r="A14" s="320" t="s">
        <v>3074</v>
      </c>
      <c r="B14" s="320" t="s">
        <v>4029</v>
      </c>
      <c r="C14" s="320" t="s">
        <v>2964</v>
      </c>
      <c r="D14" s="320">
        <v>2</v>
      </c>
      <c r="E14" s="320">
        <v>46229</v>
      </c>
      <c r="F14" s="320" t="s">
        <v>4030</v>
      </c>
    </row>
    <row r="15" spans="1:6">
      <c r="A15" s="320" t="s">
        <v>3074</v>
      </c>
      <c r="B15" s="320" t="s">
        <v>4027</v>
      </c>
      <c r="C15" s="320" t="s">
        <v>2996</v>
      </c>
      <c r="D15" s="320">
        <v>2</v>
      </c>
      <c r="E15" s="320">
        <v>46229</v>
      </c>
      <c r="F15" s="320" t="s">
        <v>4028</v>
      </c>
    </row>
    <row r="16" spans="1:6">
      <c r="A16" s="320" t="s">
        <v>4031</v>
      </c>
      <c r="B16" s="320" t="s">
        <v>4032</v>
      </c>
      <c r="C16" s="320" t="s">
        <v>2984</v>
      </c>
      <c r="D16" s="320">
        <v>3</v>
      </c>
      <c r="E16" s="320">
        <v>46229</v>
      </c>
      <c r="F16" s="320" t="s">
        <v>4033</v>
      </c>
    </row>
    <row r="17" spans="1:6">
      <c r="A17" s="320" t="s">
        <v>4031</v>
      </c>
      <c r="B17" s="320" t="s">
        <v>4032</v>
      </c>
      <c r="C17" s="320" t="s">
        <v>2982</v>
      </c>
      <c r="D17" s="320">
        <v>3</v>
      </c>
      <c r="E17" s="320">
        <v>46229</v>
      </c>
      <c r="F17" s="320" t="s">
        <v>4033</v>
      </c>
    </row>
    <row r="18" spans="1:6">
      <c r="A18" s="320" t="s">
        <v>4031</v>
      </c>
      <c r="B18" s="320" t="s">
        <v>4034</v>
      </c>
      <c r="C18" s="320" t="s">
        <v>3028</v>
      </c>
      <c r="D18" s="320">
        <v>10</v>
      </c>
      <c r="E18" s="320">
        <v>46229</v>
      </c>
      <c r="F18" s="320" t="s">
        <v>4035</v>
      </c>
    </row>
    <row r="19" spans="1:6">
      <c r="A19" s="320" t="s">
        <v>4031</v>
      </c>
      <c r="B19" s="320" t="s">
        <v>4034</v>
      </c>
      <c r="C19" s="320" t="s">
        <v>2972</v>
      </c>
      <c r="D19" s="320">
        <v>1</v>
      </c>
      <c r="E19" s="320">
        <v>46229</v>
      </c>
      <c r="F19" s="320" t="s">
        <v>3152</v>
      </c>
    </row>
    <row r="20" spans="1:6">
      <c r="A20" s="320" t="s">
        <v>4031</v>
      </c>
      <c r="B20" s="320" t="s">
        <v>4034</v>
      </c>
      <c r="C20" s="320" t="s">
        <v>3032</v>
      </c>
      <c r="D20" s="320">
        <v>4</v>
      </c>
      <c r="E20" s="320">
        <v>46229</v>
      </c>
      <c r="F20" s="320" t="s">
        <v>4036</v>
      </c>
    </row>
    <row r="21" spans="1:6">
      <c r="A21" s="320" t="s">
        <v>4031</v>
      </c>
      <c r="B21" s="320" t="s">
        <v>4034</v>
      </c>
      <c r="C21" s="320" t="s">
        <v>3044</v>
      </c>
      <c r="D21" s="320">
        <v>1</v>
      </c>
      <c r="E21" s="320">
        <v>46229</v>
      </c>
      <c r="F21" s="320" t="s">
        <v>4036</v>
      </c>
    </row>
    <row r="22" spans="1:6">
      <c r="A22" s="320" t="s">
        <v>14</v>
      </c>
      <c r="B22" s="320" t="s">
        <v>3931</v>
      </c>
      <c r="C22" s="320" t="s">
        <v>3002</v>
      </c>
      <c r="D22" s="320">
        <v>2</v>
      </c>
      <c r="E22" s="320">
        <v>46228</v>
      </c>
      <c r="F22" s="320" t="s">
        <v>3932</v>
      </c>
    </row>
    <row r="23" spans="1:6">
      <c r="A23" s="320" t="s">
        <v>14</v>
      </c>
      <c r="B23" s="320" t="s">
        <v>3933</v>
      </c>
      <c r="C23" s="320" t="s">
        <v>2996</v>
      </c>
      <c r="D23" s="320">
        <v>1</v>
      </c>
      <c r="E23" s="320">
        <v>46228</v>
      </c>
      <c r="F23" s="320" t="s">
        <v>3934</v>
      </c>
    </row>
    <row r="24" spans="1:6">
      <c r="A24" s="320" t="s">
        <v>3839</v>
      </c>
      <c r="B24" s="320" t="s">
        <v>3873</v>
      </c>
      <c r="C24" s="320" t="s">
        <v>3018</v>
      </c>
      <c r="D24" s="320">
        <v>10</v>
      </c>
      <c r="E24" s="320">
        <v>46228</v>
      </c>
      <c r="F24" s="320" t="s">
        <v>3938</v>
      </c>
    </row>
    <row r="25" spans="1:6">
      <c r="A25" s="320" t="s">
        <v>3839</v>
      </c>
      <c r="B25" s="320" t="s">
        <v>3873</v>
      </c>
      <c r="C25" s="320" t="s">
        <v>3044</v>
      </c>
      <c r="D25" s="320">
        <v>1</v>
      </c>
      <c r="E25" s="320">
        <v>46228</v>
      </c>
      <c r="F25" s="320" t="s">
        <v>3938</v>
      </c>
    </row>
    <row r="26" spans="1:6">
      <c r="A26" s="320" t="s">
        <v>3839</v>
      </c>
      <c r="B26" s="320" t="s">
        <v>3935</v>
      </c>
      <c r="C26" s="320" t="s">
        <v>3044</v>
      </c>
      <c r="D26" s="320">
        <v>1</v>
      </c>
      <c r="E26" s="320">
        <v>46228</v>
      </c>
      <c r="F26" s="320" t="s">
        <v>3937</v>
      </c>
    </row>
    <row r="27" spans="1:6">
      <c r="A27" s="320" t="s">
        <v>3839</v>
      </c>
      <c r="B27" s="320" t="s">
        <v>3935</v>
      </c>
      <c r="C27" s="320" t="s">
        <v>3044</v>
      </c>
      <c r="D27" s="320">
        <v>1</v>
      </c>
      <c r="E27" s="320">
        <v>46228</v>
      </c>
      <c r="F27" s="320" t="s">
        <v>3936</v>
      </c>
    </row>
    <row r="28" spans="1:6">
      <c r="A28" s="320" t="s">
        <v>3839</v>
      </c>
      <c r="B28" s="320" t="s">
        <v>3868</v>
      </c>
      <c r="C28" s="320" t="s">
        <v>3048</v>
      </c>
      <c r="D28" s="320">
        <v>1</v>
      </c>
      <c r="E28" s="320">
        <v>46228</v>
      </c>
      <c r="F28" s="320" t="s">
        <v>3869</v>
      </c>
    </row>
    <row r="29" spans="1:6">
      <c r="A29" s="320" t="s">
        <v>3446</v>
      </c>
      <c r="B29" s="320" t="s">
        <v>3940</v>
      </c>
      <c r="C29" s="320" t="s">
        <v>3032</v>
      </c>
      <c r="D29" s="320">
        <v>20</v>
      </c>
      <c r="E29" s="320">
        <v>46228</v>
      </c>
      <c r="F29" s="320" t="s">
        <v>3941</v>
      </c>
    </row>
    <row r="30" spans="1:6">
      <c r="A30" s="320" t="s">
        <v>3446</v>
      </c>
      <c r="B30" s="320" t="s">
        <v>3877</v>
      </c>
      <c r="C30" s="320" t="s">
        <v>3018</v>
      </c>
      <c r="D30" s="320">
        <v>20</v>
      </c>
      <c r="E30" s="320">
        <v>46228</v>
      </c>
      <c r="F30" s="320" t="s">
        <v>3939</v>
      </c>
    </row>
    <row r="31" spans="1:6">
      <c r="A31" s="320" t="s">
        <v>11</v>
      </c>
      <c r="B31" s="320" t="s">
        <v>3949</v>
      </c>
      <c r="C31" s="320" t="s">
        <v>3040</v>
      </c>
      <c r="D31" s="320">
        <v>1</v>
      </c>
      <c r="E31" s="320">
        <v>46228</v>
      </c>
      <c r="F31" s="320" t="s">
        <v>3950</v>
      </c>
    </row>
    <row r="32" spans="1:6">
      <c r="A32" s="320" t="s">
        <v>11</v>
      </c>
      <c r="B32" s="320" t="s">
        <v>3949</v>
      </c>
      <c r="C32" s="320" t="s">
        <v>3042</v>
      </c>
      <c r="D32" s="320">
        <v>1</v>
      </c>
      <c r="E32" s="320">
        <v>46228</v>
      </c>
      <c r="F32" s="320" t="s">
        <v>3950</v>
      </c>
    </row>
    <row r="33" spans="1:6">
      <c r="A33" s="320" t="s">
        <v>11</v>
      </c>
      <c r="B33" s="320" t="s">
        <v>3944</v>
      </c>
      <c r="C33" s="320" t="s">
        <v>3032</v>
      </c>
      <c r="D33" s="320">
        <v>20</v>
      </c>
      <c r="E33" s="320">
        <v>46228</v>
      </c>
      <c r="F33" s="320" t="s">
        <v>3948</v>
      </c>
    </row>
    <row r="34" spans="1:6">
      <c r="A34" s="320" t="s">
        <v>11</v>
      </c>
      <c r="B34" s="320" t="s">
        <v>3944</v>
      </c>
      <c r="C34" s="320" t="s">
        <v>3028</v>
      </c>
      <c r="D34" s="320">
        <v>20</v>
      </c>
      <c r="E34" s="320">
        <v>46228</v>
      </c>
      <c r="F34" s="320" t="s">
        <v>3948</v>
      </c>
    </row>
    <row r="35" spans="1:6">
      <c r="A35" s="320" t="s">
        <v>11</v>
      </c>
      <c r="B35" s="320" t="s">
        <v>3942</v>
      </c>
      <c r="C35" s="320" t="s">
        <v>2966</v>
      </c>
      <c r="D35" s="320">
        <v>1</v>
      </c>
      <c r="E35" s="320">
        <v>46228</v>
      </c>
      <c r="F35" s="320" t="s">
        <v>3943</v>
      </c>
    </row>
    <row r="36" spans="1:6">
      <c r="A36" s="320" t="s">
        <v>11</v>
      </c>
      <c r="B36" s="320" t="s">
        <v>3942</v>
      </c>
      <c r="C36" s="320" t="s">
        <v>3054</v>
      </c>
      <c r="D36" s="320">
        <v>1</v>
      </c>
      <c r="E36" s="320">
        <v>46228</v>
      </c>
      <c r="F36" s="320" t="s">
        <v>3943</v>
      </c>
    </row>
    <row r="37" spans="1:6">
      <c r="A37" s="320" t="s">
        <v>11</v>
      </c>
      <c r="B37" s="320" t="s">
        <v>3944</v>
      </c>
      <c r="C37" s="320" t="s">
        <v>3044</v>
      </c>
      <c r="D37" s="320">
        <v>3</v>
      </c>
      <c r="E37" s="320">
        <v>46228</v>
      </c>
      <c r="F37" s="320" t="s">
        <v>3948</v>
      </c>
    </row>
    <row r="38" spans="1:6">
      <c r="A38" s="320" t="s">
        <v>11</v>
      </c>
      <c r="B38" s="320" t="s">
        <v>3870</v>
      </c>
      <c r="C38" s="320" t="s">
        <v>3044</v>
      </c>
      <c r="D38" s="320">
        <v>3</v>
      </c>
      <c r="E38" s="320">
        <v>46228</v>
      </c>
      <c r="F38" s="320" t="s">
        <v>3683</v>
      </c>
    </row>
    <row r="39" spans="1:6">
      <c r="A39" s="320" t="s">
        <v>11</v>
      </c>
      <c r="B39" s="320" t="s">
        <v>3946</v>
      </c>
      <c r="C39" s="320" t="s">
        <v>3022</v>
      </c>
      <c r="D39" s="320">
        <v>8</v>
      </c>
      <c r="E39" s="320">
        <v>46228</v>
      </c>
      <c r="F39" s="320" t="s">
        <v>3947</v>
      </c>
    </row>
    <row r="40" spans="1:6">
      <c r="A40" s="320" t="s">
        <v>11</v>
      </c>
      <c r="B40" s="320" t="s">
        <v>3944</v>
      </c>
      <c r="C40" s="320" t="s">
        <v>3022</v>
      </c>
      <c r="D40" s="320">
        <v>30</v>
      </c>
      <c r="E40" s="320">
        <v>46228</v>
      </c>
      <c r="F40" s="320" t="s">
        <v>3945</v>
      </c>
    </row>
    <row r="41" spans="1:6">
      <c r="A41" s="320" t="s">
        <v>11</v>
      </c>
      <c r="B41" s="320" t="s">
        <v>3942</v>
      </c>
      <c r="C41" s="320" t="s">
        <v>2982</v>
      </c>
      <c r="D41" s="320">
        <v>3</v>
      </c>
      <c r="E41" s="320">
        <v>46228</v>
      </c>
      <c r="F41" s="320" t="s">
        <v>3943</v>
      </c>
    </row>
    <row r="42" spans="1:6">
      <c r="A42" s="320" t="s">
        <v>11</v>
      </c>
      <c r="B42" s="320" t="s">
        <v>3942</v>
      </c>
      <c r="C42" s="320" t="s">
        <v>2984</v>
      </c>
      <c r="D42" s="320">
        <v>3</v>
      </c>
      <c r="E42" s="320">
        <v>46228</v>
      </c>
      <c r="F42" s="320" t="s">
        <v>3943</v>
      </c>
    </row>
    <row r="43" spans="1:6">
      <c r="A43" s="320" t="s">
        <v>11</v>
      </c>
      <c r="B43" s="320" t="s">
        <v>3949</v>
      </c>
      <c r="C43" s="320" t="s">
        <v>3038</v>
      </c>
      <c r="D43" s="320">
        <v>1</v>
      </c>
      <c r="E43" s="320">
        <v>46228</v>
      </c>
      <c r="F43" s="320" t="s">
        <v>3950</v>
      </c>
    </row>
    <row r="44" spans="1:6">
      <c r="A44" s="320" t="s">
        <v>3074</v>
      </c>
      <c r="B44" s="320" t="s">
        <v>3871</v>
      </c>
      <c r="C44" s="320" t="s">
        <v>3018</v>
      </c>
      <c r="D44" s="320">
        <v>8</v>
      </c>
      <c r="E44" s="320">
        <v>46228</v>
      </c>
      <c r="F44" s="320" t="s">
        <v>3955</v>
      </c>
    </row>
    <row r="45" spans="1:6">
      <c r="A45" s="320" t="s">
        <v>3074</v>
      </c>
      <c r="B45" s="320" t="s">
        <v>3871</v>
      </c>
      <c r="C45" s="320" t="s">
        <v>3018</v>
      </c>
      <c r="D45" s="320">
        <v>10</v>
      </c>
      <c r="E45" s="320">
        <v>46228</v>
      </c>
      <c r="F45" s="320" t="s">
        <v>3872</v>
      </c>
    </row>
    <row r="46" spans="1:6">
      <c r="A46" s="320" t="s">
        <v>3074</v>
      </c>
      <c r="B46" s="320" t="s">
        <v>3953</v>
      </c>
      <c r="C46" s="320" t="s">
        <v>3048</v>
      </c>
      <c r="D46" s="320">
        <v>1</v>
      </c>
      <c r="E46" s="320">
        <v>46228</v>
      </c>
      <c r="F46" s="320" t="s">
        <v>3954</v>
      </c>
    </row>
    <row r="47" spans="1:6">
      <c r="A47" s="320" t="s">
        <v>3074</v>
      </c>
      <c r="B47" s="320" t="s">
        <v>3871</v>
      </c>
      <c r="C47" s="320" t="s">
        <v>3018</v>
      </c>
      <c r="D47" s="320">
        <v>12</v>
      </c>
      <c r="E47" s="320">
        <v>46228</v>
      </c>
      <c r="F47" s="320" t="s">
        <v>3956</v>
      </c>
    </row>
    <row r="48" spans="1:6">
      <c r="A48" s="320" t="s">
        <v>3074</v>
      </c>
      <c r="B48" s="320" t="s">
        <v>3951</v>
      </c>
      <c r="C48" s="320" t="s">
        <v>3038</v>
      </c>
      <c r="D48" s="320">
        <v>1</v>
      </c>
      <c r="E48" s="320">
        <v>46228</v>
      </c>
      <c r="F48" s="320" t="s">
        <v>3952</v>
      </c>
    </row>
    <row r="49" spans="1:6">
      <c r="A49" s="320" t="s">
        <v>3839</v>
      </c>
      <c r="B49" s="320" t="s">
        <v>3873</v>
      </c>
      <c r="C49" s="320" t="s">
        <v>3016</v>
      </c>
      <c r="D49" s="320">
        <v>1</v>
      </c>
      <c r="E49" s="320">
        <v>46227</v>
      </c>
      <c r="F49" s="320" t="s">
        <v>3874</v>
      </c>
    </row>
    <row r="50" spans="1:6">
      <c r="A50" s="320" t="s">
        <v>3839</v>
      </c>
      <c r="B50" s="320" t="s">
        <v>3873</v>
      </c>
      <c r="C50" s="320" t="s">
        <v>2960</v>
      </c>
      <c r="D50" s="320">
        <v>4</v>
      </c>
      <c r="E50" s="320">
        <v>46227</v>
      </c>
      <c r="F50" s="320" t="s">
        <v>3874</v>
      </c>
    </row>
    <row r="51" spans="1:6">
      <c r="A51" s="320" t="s">
        <v>3839</v>
      </c>
      <c r="B51" s="320" t="s">
        <v>3873</v>
      </c>
      <c r="C51" s="320" t="s">
        <v>3048</v>
      </c>
      <c r="D51" s="320">
        <v>1</v>
      </c>
      <c r="E51" s="320">
        <v>46227</v>
      </c>
      <c r="F51" s="320" t="s">
        <v>3874</v>
      </c>
    </row>
    <row r="52" spans="1:6">
      <c r="A52" s="320" t="s">
        <v>3839</v>
      </c>
      <c r="B52" s="320" t="s">
        <v>3875</v>
      </c>
      <c r="C52" s="320" t="s">
        <v>3048</v>
      </c>
      <c r="D52" s="320">
        <v>1</v>
      </c>
      <c r="E52" s="320">
        <v>46227</v>
      </c>
      <c r="F52" s="320" t="s">
        <v>3874</v>
      </c>
    </row>
    <row r="53" spans="1:6">
      <c r="A53" s="320" t="s">
        <v>3446</v>
      </c>
      <c r="B53" s="320" t="s">
        <v>3454</v>
      </c>
      <c r="C53" s="320" t="s">
        <v>3048</v>
      </c>
      <c r="D53" s="320">
        <v>1</v>
      </c>
      <c r="E53" s="320">
        <v>46227</v>
      </c>
      <c r="F53" s="320" t="s">
        <v>3876</v>
      </c>
    </row>
    <row r="54" spans="1:6">
      <c r="A54" s="320" t="s">
        <v>3446</v>
      </c>
      <c r="B54" s="320" t="s">
        <v>3877</v>
      </c>
      <c r="C54" s="320" t="s">
        <v>2970</v>
      </c>
      <c r="D54" s="320">
        <v>1</v>
      </c>
      <c r="E54" s="320">
        <v>46227</v>
      </c>
      <c r="F54" s="320" t="s">
        <v>3878</v>
      </c>
    </row>
    <row r="55" spans="1:6">
      <c r="A55" s="320" t="s">
        <v>3074</v>
      </c>
      <c r="B55" s="320" t="s">
        <v>3871</v>
      </c>
      <c r="C55" s="320" t="s">
        <v>2970</v>
      </c>
      <c r="D55" s="320">
        <v>1</v>
      </c>
      <c r="E55" s="320">
        <v>46227</v>
      </c>
      <c r="F55" s="320" t="s">
        <v>3881</v>
      </c>
    </row>
    <row r="56" spans="1:6">
      <c r="A56" s="320" t="s">
        <v>3074</v>
      </c>
      <c r="B56" s="320" t="s">
        <v>3882</v>
      </c>
      <c r="C56" s="320" t="s">
        <v>2970</v>
      </c>
      <c r="D56" s="320">
        <v>1</v>
      </c>
      <c r="E56" s="320">
        <v>46227</v>
      </c>
      <c r="F56" s="320" t="s">
        <v>3878</v>
      </c>
    </row>
    <row r="57" spans="1:6">
      <c r="A57" s="320" t="s">
        <v>3074</v>
      </c>
      <c r="B57" s="320" t="s">
        <v>3879</v>
      </c>
      <c r="C57" s="320" t="s">
        <v>3048</v>
      </c>
      <c r="D57" s="320">
        <v>1</v>
      </c>
      <c r="E57" s="320">
        <v>46227</v>
      </c>
      <c r="F57" s="320" t="s">
        <v>3880</v>
      </c>
    </row>
    <row r="58" spans="1:6">
      <c r="A58" s="320" t="s">
        <v>3808</v>
      </c>
      <c r="B58" s="320" t="s">
        <v>3885</v>
      </c>
      <c r="C58" s="320" t="s">
        <v>2978</v>
      </c>
      <c r="D58" s="320">
        <v>1</v>
      </c>
      <c r="E58" s="320">
        <v>46227</v>
      </c>
      <c r="F58" s="320" t="s">
        <v>3660</v>
      </c>
    </row>
    <row r="59" spans="1:6">
      <c r="A59" s="320" t="s">
        <v>3808</v>
      </c>
      <c r="B59" s="320" t="s">
        <v>3883</v>
      </c>
      <c r="C59" s="320" t="s">
        <v>2996</v>
      </c>
      <c r="D59" s="320">
        <v>1</v>
      </c>
      <c r="E59" s="320">
        <v>46227</v>
      </c>
      <c r="F59" s="320" t="s">
        <v>3884</v>
      </c>
    </row>
    <row r="60" spans="1:6">
      <c r="A60" s="320" t="s">
        <v>3808</v>
      </c>
      <c r="B60" s="320" t="s">
        <v>3883</v>
      </c>
      <c r="C60" s="320" t="s">
        <v>3054</v>
      </c>
      <c r="D60" s="320">
        <v>1</v>
      </c>
      <c r="E60" s="320">
        <v>46227</v>
      </c>
      <c r="F60" s="320" t="s">
        <v>3884</v>
      </c>
    </row>
    <row r="61" spans="1:6">
      <c r="A61" s="320" t="s">
        <v>3714</v>
      </c>
      <c r="B61" s="320" t="s">
        <v>3886</v>
      </c>
      <c r="C61" s="320" t="s">
        <v>2996</v>
      </c>
      <c r="D61" s="320">
        <v>1</v>
      </c>
      <c r="E61" s="320">
        <v>46227</v>
      </c>
      <c r="F61" s="320" t="s">
        <v>3687</v>
      </c>
    </row>
    <row r="62" spans="1:6">
      <c r="A62" s="320" t="s">
        <v>3714</v>
      </c>
      <c r="B62" s="320" t="s">
        <v>3887</v>
      </c>
      <c r="C62" s="320" t="s">
        <v>2996</v>
      </c>
      <c r="D62" s="320">
        <v>4</v>
      </c>
      <c r="E62" s="320">
        <v>46227</v>
      </c>
      <c r="F62" s="320" t="s">
        <v>3818</v>
      </c>
    </row>
    <row r="63" spans="1:6">
      <c r="A63" s="320" t="s">
        <v>3808</v>
      </c>
      <c r="B63" s="320" t="s">
        <v>3809</v>
      </c>
      <c r="C63" s="320" t="s">
        <v>3044</v>
      </c>
      <c r="D63" s="320">
        <v>2</v>
      </c>
      <c r="E63" s="320">
        <v>46226</v>
      </c>
      <c r="F63" s="320" t="s">
        <v>3810</v>
      </c>
    </row>
    <row r="64" spans="1:6">
      <c r="A64" s="320" t="s">
        <v>14</v>
      </c>
      <c r="B64" s="320" t="s">
        <v>3811</v>
      </c>
      <c r="C64" s="320" t="s">
        <v>2996</v>
      </c>
      <c r="D64" s="320">
        <v>6</v>
      </c>
      <c r="E64" s="320">
        <v>46225</v>
      </c>
      <c r="F64" s="320" t="s">
        <v>3812</v>
      </c>
    </row>
    <row r="65" spans="1:6">
      <c r="A65" s="320" t="s">
        <v>14</v>
      </c>
      <c r="B65" s="320" t="s">
        <v>3811</v>
      </c>
      <c r="C65" s="320" t="s">
        <v>2974</v>
      </c>
      <c r="D65" s="320">
        <v>6</v>
      </c>
      <c r="E65" s="320">
        <v>46225</v>
      </c>
      <c r="F65" s="320" t="s">
        <v>3812</v>
      </c>
    </row>
    <row r="66" spans="1:6">
      <c r="A66" s="320" t="s">
        <v>14</v>
      </c>
      <c r="B66" s="320" t="s">
        <v>3811</v>
      </c>
      <c r="C66" s="320" t="s">
        <v>3044</v>
      </c>
      <c r="D66" s="320">
        <v>4</v>
      </c>
      <c r="E66" s="320">
        <v>46225</v>
      </c>
      <c r="F66" s="320" t="s">
        <v>3812</v>
      </c>
    </row>
    <row r="67" spans="1:6">
      <c r="A67" s="320" t="s">
        <v>14</v>
      </c>
      <c r="B67" s="320" t="s">
        <v>3811</v>
      </c>
      <c r="C67" s="320" t="s">
        <v>2970</v>
      </c>
      <c r="D67" s="320">
        <v>10</v>
      </c>
      <c r="E67" s="320">
        <v>46225</v>
      </c>
      <c r="F67" s="320" t="s">
        <v>3812</v>
      </c>
    </row>
    <row r="68" spans="1:6">
      <c r="A68" s="320" t="s">
        <v>3446</v>
      </c>
      <c r="B68" s="320" t="s">
        <v>3813</v>
      </c>
      <c r="C68" s="320" t="s">
        <v>3028</v>
      </c>
      <c r="D68" s="320">
        <v>20</v>
      </c>
      <c r="E68" s="320">
        <v>46225</v>
      </c>
      <c r="F68" s="320" t="s">
        <v>3814</v>
      </c>
    </row>
    <row r="69" spans="1:6">
      <c r="A69" s="320" t="s">
        <v>3446</v>
      </c>
      <c r="B69" s="320" t="s">
        <v>3454</v>
      </c>
      <c r="C69" s="320" t="s">
        <v>2956</v>
      </c>
      <c r="D69" s="320">
        <v>4</v>
      </c>
      <c r="E69" s="320">
        <v>46225</v>
      </c>
      <c r="F69" s="320" t="s">
        <v>3818</v>
      </c>
    </row>
    <row r="70" spans="1:6">
      <c r="A70" s="320" t="s">
        <v>3446</v>
      </c>
      <c r="B70" s="320" t="s">
        <v>3813</v>
      </c>
      <c r="C70" s="320" t="s">
        <v>3044</v>
      </c>
      <c r="D70" s="320">
        <v>1</v>
      </c>
      <c r="E70" s="320">
        <v>46225</v>
      </c>
      <c r="F70" s="320" t="s">
        <v>3814</v>
      </c>
    </row>
    <row r="71" spans="1:6">
      <c r="A71" s="320" t="s">
        <v>3446</v>
      </c>
      <c r="B71" s="320" t="s">
        <v>3454</v>
      </c>
      <c r="C71" s="320" t="s">
        <v>2998</v>
      </c>
      <c r="D71" s="320">
        <v>6</v>
      </c>
      <c r="E71" s="320">
        <v>46225</v>
      </c>
      <c r="F71" s="320" t="s">
        <v>3815</v>
      </c>
    </row>
    <row r="72" spans="1:6">
      <c r="A72" s="320" t="s">
        <v>3446</v>
      </c>
      <c r="B72" s="320" t="s">
        <v>3816</v>
      </c>
      <c r="C72" s="320" t="s">
        <v>2970</v>
      </c>
      <c r="D72" s="320">
        <v>2</v>
      </c>
      <c r="E72" s="320">
        <v>46225</v>
      </c>
      <c r="F72" s="320" t="s">
        <v>3817</v>
      </c>
    </row>
    <row r="73" spans="1:6">
      <c r="A73" s="320" t="s">
        <v>3654</v>
      </c>
      <c r="B73" s="320" t="s">
        <v>3672</v>
      </c>
      <c r="C73" s="320" t="s">
        <v>2948</v>
      </c>
      <c r="D73" s="320">
        <v>2</v>
      </c>
      <c r="E73" s="320">
        <v>46225</v>
      </c>
      <c r="F73" s="320" t="s">
        <v>3819</v>
      </c>
    </row>
    <row r="74" spans="1:6">
      <c r="A74" s="320" t="s">
        <v>3654</v>
      </c>
      <c r="B74" s="320" t="s">
        <v>3672</v>
      </c>
      <c r="C74" s="320" t="s">
        <v>2946</v>
      </c>
      <c r="D74" s="320">
        <v>10</v>
      </c>
      <c r="E74" s="320">
        <v>46225</v>
      </c>
      <c r="F74" s="320" t="s">
        <v>3819</v>
      </c>
    </row>
    <row r="75" spans="1:6">
      <c r="A75" s="320" t="s">
        <v>3654</v>
      </c>
      <c r="B75" s="320" t="s">
        <v>3672</v>
      </c>
      <c r="C75" s="320" t="s">
        <v>3016</v>
      </c>
      <c r="D75" s="320">
        <v>10</v>
      </c>
      <c r="E75" s="320">
        <v>46225</v>
      </c>
      <c r="F75" s="320" t="s">
        <v>3819</v>
      </c>
    </row>
    <row r="76" spans="1:6">
      <c r="A76" s="320" t="s">
        <v>3654</v>
      </c>
      <c r="B76" s="320" t="s">
        <v>3672</v>
      </c>
      <c r="C76" s="320" t="s">
        <v>3014</v>
      </c>
      <c r="D76" s="320">
        <v>2</v>
      </c>
      <c r="E76" s="320">
        <v>46224</v>
      </c>
      <c r="F76" s="320" t="s">
        <v>3673</v>
      </c>
    </row>
    <row r="77" spans="1:6">
      <c r="A77" s="320" t="s">
        <v>3654</v>
      </c>
      <c r="B77" s="320" t="s">
        <v>3672</v>
      </c>
      <c r="C77" s="320" t="s">
        <v>2956</v>
      </c>
      <c r="D77" s="320">
        <v>1</v>
      </c>
      <c r="E77" s="320">
        <v>46224</v>
      </c>
      <c r="F77" s="320" t="s">
        <v>3673</v>
      </c>
    </row>
    <row r="78" spans="1:6">
      <c r="A78" s="320" t="s">
        <v>3654</v>
      </c>
      <c r="B78" s="320" t="s">
        <v>3672</v>
      </c>
      <c r="C78" s="320" t="s">
        <v>2998</v>
      </c>
      <c r="D78" s="320">
        <v>4</v>
      </c>
      <c r="E78" s="320">
        <v>46224</v>
      </c>
      <c r="F78" s="320" t="s">
        <v>3673</v>
      </c>
    </row>
    <row r="79" spans="1:6">
      <c r="A79" s="320" t="s">
        <v>3446</v>
      </c>
      <c r="B79" s="320" t="s">
        <v>3454</v>
      </c>
      <c r="C79" s="320" t="s">
        <v>3014</v>
      </c>
      <c r="D79" s="320">
        <v>1</v>
      </c>
      <c r="E79" s="320">
        <v>46223</v>
      </c>
      <c r="F79" s="320" t="s">
        <v>3455</v>
      </c>
    </row>
  </sheetData>
  <mergeCells count="3">
    <mergeCell ref="A2:F2"/>
    <mergeCell ref="A1:F1"/>
    <mergeCell ref="A3:F3"/>
  </mergeCells>
  <phoneticPr fontId="3"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9E2BC-43B1-475E-BC03-B77E6021D21D}">
  <sheetPr>
    <tabColor rgb="FFFA4600"/>
  </sheetPr>
  <dimension ref="A1:H18"/>
  <sheetViews>
    <sheetView showGridLines="0" workbookViewId="0">
      <pane ySplit="4" topLeftCell="A5" activePane="bottomLeft" state="frozen"/>
      <selection pane="bottomLeft" activeCell="H28" sqref="H28"/>
    </sheetView>
  </sheetViews>
  <sheetFormatPr defaultRowHeight="13.8"/>
  <cols>
    <col min="1" max="1" width="33.59765625" bestFit="1" customWidth="1"/>
    <col min="2" max="2" width="17" style="158" bestFit="1" customWidth="1"/>
    <col min="3" max="3" width="16.09765625" style="158" bestFit="1" customWidth="1"/>
    <col min="4" max="4" width="17" style="158" bestFit="1" customWidth="1"/>
    <col min="5" max="5" width="27.19921875" style="158" bestFit="1" customWidth="1"/>
    <col min="6" max="6" width="20" style="255" bestFit="1" customWidth="1"/>
    <col min="7" max="7" width="20.59765625" style="158" bestFit="1" customWidth="1"/>
    <col min="8" max="8" width="20.296875" style="255" bestFit="1" customWidth="1"/>
  </cols>
  <sheetData>
    <row r="1" spans="1:8" ht="31.95" customHeight="1">
      <c r="A1" s="210" t="s">
        <v>3069</v>
      </c>
      <c r="B1" s="238"/>
      <c r="C1" s="238"/>
      <c r="D1" s="238"/>
      <c r="E1" s="238"/>
      <c r="F1" s="253"/>
      <c r="G1" s="238"/>
      <c r="H1" s="253"/>
    </row>
    <row r="2" spans="1:8" ht="18" customHeight="1">
      <c r="A2" s="211" t="s">
        <v>3070</v>
      </c>
      <c r="B2" s="252"/>
      <c r="C2" s="252"/>
      <c r="D2" s="252"/>
      <c r="E2" s="252"/>
      <c r="F2" s="254"/>
      <c r="G2" s="252"/>
      <c r="H2" s="254"/>
    </row>
    <row r="3" spans="1:8" ht="13.95" customHeight="1">
      <c r="A3" s="212" t="s">
        <v>3071</v>
      </c>
    </row>
    <row r="4" spans="1:8">
      <c r="A4" s="239" t="s">
        <v>0</v>
      </c>
      <c r="B4" s="241" t="s">
        <v>135</v>
      </c>
      <c r="C4" s="241" t="s">
        <v>2928</v>
      </c>
      <c r="D4" s="241" t="s">
        <v>2929</v>
      </c>
      <c r="E4" s="241" t="s">
        <v>2930</v>
      </c>
      <c r="F4" s="256" t="s">
        <v>2931</v>
      </c>
      <c r="G4" s="241" t="s">
        <v>2932</v>
      </c>
      <c r="H4" s="258" t="s">
        <v>2933</v>
      </c>
    </row>
    <row r="5" spans="1:8">
      <c r="A5" s="242" t="s">
        <v>3446</v>
      </c>
      <c r="B5" s="243">
        <v>16</v>
      </c>
      <c r="C5" s="243">
        <v>162</v>
      </c>
      <c r="D5" s="243">
        <v>182</v>
      </c>
      <c r="E5" s="243">
        <v>837</v>
      </c>
      <c r="F5" s="257">
        <v>6939.2300000000023</v>
      </c>
      <c r="G5" s="243">
        <v>76</v>
      </c>
      <c r="H5" s="259">
        <v>433.70187499999997</v>
      </c>
    </row>
    <row r="6" spans="1:8">
      <c r="A6" s="242" t="s">
        <v>14</v>
      </c>
      <c r="B6" s="243">
        <v>14</v>
      </c>
      <c r="C6" s="243">
        <v>62</v>
      </c>
      <c r="D6" s="243">
        <v>60</v>
      </c>
      <c r="E6" s="243">
        <v>248</v>
      </c>
      <c r="F6" s="257">
        <v>6884.24</v>
      </c>
      <c r="G6" s="243">
        <v>34</v>
      </c>
      <c r="H6" s="259">
        <v>491.73142857142898</v>
      </c>
    </row>
    <row r="7" spans="1:8">
      <c r="A7" s="242" t="s">
        <v>3074</v>
      </c>
      <c r="B7" s="243">
        <v>24</v>
      </c>
      <c r="C7" s="243">
        <v>35</v>
      </c>
      <c r="D7" s="243">
        <v>30</v>
      </c>
      <c r="E7" s="243">
        <v>39</v>
      </c>
      <c r="F7" s="257">
        <v>2907.98</v>
      </c>
      <c r="G7" s="243">
        <v>43</v>
      </c>
      <c r="H7" s="259">
        <v>121.165833333333</v>
      </c>
    </row>
    <row r="8" spans="1:8">
      <c r="A8" s="242" t="s">
        <v>3714</v>
      </c>
      <c r="B8" s="243">
        <v>18</v>
      </c>
      <c r="C8" s="243">
        <v>76</v>
      </c>
      <c r="D8" s="243">
        <v>61</v>
      </c>
      <c r="E8" s="243">
        <v>152</v>
      </c>
      <c r="F8" s="243">
        <v>2128.4400000000005</v>
      </c>
      <c r="G8" s="243">
        <v>5</v>
      </c>
      <c r="H8" s="347">
        <v>118.246666666667</v>
      </c>
    </row>
    <row r="9" spans="1:8">
      <c r="A9" s="242" t="s">
        <v>3654</v>
      </c>
      <c r="B9" s="243">
        <v>6</v>
      </c>
      <c r="C9" s="243">
        <v>42</v>
      </c>
      <c r="D9" s="243">
        <v>34</v>
      </c>
      <c r="E9" s="243">
        <v>155</v>
      </c>
      <c r="F9" s="243">
        <v>1253.02</v>
      </c>
      <c r="G9" s="243">
        <v>29</v>
      </c>
      <c r="H9" s="347">
        <v>208.83666666666701</v>
      </c>
    </row>
    <row r="10" spans="1:8">
      <c r="A10" s="237" t="s">
        <v>11</v>
      </c>
      <c r="B10" s="344">
        <v>20</v>
      </c>
      <c r="C10" s="344">
        <v>29</v>
      </c>
      <c r="D10" s="344">
        <v>34</v>
      </c>
      <c r="E10" s="344">
        <v>64</v>
      </c>
      <c r="F10" s="344">
        <v>1164.92</v>
      </c>
      <c r="G10" s="344">
        <v>126</v>
      </c>
      <c r="H10" s="348">
        <v>58.246000000000002</v>
      </c>
    </row>
    <row r="11" spans="1:8">
      <c r="A11" t="s">
        <v>3674</v>
      </c>
      <c r="B11">
        <v>1</v>
      </c>
      <c r="C11">
        <v>4</v>
      </c>
      <c r="D11">
        <v>6</v>
      </c>
      <c r="E11">
        <v>36</v>
      </c>
      <c r="F11">
        <v>1018.32</v>
      </c>
      <c r="G11">
        <v>0</v>
      </c>
      <c r="H11">
        <v>1018.32</v>
      </c>
    </row>
    <row r="12" spans="1:8">
      <c r="A12" t="s">
        <v>3906</v>
      </c>
      <c r="B12">
        <v>2</v>
      </c>
      <c r="C12">
        <v>2</v>
      </c>
      <c r="D12">
        <v>1</v>
      </c>
      <c r="E12">
        <v>2</v>
      </c>
      <c r="F12">
        <v>207.4</v>
      </c>
      <c r="G12">
        <v>0</v>
      </c>
      <c r="H12">
        <v>103.7</v>
      </c>
    </row>
    <row r="13" spans="1:8">
      <c r="A13" t="s">
        <v>4005</v>
      </c>
      <c r="B13">
        <v>6</v>
      </c>
      <c r="C13">
        <v>12</v>
      </c>
      <c r="D13">
        <v>1</v>
      </c>
      <c r="E13">
        <v>1</v>
      </c>
      <c r="F13">
        <v>53.92</v>
      </c>
      <c r="G13">
        <v>0</v>
      </c>
      <c r="H13">
        <v>8.9866666666666593</v>
      </c>
    </row>
    <row r="14" spans="1:8">
      <c r="A14" t="s">
        <v>4031</v>
      </c>
      <c r="B14">
        <v>0</v>
      </c>
      <c r="C14">
        <v>0</v>
      </c>
      <c r="D14">
        <v>4</v>
      </c>
      <c r="E14">
        <v>4</v>
      </c>
      <c r="F14">
        <v>17.12</v>
      </c>
      <c r="G14">
        <v>22</v>
      </c>
      <c r="H14">
        <v>0</v>
      </c>
    </row>
    <row r="15" spans="1:8">
      <c r="A15" t="s">
        <v>3839</v>
      </c>
      <c r="B15">
        <v>7</v>
      </c>
      <c r="C15">
        <v>11</v>
      </c>
      <c r="D15">
        <v>6</v>
      </c>
      <c r="E15">
        <v>10</v>
      </c>
      <c r="F15">
        <v>0</v>
      </c>
      <c r="G15">
        <v>24</v>
      </c>
      <c r="H15">
        <v>0</v>
      </c>
    </row>
    <row r="16" spans="1:8">
      <c r="A16" t="s">
        <v>3836</v>
      </c>
      <c r="B16">
        <v>8</v>
      </c>
      <c r="C16">
        <v>9</v>
      </c>
      <c r="D16">
        <v>5</v>
      </c>
      <c r="E16">
        <v>7</v>
      </c>
      <c r="F16">
        <v>0</v>
      </c>
      <c r="G16">
        <v>0</v>
      </c>
      <c r="H16">
        <v>0</v>
      </c>
    </row>
    <row r="17" spans="1:8">
      <c r="A17" t="s">
        <v>3978</v>
      </c>
      <c r="B17">
        <v>3</v>
      </c>
      <c r="C17">
        <v>3</v>
      </c>
      <c r="D17">
        <v>2</v>
      </c>
      <c r="E17">
        <v>2</v>
      </c>
      <c r="F17">
        <v>0</v>
      </c>
      <c r="G17">
        <v>0</v>
      </c>
      <c r="H17">
        <v>0</v>
      </c>
    </row>
    <row r="18" spans="1:8">
      <c r="A18" t="s">
        <v>3808</v>
      </c>
      <c r="B18">
        <v>6</v>
      </c>
      <c r="C18">
        <v>7</v>
      </c>
      <c r="D18">
        <v>3</v>
      </c>
      <c r="E18">
        <v>9</v>
      </c>
      <c r="F18">
        <v>0</v>
      </c>
      <c r="G18">
        <v>5</v>
      </c>
      <c r="H18">
        <v>0</v>
      </c>
    </row>
  </sheetData>
  <phoneticPr fontId="3" type="noConversion"/>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E4D2F-97C7-4A35-B749-6D790C25079D}">
  <sheetPr>
    <tabColor rgb="FFFA4600"/>
  </sheetPr>
  <dimension ref="A1:F13"/>
  <sheetViews>
    <sheetView showGridLines="0" workbookViewId="0">
      <pane ySplit="4" topLeftCell="A5" activePane="bottomLeft" state="frozen"/>
      <selection pane="bottomLeft" activeCell="G26" sqref="G26"/>
    </sheetView>
  </sheetViews>
  <sheetFormatPr defaultColWidth="9" defaultRowHeight="11.4"/>
  <cols>
    <col min="1" max="1" width="16.3984375" style="1" bestFit="1" customWidth="1"/>
    <col min="2" max="2" width="8.5" style="3" bestFit="1" customWidth="1"/>
    <col min="3" max="4" width="17.5" style="3" bestFit="1" customWidth="1"/>
    <col min="5" max="5" width="19.19921875" style="250" bestFit="1" customWidth="1"/>
    <col min="6" max="6" width="15.796875" style="3" bestFit="1" customWidth="1"/>
    <col min="7" max="16384" width="9" style="1"/>
  </cols>
  <sheetData>
    <row r="1" spans="1:6" ht="31.95" customHeight="1">
      <c r="A1" s="590" t="s">
        <v>3072</v>
      </c>
      <c r="B1" s="591"/>
      <c r="C1" s="591"/>
      <c r="D1" s="591"/>
      <c r="E1" s="591"/>
      <c r="F1" s="592"/>
    </row>
    <row r="2" spans="1:6" ht="64.5" customHeight="1" thickBot="1">
      <c r="A2" s="587" t="s">
        <v>3100</v>
      </c>
      <c r="B2" s="588"/>
      <c r="C2" s="588"/>
      <c r="D2" s="588"/>
      <c r="E2" s="588"/>
      <c r="F2" s="589"/>
    </row>
    <row r="3" spans="1:6" s="69" customFormat="1" ht="39" customHeight="1">
      <c r="A3" s="584" t="s">
        <v>3073</v>
      </c>
      <c r="B3" s="585"/>
      <c r="C3" s="585"/>
      <c r="D3" s="585"/>
      <c r="E3" s="585"/>
      <c r="F3" s="586"/>
    </row>
    <row r="4" spans="1:6">
      <c r="A4" s="374" t="s">
        <v>128</v>
      </c>
      <c r="B4" s="246" t="s">
        <v>3094</v>
      </c>
      <c r="C4" s="246" t="s">
        <v>3095</v>
      </c>
      <c r="D4" s="246" t="s">
        <v>3096</v>
      </c>
      <c r="E4" s="247" t="s">
        <v>3097</v>
      </c>
      <c r="F4" s="375" t="s">
        <v>573</v>
      </c>
    </row>
    <row r="5" spans="1:6">
      <c r="A5" s="376" t="s">
        <v>2941</v>
      </c>
      <c r="B5" s="248">
        <v>64</v>
      </c>
      <c r="C5" s="248">
        <v>53</v>
      </c>
      <c r="D5" s="248">
        <v>55</v>
      </c>
      <c r="E5" s="249">
        <v>0.859375</v>
      </c>
      <c r="F5" s="248" t="s">
        <v>3888</v>
      </c>
    </row>
    <row r="6" spans="1:6">
      <c r="A6" s="376" t="s">
        <v>638</v>
      </c>
      <c r="B6" s="248">
        <v>203</v>
      </c>
      <c r="C6" s="248">
        <v>170</v>
      </c>
      <c r="D6" s="248">
        <v>192</v>
      </c>
      <c r="E6" s="249">
        <v>0.94581280788177302</v>
      </c>
      <c r="F6" s="248" t="s">
        <v>3098</v>
      </c>
    </row>
    <row r="7" spans="1:6">
      <c r="A7" s="376" t="s">
        <v>651</v>
      </c>
      <c r="B7" s="248">
        <v>480</v>
      </c>
      <c r="C7" s="248">
        <v>415</v>
      </c>
      <c r="D7" s="248">
        <v>475</v>
      </c>
      <c r="E7" s="249">
        <v>0.98958333333333404</v>
      </c>
      <c r="F7" s="248" t="s">
        <v>3098</v>
      </c>
    </row>
    <row r="8" spans="1:6">
      <c r="A8" s="376" t="s">
        <v>644</v>
      </c>
      <c r="B8" s="248">
        <v>588</v>
      </c>
      <c r="C8" s="248">
        <v>541</v>
      </c>
      <c r="D8" s="248">
        <v>586</v>
      </c>
      <c r="E8" s="249">
        <v>0.99659863945578198</v>
      </c>
      <c r="F8" s="248" t="s">
        <v>3098</v>
      </c>
    </row>
    <row r="9" spans="1:6">
      <c r="A9" s="376" t="s">
        <v>712</v>
      </c>
      <c r="B9" s="248">
        <v>293</v>
      </c>
      <c r="C9" s="248">
        <v>270</v>
      </c>
      <c r="D9" s="248">
        <v>293</v>
      </c>
      <c r="E9" s="249">
        <v>1</v>
      </c>
      <c r="F9" s="248" t="s">
        <v>3098</v>
      </c>
    </row>
    <row r="10" spans="1:6">
      <c r="A10" s="376" t="s">
        <v>2264</v>
      </c>
      <c r="B10" s="248">
        <v>18</v>
      </c>
      <c r="C10" s="248">
        <v>18</v>
      </c>
      <c r="D10" s="248">
        <v>18</v>
      </c>
      <c r="E10" s="249">
        <v>1</v>
      </c>
      <c r="F10" s="248" t="s">
        <v>3098</v>
      </c>
    </row>
    <row r="11" spans="1:6">
      <c r="A11" s="376" t="s">
        <v>842</v>
      </c>
      <c r="B11" s="248">
        <v>47</v>
      </c>
      <c r="C11" s="248">
        <v>44</v>
      </c>
      <c r="D11" s="248">
        <v>47</v>
      </c>
      <c r="E11" s="249">
        <v>1</v>
      </c>
      <c r="F11" s="248" t="s">
        <v>3098</v>
      </c>
    </row>
    <row r="12" spans="1:6">
      <c r="A12" s="1" t="s">
        <v>2259</v>
      </c>
      <c r="B12" s="1">
        <v>176</v>
      </c>
      <c r="C12" s="1">
        <v>172</v>
      </c>
      <c r="D12" s="1">
        <v>176</v>
      </c>
      <c r="E12" s="1">
        <v>1</v>
      </c>
      <c r="F12" s="1" t="s">
        <v>3098</v>
      </c>
    </row>
    <row r="13" spans="1:6">
      <c r="A13" s="1" t="s">
        <v>3697</v>
      </c>
      <c r="B13" s="1">
        <v>1600</v>
      </c>
      <c r="C13" s="1">
        <v>1556</v>
      </c>
      <c r="D13" s="1">
        <v>1600</v>
      </c>
      <c r="E13" s="1">
        <v>1</v>
      </c>
      <c r="F13" s="1" t="s">
        <v>3098</v>
      </c>
    </row>
  </sheetData>
  <mergeCells count="3">
    <mergeCell ref="A3:F3"/>
    <mergeCell ref="A2:F2"/>
    <mergeCell ref="A1:F1"/>
  </mergeCells>
  <phoneticPr fontId="3" type="noConversion"/>
  <pageMargins left="0.7" right="0.7" top="0.75" bottom="0.75" header="0.3" footer="0.3"/>
  <pageSetup paperSize="176"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21CC1D-A01E-4603-BE0E-85A83B0FA821}">
  <ds:schemaRefs>
    <ds:schemaRef ds:uri="http://schemas.microsoft.com/DataMashup"/>
  </ds:schemaRefs>
</ds:datastoreItem>
</file>

<file path=docMetadata/LabelInfo.xml><?xml version="1.0" encoding="utf-8"?>
<clbl:labelList xmlns:clbl="http://schemas.microsoft.com/office/2020/mipLabelMetadata">
  <clbl:label id="{9155d7be-3546-43bf-a2a0-c2f90ee47349}" enabled="0" method="" siteId="{9155d7be-3546-43bf-a2a0-c2f90ee473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49</vt:i4>
      </vt:variant>
    </vt:vector>
  </HeadingPairs>
  <TitlesOfParts>
    <vt:vector size="76" baseType="lpstr">
      <vt:lpstr>Gas Monitors Onhire</vt:lpstr>
      <vt:lpstr>Radios Onhire</vt:lpstr>
      <vt:lpstr>Tooling Onhire.</vt:lpstr>
      <vt:lpstr>Plant Onsite </vt:lpstr>
      <vt:lpstr>Plant Onhire</vt:lpstr>
      <vt:lpstr>Milwaukee Onhire</vt:lpstr>
      <vt:lpstr>RENTAL_STOCK (2)</vt:lpstr>
      <vt:lpstr>Live Utilisation</vt:lpstr>
      <vt:lpstr>Shutdown Costing</vt:lpstr>
      <vt:lpstr>Daily Tracking</vt:lpstr>
      <vt:lpstr>Plant Equipment</vt:lpstr>
      <vt:lpstr>Plant Variance</vt:lpstr>
      <vt:lpstr>Coates Way + Safety</vt:lpstr>
      <vt:lpstr>Tooling to Supply</vt:lpstr>
      <vt:lpstr>Compliance + Assurance</vt:lpstr>
      <vt:lpstr>K2 Dashboard</vt:lpstr>
      <vt:lpstr>Company Accountability</vt:lpstr>
      <vt:lpstr>Dashboard Data</vt:lpstr>
      <vt:lpstr>Stocktake Log</vt:lpstr>
      <vt:lpstr>Controls &amp; Exceptions</vt:lpstr>
      <vt:lpstr>Control Config</vt:lpstr>
      <vt:lpstr>Control Data</vt:lpstr>
      <vt:lpstr>Consumables Stock</vt:lpstr>
      <vt:lpstr>Consumables Utilisation</vt:lpstr>
      <vt:lpstr>Consumables Movement</vt:lpstr>
      <vt:lpstr>Company Spend</vt:lpstr>
      <vt:lpstr>Stocktake Coverage</vt:lpstr>
      <vt:lpstr>K2_ActualCompleteness</vt:lpstr>
      <vt:lpstr>K2_ActualRequiredCategories</vt:lpstr>
      <vt:lpstr>K2_ApprovedOverrideCount</vt:lpstr>
      <vt:lpstr>K2_AutomationCommissioned</vt:lpstr>
      <vt:lpstr>K2_ControlAsOfDate</vt:lpstr>
      <vt:lpstr>K2_ControlHealth</vt:lpstr>
      <vt:lpstr>K2_ControlsPrintArea</vt:lpstr>
      <vt:lpstr>K2_CriticalExceptionCount</vt:lpstr>
      <vt:lpstr>K2_CriticalStockoutCount</vt:lpstr>
      <vt:lpstr>K2_DailyCloseTime</vt:lpstr>
      <vt:lpstr>K2_EmailCC</vt:lpstr>
      <vt:lpstr>K2_EmailSubject</vt:lpstr>
      <vt:lpstr>K2_EmailTo</vt:lpstr>
      <vt:lpstr>K2_ExposureHighThreshold</vt:lpstr>
      <vt:lpstr>K2_HighExceptionCount</vt:lpstr>
      <vt:lpstr>K2_InboundLeadDays</vt:lpstr>
      <vt:lpstr>K2_LastAccountability</vt:lpstr>
      <vt:lpstr>K2_LastError</vt:lpstr>
      <vt:lpstr>K2_LastPDF</vt:lpstr>
      <vt:lpstr>K2_LastRefresh</vt:lpstr>
      <vt:lpstr>K2_LastSnapshot</vt:lpstr>
      <vt:lpstr>K2_MissingActualCount</vt:lpstr>
      <vt:lpstr>K2_ModelGap</vt:lpstr>
      <vt:lpstr>K2_ModelGapTolerance</vt:lpstr>
      <vt:lpstr>K2_ModelHealth</vt:lpstr>
      <vt:lpstr>K2_OpenExceptionCount</vt:lpstr>
      <vt:lpstr>K2_PrintArea</vt:lpstr>
      <vt:lpstr>K2_QueryErrorCount</vt:lpstr>
      <vt:lpstr>K2_RadioGasForecastDays</vt:lpstr>
      <vt:lpstr>K2_ReconciledForecast</vt:lpstr>
      <vt:lpstr>K2_RefreshStatus</vt:lpstr>
      <vt:lpstr>K2_ReleaseGate</vt:lpstr>
      <vt:lpstr>K2_ReturnCriticalDays</vt:lpstr>
      <vt:lpstr>K2_ReturnFollowupDays</vt:lpstr>
      <vt:lpstr>K2_ReturnHighDays</vt:lpstr>
      <vt:lpstr>K2_SafetyApproved</vt:lpstr>
      <vt:lpstr>K2_ShutdownDays</vt:lpstr>
      <vt:lpstr>K2_SourcePath</vt:lpstr>
      <vt:lpstr>K2_ToolingUtilBase</vt:lpstr>
      <vt:lpstr>K2_TrackingEnd</vt:lpstr>
      <vt:lpstr>K2_TrackingForecast</vt:lpstr>
      <vt:lpstr>K2_TrackingStart</vt:lpstr>
      <vt:lpstr>K2_UnreceivedPlantCount</vt:lpstr>
      <vt:lpstr>K2_ValueTolerance</vt:lpstr>
      <vt:lpstr>'Company Accountability'!Print_Area</vt:lpstr>
      <vt:lpstr>'Control Config'!Print_Area</vt:lpstr>
      <vt:lpstr>'Controls &amp; Exceptions'!Print_Area</vt:lpstr>
      <vt:lpstr>'K2 Dashboard'!Print_Area</vt:lpstr>
      <vt:lpstr>'Company Accountability'!Print_Titles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Fisher, Andrew (North)</dc:creator>
  <cp:keywords/>
  <dc:description/>
  <cp:lastModifiedBy>Fisher, Andrew (North)</cp:lastModifiedBy>
  <cp:revision/>
  <dcterms:created xsi:type="dcterms:W3CDTF">2026-06-11T05:20:16Z</dcterms:created>
  <dcterms:modified xsi:type="dcterms:W3CDTF">2026-07-26T10:51:36Z</dcterms:modified>
  <cp:category/>
  <cp:contentStatus/>
</cp:coreProperties>
</file>